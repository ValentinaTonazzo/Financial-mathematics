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moton\Desktop\tesi\"/>
    </mc:Choice>
  </mc:AlternateContent>
  <xr:revisionPtr revIDLastSave="0" documentId="8_{90D25D32-192F-482F-B59F-2CB6DEC50EB8}" xr6:coauthVersionLast="47" xr6:coauthVersionMax="47" xr10:uidLastSave="{00000000-0000-0000-0000-000000000000}"/>
  <bookViews>
    <workbookView minimized="1" xWindow="1080" yWindow="1080" windowWidth="17280" windowHeight="8964" xr2:uid="{B841849C-E0F6-42DC-A102-9865C27D2974}"/>
  </bookViews>
  <sheets>
    <sheet name="Foglio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D82" i="1" l="1"/>
  <c r="BL82" i="1"/>
  <c r="BG83" i="1"/>
  <c r="BO83" i="1"/>
  <c r="BJ84" i="1"/>
  <c r="BE85" i="1"/>
  <c r="BM85" i="1"/>
  <c r="BH86" i="1"/>
  <c r="BP86" i="1"/>
  <c r="BK87" i="1"/>
  <c r="BF88" i="1"/>
  <c r="BN88" i="1"/>
  <c r="BI89" i="1"/>
  <c r="BD90" i="1"/>
  <c r="BL90" i="1"/>
  <c r="BG91" i="1"/>
  <c r="BO91" i="1"/>
  <c r="BJ92" i="1"/>
  <c r="BE93" i="1"/>
  <c r="BM93" i="1"/>
  <c r="BH94" i="1"/>
  <c r="BP94" i="1"/>
  <c r="BK95" i="1"/>
  <c r="BF96" i="1"/>
  <c r="BN96" i="1"/>
  <c r="BI97" i="1"/>
  <c r="BD98" i="1"/>
  <c r="BL98" i="1"/>
  <c r="BN82" i="1"/>
  <c r="BD84" i="1"/>
  <c r="BG85" i="1"/>
  <c r="BJ86" i="1"/>
  <c r="BM87" i="1"/>
  <c r="BP88" i="1"/>
  <c r="BF90" i="1"/>
  <c r="BI91" i="1"/>
  <c r="BL92" i="1"/>
  <c r="BO93" i="1"/>
  <c r="BE95" i="1"/>
  <c r="BH96" i="1"/>
  <c r="BK97" i="1"/>
  <c r="BN98" i="1"/>
  <c r="BO82" i="1"/>
  <c r="BE84" i="1"/>
  <c r="BH85" i="1"/>
  <c r="BK86" i="1"/>
  <c r="BN87" i="1"/>
  <c r="BD89" i="1"/>
  <c r="BG90" i="1"/>
  <c r="BJ91" i="1"/>
  <c r="BM92" i="1"/>
  <c r="BL97" i="1"/>
  <c r="BP82" i="1"/>
  <c r="BK83" i="1"/>
  <c r="BN84" i="1"/>
  <c r="BD86" i="1"/>
  <c r="BG87" i="1"/>
  <c r="BJ88" i="1"/>
  <c r="BM89" i="1"/>
  <c r="BP90" i="1"/>
  <c r="BN92" i="1"/>
  <c r="BD94" i="1"/>
  <c r="BG95" i="1"/>
  <c r="BJ96" i="1"/>
  <c r="BM97" i="1"/>
  <c r="BP98" i="1"/>
  <c r="BD83" i="1"/>
  <c r="BL83" i="1"/>
  <c r="BO84" i="1"/>
  <c r="BE86" i="1"/>
  <c r="BH87" i="1"/>
  <c r="BK88" i="1"/>
  <c r="BN89" i="1"/>
  <c r="BD91" i="1"/>
  <c r="BG92" i="1"/>
  <c r="BJ93" i="1"/>
  <c r="BM94" i="1"/>
  <c r="BP95" i="1"/>
  <c r="BF97" i="1"/>
  <c r="BI98" i="1"/>
  <c r="BE83" i="1"/>
  <c r="BH84" i="1"/>
  <c r="BP84" i="1"/>
  <c r="BF86" i="1"/>
  <c r="BI87" i="1"/>
  <c r="BL88" i="1"/>
  <c r="BO89" i="1"/>
  <c r="BE91" i="1"/>
  <c r="BH92" i="1"/>
  <c r="BK93" i="1"/>
  <c r="BN94" i="1"/>
  <c r="BL96" i="1"/>
  <c r="BO97" i="1"/>
  <c r="BK82" i="1"/>
  <c r="BF83" i="1"/>
  <c r="BN83" i="1"/>
  <c r="BI84" i="1"/>
  <c r="BD85" i="1"/>
  <c r="BL85" i="1"/>
  <c r="BG86" i="1"/>
  <c r="BJ87" i="1"/>
  <c r="BE88" i="1"/>
  <c r="BM88" i="1"/>
  <c r="BH89" i="1"/>
  <c r="BP89" i="1"/>
  <c r="BK90" i="1"/>
  <c r="BF91" i="1"/>
  <c r="BN91" i="1"/>
  <c r="BI92" i="1"/>
  <c r="BL93" i="1"/>
  <c r="BO94" i="1"/>
  <c r="BE96" i="1"/>
  <c r="BH97" i="1"/>
  <c r="BK98" i="1"/>
  <c r="BE82" i="1"/>
  <c r="BM82" i="1"/>
  <c r="BH83" i="1"/>
  <c r="BP83" i="1"/>
  <c r="BK84" i="1"/>
  <c r="BF85" i="1"/>
  <c r="BN85" i="1"/>
  <c r="BI86" i="1"/>
  <c r="BD87" i="1"/>
  <c r="BL87" i="1"/>
  <c r="BG88" i="1"/>
  <c r="BO88" i="1"/>
  <c r="BJ89" i="1"/>
  <c r="BE90" i="1"/>
  <c r="BM90" i="1"/>
  <c r="BH91" i="1"/>
  <c r="BP91" i="1"/>
  <c r="BK92" i="1"/>
  <c r="BF93" i="1"/>
  <c r="BN93" i="1"/>
  <c r="BI94" i="1"/>
  <c r="BD95" i="1"/>
  <c r="BL95" i="1"/>
  <c r="BG96" i="1"/>
  <c r="BO96" i="1"/>
  <c r="BJ97" i="1"/>
  <c r="BE98" i="1"/>
  <c r="BM98" i="1"/>
  <c r="BF82" i="1"/>
  <c r="BI83" i="1"/>
  <c r="BL84" i="1"/>
  <c r="BO85" i="1"/>
  <c r="BE87" i="1"/>
  <c r="BH88" i="1"/>
  <c r="BK89" i="1"/>
  <c r="BN90" i="1"/>
  <c r="BD92" i="1"/>
  <c r="BG93" i="1"/>
  <c r="BJ94" i="1"/>
  <c r="BM95" i="1"/>
  <c r="BP96" i="1"/>
  <c r="BF98" i="1"/>
  <c r="BG82" i="1"/>
  <c r="BJ83" i="1"/>
  <c r="BM84" i="1"/>
  <c r="BP85" i="1"/>
  <c r="BF87" i="1"/>
  <c r="BI88" i="1"/>
  <c r="BL89" i="1"/>
  <c r="BO90" i="1"/>
  <c r="BE92" i="1"/>
  <c r="BH93" i="1"/>
  <c r="BP93" i="1"/>
  <c r="BK94" i="1"/>
  <c r="BF95" i="1"/>
  <c r="BN95" i="1"/>
  <c r="BI96" i="1"/>
  <c r="BD97" i="1"/>
  <c r="BG98" i="1"/>
  <c r="BO98" i="1"/>
  <c r="BH82" i="1"/>
  <c r="BF84" i="1"/>
  <c r="BI85" i="1"/>
  <c r="BL86" i="1"/>
  <c r="BO87" i="1"/>
  <c r="BE89" i="1"/>
  <c r="BH90" i="1"/>
  <c r="BK91" i="1"/>
  <c r="BF92" i="1"/>
  <c r="BI93" i="1"/>
  <c r="BL94" i="1"/>
  <c r="BO95" i="1"/>
  <c r="BE97" i="1"/>
  <c r="BH98" i="1"/>
  <c r="BI82" i="1"/>
  <c r="BG84" i="1"/>
  <c r="BJ85" i="1"/>
  <c r="BM86" i="1"/>
  <c r="BP87" i="1"/>
  <c r="BF89" i="1"/>
  <c r="BI90" i="1"/>
  <c r="BL91" i="1"/>
  <c r="BO92" i="1"/>
  <c r="BE94" i="1"/>
  <c r="BH95" i="1"/>
  <c r="BK96" i="1"/>
  <c r="BN97" i="1"/>
  <c r="BJ82" i="1"/>
  <c r="BM83" i="1"/>
  <c r="BK85" i="1"/>
  <c r="BN86" i="1"/>
  <c r="BD88" i="1"/>
  <c r="BG89" i="1"/>
  <c r="BJ90" i="1"/>
  <c r="BM91" i="1"/>
  <c r="BP92" i="1"/>
  <c r="BF94" i="1"/>
  <c r="BI95" i="1"/>
  <c r="BD96" i="1"/>
  <c r="BG97" i="1"/>
  <c r="BJ98" i="1"/>
  <c r="BO86" i="1"/>
  <c r="BD93" i="1"/>
  <c r="BG94" i="1"/>
  <c r="BJ95" i="1"/>
  <c r="BM96" i="1"/>
  <c r="BP97" i="1"/>
  <c r="BC83" i="1"/>
  <c r="BC91" i="1"/>
  <c r="BC87" i="1"/>
  <c r="BC96" i="1"/>
  <c r="BC97" i="1"/>
  <c r="BC90" i="1"/>
  <c r="BC84" i="1"/>
  <c r="BC92" i="1"/>
  <c r="BC85" i="1"/>
  <c r="BC93" i="1"/>
  <c r="BC86" i="1"/>
  <c r="BC94" i="1"/>
  <c r="BC95" i="1"/>
  <c r="BC88" i="1"/>
  <c r="BC89" i="1"/>
  <c r="BC98" i="1"/>
  <c r="BC82" i="1"/>
  <c r="BC62" i="1"/>
  <c r="BD62" i="1"/>
  <c r="BL62" i="1"/>
  <c r="BG63" i="1"/>
  <c r="BO63" i="1"/>
  <c r="BJ64" i="1"/>
  <c r="BE65" i="1"/>
  <c r="BM65" i="1"/>
  <c r="BH66" i="1"/>
  <c r="BP66" i="1"/>
  <c r="BK67" i="1"/>
  <c r="BF68" i="1"/>
  <c r="BN68" i="1"/>
  <c r="BI69" i="1"/>
  <c r="BD70" i="1"/>
  <c r="BL70" i="1"/>
  <c r="BG71" i="1"/>
  <c r="BO71" i="1"/>
  <c r="BJ72" i="1"/>
  <c r="BE73" i="1"/>
  <c r="BM73" i="1"/>
  <c r="BH74" i="1"/>
  <c r="BP74" i="1"/>
  <c r="BK75" i="1"/>
  <c r="BF76" i="1"/>
  <c r="BN76" i="1"/>
  <c r="BI77" i="1"/>
  <c r="BD78" i="1"/>
  <c r="BL78" i="1"/>
  <c r="BF62" i="1"/>
  <c r="BI63" i="1"/>
  <c r="BD64" i="1"/>
  <c r="BG65" i="1"/>
  <c r="BJ66" i="1"/>
  <c r="BM67" i="1"/>
  <c r="BP68" i="1"/>
  <c r="BF70" i="1"/>
  <c r="BD72" i="1"/>
  <c r="BG73" i="1"/>
  <c r="BJ74" i="1"/>
  <c r="BM75" i="1"/>
  <c r="BP76" i="1"/>
  <c r="BF78" i="1"/>
  <c r="BG62" i="1"/>
  <c r="BJ63" i="1"/>
  <c r="BE64" i="1"/>
  <c r="BH65" i="1"/>
  <c r="BK66" i="1"/>
  <c r="BN67" i="1"/>
  <c r="BI68" i="1"/>
  <c r="BL69" i="1"/>
  <c r="BO70" i="1"/>
  <c r="BE72" i="1"/>
  <c r="BH73" i="1"/>
  <c r="BK74" i="1"/>
  <c r="BN75" i="1"/>
  <c r="BD77" i="1"/>
  <c r="BG78" i="1"/>
  <c r="BP62" i="1"/>
  <c r="BK63" i="1"/>
  <c r="BF64" i="1"/>
  <c r="BI65" i="1"/>
  <c r="BL66" i="1"/>
  <c r="BO67" i="1"/>
  <c r="BE69" i="1"/>
  <c r="BH70" i="1"/>
  <c r="BK71" i="1"/>
  <c r="BI73" i="1"/>
  <c r="BL74" i="1"/>
  <c r="BO75" i="1"/>
  <c r="BE77" i="1"/>
  <c r="BH78" i="1"/>
  <c r="BI62" i="1"/>
  <c r="BD63" i="1"/>
  <c r="BL63" i="1"/>
  <c r="BG64" i="1"/>
  <c r="BO64" i="1"/>
  <c r="BJ65" i="1"/>
  <c r="BE66" i="1"/>
  <c r="BM66" i="1"/>
  <c r="BH67" i="1"/>
  <c r="BP67" i="1"/>
  <c r="BK68" i="1"/>
  <c r="BF69" i="1"/>
  <c r="BN69" i="1"/>
  <c r="BI70" i="1"/>
  <c r="BD71" i="1"/>
  <c r="BL71" i="1"/>
  <c r="BG72" i="1"/>
  <c r="BO72" i="1"/>
  <c r="BJ73" i="1"/>
  <c r="BE74" i="1"/>
  <c r="BM74" i="1"/>
  <c r="BH75" i="1"/>
  <c r="BP75" i="1"/>
  <c r="BK76" i="1"/>
  <c r="BF77" i="1"/>
  <c r="BN77" i="1"/>
  <c r="BI78" i="1"/>
  <c r="BJ62" i="1"/>
  <c r="BE63" i="1"/>
  <c r="BM63" i="1"/>
  <c r="BH64" i="1"/>
  <c r="BP64" i="1"/>
  <c r="BK65" i="1"/>
  <c r="BF66" i="1"/>
  <c r="BN66" i="1"/>
  <c r="BI67" i="1"/>
  <c r="BD68" i="1"/>
  <c r="BL68" i="1"/>
  <c r="BG69" i="1"/>
  <c r="BO69" i="1"/>
  <c r="BJ70" i="1"/>
  <c r="BE71" i="1"/>
  <c r="BM71" i="1"/>
  <c r="BH72" i="1"/>
  <c r="BP72" i="1"/>
  <c r="BK73" i="1"/>
  <c r="BF74" i="1"/>
  <c r="BN74" i="1"/>
  <c r="BI75" i="1"/>
  <c r="BD76" i="1"/>
  <c r="BL76" i="1"/>
  <c r="BG77" i="1"/>
  <c r="BO77" i="1"/>
  <c r="BJ78" i="1"/>
  <c r="BP69" i="1"/>
  <c r="BE76" i="1"/>
  <c r="BE62" i="1"/>
  <c r="BM62" i="1"/>
  <c r="BH63" i="1"/>
  <c r="BP63" i="1"/>
  <c r="BK64" i="1"/>
  <c r="BF65" i="1"/>
  <c r="BN65" i="1"/>
  <c r="BI66" i="1"/>
  <c r="BD67" i="1"/>
  <c r="BL67" i="1"/>
  <c r="BG68" i="1"/>
  <c r="BO68" i="1"/>
  <c r="BJ69" i="1"/>
  <c r="BE70" i="1"/>
  <c r="BM70" i="1"/>
  <c r="BH71" i="1"/>
  <c r="BP71" i="1"/>
  <c r="BK72" i="1"/>
  <c r="BF73" i="1"/>
  <c r="BN73" i="1"/>
  <c r="BI74" i="1"/>
  <c r="BD75" i="1"/>
  <c r="BL75" i="1"/>
  <c r="BG76" i="1"/>
  <c r="BO76" i="1"/>
  <c r="BJ77" i="1"/>
  <c r="BE78" i="1"/>
  <c r="BM78" i="1"/>
  <c r="BN62" i="1"/>
  <c r="BL64" i="1"/>
  <c r="BO65" i="1"/>
  <c r="BE67" i="1"/>
  <c r="BH68" i="1"/>
  <c r="BK69" i="1"/>
  <c r="BN70" i="1"/>
  <c r="BI71" i="1"/>
  <c r="BL72" i="1"/>
  <c r="BO73" i="1"/>
  <c r="BE75" i="1"/>
  <c r="BH76" i="1"/>
  <c r="BK77" i="1"/>
  <c r="BN78" i="1"/>
  <c r="BO62" i="1"/>
  <c r="BM64" i="1"/>
  <c r="BP65" i="1"/>
  <c r="BF67" i="1"/>
  <c r="BD69" i="1"/>
  <c r="BG70" i="1"/>
  <c r="BJ71" i="1"/>
  <c r="BM72" i="1"/>
  <c r="BP73" i="1"/>
  <c r="BF75" i="1"/>
  <c r="BI76" i="1"/>
  <c r="BL77" i="1"/>
  <c r="BO78" i="1"/>
  <c r="BH62" i="1"/>
  <c r="BN64" i="1"/>
  <c r="BD66" i="1"/>
  <c r="BG67" i="1"/>
  <c r="BJ68" i="1"/>
  <c r="BM69" i="1"/>
  <c r="BP70" i="1"/>
  <c r="BF72" i="1"/>
  <c r="BN72" i="1"/>
  <c r="BD74" i="1"/>
  <c r="BG75" i="1"/>
  <c r="BJ76" i="1"/>
  <c r="BM77" i="1"/>
  <c r="BP78" i="1"/>
  <c r="BK62" i="1"/>
  <c r="BF63" i="1"/>
  <c r="BN63" i="1"/>
  <c r="BI64" i="1"/>
  <c r="BD65" i="1"/>
  <c r="BL65" i="1"/>
  <c r="BG66" i="1"/>
  <c r="BO66" i="1"/>
  <c r="BJ67" i="1"/>
  <c r="BE68" i="1"/>
  <c r="BM68" i="1"/>
  <c r="BH69" i="1"/>
  <c r="BK70" i="1"/>
  <c r="BF71" i="1"/>
  <c r="BN71" i="1"/>
  <c r="BI72" i="1"/>
  <c r="BD73" i="1"/>
  <c r="BL73" i="1"/>
  <c r="BG74" i="1"/>
  <c r="BO74" i="1"/>
  <c r="BJ75" i="1"/>
  <c r="BM76" i="1"/>
  <c r="BP77" i="1"/>
  <c r="BH77" i="1"/>
  <c r="BK78" i="1"/>
  <c r="BC63" i="1"/>
  <c r="BC71" i="1"/>
  <c r="BC72" i="1"/>
  <c r="BC73" i="1"/>
  <c r="BC67" i="1"/>
  <c r="BC69" i="1"/>
  <c r="BC78" i="1"/>
  <c r="BC64" i="1"/>
  <c r="BC66" i="1"/>
  <c r="BC75" i="1"/>
  <c r="BC68" i="1"/>
  <c r="BC70" i="1"/>
  <c r="BC65" i="1"/>
  <c r="BC74" i="1"/>
  <c r="BC76" i="1"/>
  <c r="BC77" i="1"/>
  <c r="BC42" i="1"/>
  <c r="BD42" i="1"/>
  <c r="BL42" i="1"/>
  <c r="BG43" i="1"/>
  <c r="BO43" i="1"/>
  <c r="BJ44" i="1"/>
  <c r="BE45" i="1"/>
  <c r="BM45" i="1"/>
  <c r="BH46" i="1"/>
  <c r="BP46" i="1"/>
  <c r="BK47" i="1"/>
  <c r="BF48" i="1"/>
  <c r="BN48" i="1"/>
  <c r="BI49" i="1"/>
  <c r="BD50" i="1"/>
  <c r="BL50" i="1"/>
  <c r="BG51" i="1"/>
  <c r="BO51" i="1"/>
  <c r="BJ52" i="1"/>
  <c r="BE53" i="1"/>
  <c r="BM53" i="1"/>
  <c r="BH54" i="1"/>
  <c r="BP54" i="1"/>
  <c r="BK55" i="1"/>
  <c r="BF56" i="1"/>
  <c r="BN56" i="1"/>
  <c r="BI57" i="1"/>
  <c r="BD58" i="1"/>
  <c r="BL58" i="1"/>
  <c r="BN42" i="1"/>
  <c r="BE47" i="1"/>
  <c r="BH48" i="1"/>
  <c r="BK49" i="1"/>
  <c r="BN50" i="1"/>
  <c r="BD52" i="1"/>
  <c r="BG53" i="1"/>
  <c r="BJ54" i="1"/>
  <c r="BM55" i="1"/>
  <c r="BP56" i="1"/>
  <c r="BF58" i="1"/>
  <c r="BG42" i="1"/>
  <c r="BE44" i="1"/>
  <c r="BH45" i="1"/>
  <c r="BK46" i="1"/>
  <c r="BN47" i="1"/>
  <c r="BD49" i="1"/>
  <c r="BG50" i="1"/>
  <c r="BJ51" i="1"/>
  <c r="BM52" i="1"/>
  <c r="BP53" i="1"/>
  <c r="BN55" i="1"/>
  <c r="BD57" i="1"/>
  <c r="BG58" i="1"/>
  <c r="BH42" i="1"/>
  <c r="BN44" i="1"/>
  <c r="BD46" i="1"/>
  <c r="BG47" i="1"/>
  <c r="BJ48" i="1"/>
  <c r="BM49" i="1"/>
  <c r="BK51" i="1"/>
  <c r="BI53" i="1"/>
  <c r="BG55" i="1"/>
  <c r="BE57" i="1"/>
  <c r="BP58" i="1"/>
  <c r="BD43" i="1"/>
  <c r="BG44" i="1"/>
  <c r="BJ45" i="1"/>
  <c r="BM46" i="1"/>
  <c r="BP47" i="1"/>
  <c r="BN49" i="1"/>
  <c r="BD51" i="1"/>
  <c r="BO52" i="1"/>
  <c r="BM54" i="1"/>
  <c r="BK56" i="1"/>
  <c r="BI58" i="1"/>
  <c r="BJ42" i="1"/>
  <c r="BP44" i="1"/>
  <c r="BF46" i="1"/>
  <c r="BI47" i="1"/>
  <c r="BL48" i="1"/>
  <c r="BO49" i="1"/>
  <c r="BM51" i="1"/>
  <c r="BP52" i="1"/>
  <c r="BN54" i="1"/>
  <c r="BL56" i="1"/>
  <c r="BJ58" i="1"/>
  <c r="BK42" i="1"/>
  <c r="BD45" i="1"/>
  <c r="BG46" i="1"/>
  <c r="BJ47" i="1"/>
  <c r="BM48" i="1"/>
  <c r="BH49" i="1"/>
  <c r="BF51" i="1"/>
  <c r="BD53" i="1"/>
  <c r="BO54" i="1"/>
  <c r="BM56" i="1"/>
  <c r="BP57" i="1"/>
  <c r="BE42" i="1"/>
  <c r="BM42" i="1"/>
  <c r="BH43" i="1"/>
  <c r="BP43" i="1"/>
  <c r="BK44" i="1"/>
  <c r="BF45" i="1"/>
  <c r="BN45" i="1"/>
  <c r="BI46" i="1"/>
  <c r="BD47" i="1"/>
  <c r="BL47" i="1"/>
  <c r="BG48" i="1"/>
  <c r="BO48" i="1"/>
  <c r="BJ49" i="1"/>
  <c r="BE50" i="1"/>
  <c r="BM50" i="1"/>
  <c r="BH51" i="1"/>
  <c r="BP51" i="1"/>
  <c r="BK52" i="1"/>
  <c r="BF53" i="1"/>
  <c r="BN53" i="1"/>
  <c r="BI54" i="1"/>
  <c r="BD55" i="1"/>
  <c r="BL55" i="1"/>
  <c r="BG56" i="1"/>
  <c r="BO56" i="1"/>
  <c r="BJ57" i="1"/>
  <c r="BE58" i="1"/>
  <c r="BM58" i="1"/>
  <c r="BF42" i="1"/>
  <c r="BI43" i="1"/>
  <c r="BD44" i="1"/>
  <c r="BL44" i="1"/>
  <c r="BG45" i="1"/>
  <c r="BO45" i="1"/>
  <c r="BJ46" i="1"/>
  <c r="BM47" i="1"/>
  <c r="BP48" i="1"/>
  <c r="BF50" i="1"/>
  <c r="BI51" i="1"/>
  <c r="BL52" i="1"/>
  <c r="BO53" i="1"/>
  <c r="BE55" i="1"/>
  <c r="BH56" i="1"/>
  <c r="BK57" i="1"/>
  <c r="BN58" i="1"/>
  <c r="BO42" i="1"/>
  <c r="BJ43" i="1"/>
  <c r="BM44" i="1"/>
  <c r="BP45" i="1"/>
  <c r="BF47" i="1"/>
  <c r="BI48" i="1"/>
  <c r="BL49" i="1"/>
  <c r="BO50" i="1"/>
  <c r="BE52" i="1"/>
  <c r="BH53" i="1"/>
  <c r="BK54" i="1"/>
  <c r="BI56" i="1"/>
  <c r="BL57" i="1"/>
  <c r="BO58" i="1"/>
  <c r="BP42" i="1"/>
  <c r="BF44" i="1"/>
  <c r="BI45" i="1"/>
  <c r="BL46" i="1"/>
  <c r="BO47" i="1"/>
  <c r="BE49" i="1"/>
  <c r="BP50" i="1"/>
  <c r="BN52" i="1"/>
  <c r="BL54" i="1"/>
  <c r="BJ56" i="1"/>
  <c r="BH58" i="1"/>
  <c r="BI42" i="1"/>
  <c r="BO44" i="1"/>
  <c r="BE46" i="1"/>
  <c r="BH47" i="1"/>
  <c r="BK48" i="1"/>
  <c r="BI50" i="1"/>
  <c r="BG52" i="1"/>
  <c r="BE54" i="1"/>
  <c r="BP55" i="1"/>
  <c r="BN57" i="1"/>
  <c r="BE43" i="1"/>
  <c r="BH44" i="1"/>
  <c r="BK45" i="1"/>
  <c r="BN46" i="1"/>
  <c r="BD48" i="1"/>
  <c r="BG49" i="1"/>
  <c r="BJ50" i="1"/>
  <c r="BH52" i="1"/>
  <c r="BF54" i="1"/>
  <c r="BD56" i="1"/>
  <c r="BO57" i="1"/>
  <c r="BF43" i="1"/>
  <c r="BI44" i="1"/>
  <c r="BL45" i="1"/>
  <c r="BO46" i="1"/>
  <c r="BE48" i="1"/>
  <c r="BP49" i="1"/>
  <c r="BK50" i="1"/>
  <c r="BI52" i="1"/>
  <c r="BG54" i="1"/>
  <c r="BE56" i="1"/>
  <c r="BK58" i="1"/>
  <c r="BF55" i="1"/>
  <c r="BK43" i="1"/>
  <c r="BH50" i="1"/>
  <c r="BF52" i="1"/>
  <c r="BD54" i="1"/>
  <c r="BO55" i="1"/>
  <c r="BM57" i="1"/>
  <c r="BL43" i="1"/>
  <c r="BF49" i="1"/>
  <c r="BL51" i="1"/>
  <c r="BJ53" i="1"/>
  <c r="BH55" i="1"/>
  <c r="BF57" i="1"/>
  <c r="BM43" i="1"/>
  <c r="BE51" i="1"/>
  <c r="BK53" i="1"/>
  <c r="BI55" i="1"/>
  <c r="BG57" i="1"/>
  <c r="BN43" i="1"/>
  <c r="BN51" i="1"/>
  <c r="BL53" i="1"/>
  <c r="BJ55" i="1"/>
  <c r="BH57" i="1"/>
  <c r="BC43" i="1"/>
  <c r="BC51" i="1"/>
  <c r="BC45" i="1"/>
  <c r="BC53" i="1"/>
  <c r="BC46" i="1"/>
  <c r="BC54" i="1"/>
  <c r="BC47" i="1"/>
  <c r="BC55" i="1"/>
  <c r="BC48" i="1"/>
  <c r="BC56" i="1"/>
  <c r="BC49" i="1"/>
  <c r="BC57" i="1"/>
  <c r="BC50" i="1"/>
  <c r="BC58" i="1"/>
  <c r="BC44" i="1"/>
  <c r="BC52" i="1"/>
  <c r="BC22" i="1"/>
  <c r="BD22" i="1"/>
  <c r="BL22" i="1"/>
  <c r="BG23" i="1"/>
  <c r="BO23" i="1"/>
  <c r="BJ24" i="1"/>
  <c r="BE25" i="1"/>
  <c r="BM25" i="1"/>
  <c r="BH26" i="1"/>
  <c r="BP26" i="1"/>
  <c r="BK27" i="1"/>
  <c r="BF28" i="1"/>
  <c r="BN28" i="1"/>
  <c r="BI29" i="1"/>
  <c r="BD30" i="1"/>
  <c r="BL30" i="1"/>
  <c r="BG31" i="1"/>
  <c r="BO31" i="1"/>
  <c r="BJ32" i="1"/>
  <c r="BE33" i="1"/>
  <c r="BM33" i="1"/>
  <c r="BH34" i="1"/>
  <c r="BP34" i="1"/>
  <c r="BK35" i="1"/>
  <c r="BF36" i="1"/>
  <c r="BN36" i="1"/>
  <c r="BI37" i="1"/>
  <c r="BD38" i="1"/>
  <c r="BL38" i="1"/>
  <c r="BP30" i="1"/>
  <c r="BD23" i="1"/>
  <c r="BO24" i="1"/>
  <c r="BP27" i="1"/>
  <c r="BI30" i="1"/>
  <c r="BG32" i="1"/>
  <c r="BM34" i="1"/>
  <c r="BF37" i="1"/>
  <c r="BJ22" i="1"/>
  <c r="BK25" i="1"/>
  <c r="BN26" i="1"/>
  <c r="BD28" i="1"/>
  <c r="BG29" i="1"/>
  <c r="BJ30" i="1"/>
  <c r="BP32" i="1"/>
  <c r="BI35" i="1"/>
  <c r="BG37" i="1"/>
  <c r="BF23" i="1"/>
  <c r="BL25" i="1"/>
  <c r="BO26" i="1"/>
  <c r="BH29" i="1"/>
  <c r="BF31" i="1"/>
  <c r="BL33" i="1"/>
  <c r="BE36" i="1"/>
  <c r="BE22" i="1"/>
  <c r="BM22" i="1"/>
  <c r="BH23" i="1"/>
  <c r="BP23" i="1"/>
  <c r="BK24" i="1"/>
  <c r="BF25" i="1"/>
  <c r="BN25" i="1"/>
  <c r="BI26" i="1"/>
  <c r="BD27" i="1"/>
  <c r="BL27" i="1"/>
  <c r="BG28" i="1"/>
  <c r="BO28" i="1"/>
  <c r="BJ29" i="1"/>
  <c r="BE30" i="1"/>
  <c r="BM30" i="1"/>
  <c r="BH31" i="1"/>
  <c r="BP31" i="1"/>
  <c r="BK32" i="1"/>
  <c r="BF33" i="1"/>
  <c r="BN33" i="1"/>
  <c r="BI34" i="1"/>
  <c r="BD35" i="1"/>
  <c r="BL35" i="1"/>
  <c r="BG36" i="1"/>
  <c r="BO36" i="1"/>
  <c r="BJ37" i="1"/>
  <c r="BE38" i="1"/>
  <c r="BM38" i="1"/>
  <c r="BH30" i="1"/>
  <c r="BG24" i="1"/>
  <c r="BJ25" i="1"/>
  <c r="BH27" i="1"/>
  <c r="BN29" i="1"/>
  <c r="BO32" i="1"/>
  <c r="BH35" i="1"/>
  <c r="BN37" i="1"/>
  <c r="BE23" i="1"/>
  <c r="BP24" i="1"/>
  <c r="BF26" i="1"/>
  <c r="BI27" i="1"/>
  <c r="BL28" i="1"/>
  <c r="BO29" i="1"/>
  <c r="BH32" i="1"/>
  <c r="BN34" i="1"/>
  <c r="BO37" i="1"/>
  <c r="BK22" i="1"/>
  <c r="BD25" i="1"/>
  <c r="BG26" i="1"/>
  <c r="BM28" i="1"/>
  <c r="BN31" i="1"/>
  <c r="BG34" i="1"/>
  <c r="BM36" i="1"/>
  <c r="BK38" i="1"/>
  <c r="BF22" i="1"/>
  <c r="BN22" i="1"/>
  <c r="BI23" i="1"/>
  <c r="BD24" i="1"/>
  <c r="BL24" i="1"/>
  <c r="BG25" i="1"/>
  <c r="BO25" i="1"/>
  <c r="BJ26" i="1"/>
  <c r="BE27" i="1"/>
  <c r="BM27" i="1"/>
  <c r="BH28" i="1"/>
  <c r="BP28" i="1"/>
  <c r="BK29" i="1"/>
  <c r="BF30" i="1"/>
  <c r="BN30" i="1"/>
  <c r="BI31" i="1"/>
  <c r="BD32" i="1"/>
  <c r="BL32" i="1"/>
  <c r="BG33" i="1"/>
  <c r="BO33" i="1"/>
  <c r="BJ34" i="1"/>
  <c r="BE35" i="1"/>
  <c r="BM35" i="1"/>
  <c r="BH36" i="1"/>
  <c r="BP36" i="1"/>
  <c r="BK37" i="1"/>
  <c r="BF38" i="1"/>
  <c r="BN38" i="1"/>
  <c r="BP22" i="1"/>
  <c r="BK23" i="1"/>
  <c r="BN24" i="1"/>
  <c r="BD26" i="1"/>
  <c r="BG27" i="1"/>
  <c r="BJ28" i="1"/>
  <c r="BM29" i="1"/>
  <c r="BF32" i="1"/>
  <c r="BI33" i="1"/>
  <c r="BL34" i="1"/>
  <c r="BO35" i="1"/>
  <c r="BE37" i="1"/>
  <c r="BH38" i="1"/>
  <c r="BI22" i="1"/>
  <c r="BM26" i="1"/>
  <c r="BF29" i="1"/>
  <c r="BD31" i="1"/>
  <c r="BJ33" i="1"/>
  <c r="BP35" i="1"/>
  <c r="BI38" i="1"/>
  <c r="BM23" i="1"/>
  <c r="BE31" i="1"/>
  <c r="BF34" i="1"/>
  <c r="BL36" i="1"/>
  <c r="BN23" i="1"/>
  <c r="BE28" i="1"/>
  <c r="BK30" i="1"/>
  <c r="BI32" i="1"/>
  <c r="BO34" i="1"/>
  <c r="BH37" i="1"/>
  <c r="BG22" i="1"/>
  <c r="BO22" i="1"/>
  <c r="BJ23" i="1"/>
  <c r="BE24" i="1"/>
  <c r="BM24" i="1"/>
  <c r="BH25" i="1"/>
  <c r="BP25" i="1"/>
  <c r="BK26" i="1"/>
  <c r="BF27" i="1"/>
  <c r="BN27" i="1"/>
  <c r="BI28" i="1"/>
  <c r="BD29" i="1"/>
  <c r="BL29" i="1"/>
  <c r="BG30" i="1"/>
  <c r="BO30" i="1"/>
  <c r="BJ31" i="1"/>
  <c r="BE32" i="1"/>
  <c r="BM32" i="1"/>
  <c r="BH33" i="1"/>
  <c r="BP33" i="1"/>
  <c r="BK34" i="1"/>
  <c r="BF35" i="1"/>
  <c r="BN35" i="1"/>
  <c r="BI36" i="1"/>
  <c r="BD37" i="1"/>
  <c r="BL37" i="1"/>
  <c r="BG38" i="1"/>
  <c r="BO38" i="1"/>
  <c r="BH22" i="1"/>
  <c r="BF24" i="1"/>
  <c r="BI25" i="1"/>
  <c r="BL26" i="1"/>
  <c r="BO27" i="1"/>
  <c r="BE29" i="1"/>
  <c r="BK31" i="1"/>
  <c r="BN32" i="1"/>
  <c r="BD34" i="1"/>
  <c r="BG35" i="1"/>
  <c r="BJ36" i="1"/>
  <c r="BM37" i="1"/>
  <c r="BP38" i="1"/>
  <c r="BL23" i="1"/>
  <c r="BE26" i="1"/>
  <c r="BK28" i="1"/>
  <c r="BL31" i="1"/>
  <c r="BE34" i="1"/>
  <c r="BK36" i="1"/>
  <c r="BH24" i="1"/>
  <c r="BM31" i="1"/>
  <c r="BK33" i="1"/>
  <c r="BD36" i="1"/>
  <c r="BJ38" i="1"/>
  <c r="BI24" i="1"/>
  <c r="BJ27" i="1"/>
  <c r="BP29" i="1"/>
  <c r="BD33" i="1"/>
  <c r="BJ35" i="1"/>
  <c r="BP37" i="1"/>
  <c r="BC23" i="1"/>
  <c r="BC31" i="1"/>
  <c r="BC24" i="1"/>
  <c r="BC32" i="1"/>
  <c r="BC25" i="1"/>
  <c r="BC33" i="1"/>
  <c r="BC26" i="1"/>
  <c r="BC34" i="1"/>
  <c r="BC27" i="1"/>
  <c r="BC35" i="1"/>
  <c r="BC28" i="1"/>
  <c r="BC36" i="1"/>
  <c r="BC29" i="1"/>
  <c r="BC37" i="1"/>
  <c r="BC30" i="1"/>
  <c r="BC38" i="1"/>
  <c r="BC2" i="1"/>
  <c r="BD2" i="1"/>
  <c r="BL2" i="1"/>
  <c r="BG3" i="1"/>
  <c r="BO3" i="1"/>
  <c r="BJ4" i="1"/>
  <c r="BE5" i="1"/>
  <c r="BM5" i="1"/>
  <c r="BH6" i="1"/>
  <c r="BP6" i="1"/>
  <c r="BK7" i="1"/>
  <c r="BF8" i="1"/>
  <c r="BN8" i="1"/>
  <c r="BI9" i="1"/>
  <c r="BD10" i="1"/>
  <c r="BL10" i="1"/>
  <c r="BG11" i="1"/>
  <c r="BO11" i="1"/>
  <c r="BJ12" i="1"/>
  <c r="BE13" i="1"/>
  <c r="BM13" i="1"/>
  <c r="BH14" i="1"/>
  <c r="BP14" i="1"/>
  <c r="BK15" i="1"/>
  <c r="BF16" i="1"/>
  <c r="BN16" i="1"/>
  <c r="BI17" i="1"/>
  <c r="BD18" i="1"/>
  <c r="BL18" i="1"/>
  <c r="BJ3" i="1"/>
  <c r="BK6" i="1"/>
  <c r="BI8" i="1"/>
  <c r="BG10" i="1"/>
  <c r="BE12" i="1"/>
  <c r="BP13" i="1"/>
  <c r="BN15" i="1"/>
  <c r="BL17" i="1"/>
  <c r="BK3" i="1"/>
  <c r="BL6" i="1"/>
  <c r="BJ8" i="1"/>
  <c r="BH10" i="1"/>
  <c r="BF12" i="1"/>
  <c r="BD14" i="1"/>
  <c r="BO15" i="1"/>
  <c r="BM17" i="1"/>
  <c r="BL3" i="1"/>
  <c r="BM6" i="1"/>
  <c r="BK8" i="1"/>
  <c r="BI10" i="1"/>
  <c r="BG12" i="1"/>
  <c r="BE14" i="1"/>
  <c r="BP15" i="1"/>
  <c r="BN17" i="1"/>
  <c r="BM3" i="1"/>
  <c r="BI7" i="1"/>
  <c r="BO9" i="1"/>
  <c r="BM11" i="1"/>
  <c r="BP12" i="1"/>
  <c r="BN14" i="1"/>
  <c r="BL16" i="1"/>
  <c r="BO17" i="1"/>
  <c r="BN3" i="1"/>
  <c r="BN11" i="1"/>
  <c r="BG14" i="1"/>
  <c r="BE16" i="1"/>
  <c r="BP17" i="1"/>
  <c r="BE2" i="1"/>
  <c r="BM2" i="1"/>
  <c r="BH3" i="1"/>
  <c r="BP3" i="1"/>
  <c r="BK4" i="1"/>
  <c r="BF5" i="1"/>
  <c r="BN5" i="1"/>
  <c r="BI6" i="1"/>
  <c r="BD7" i="1"/>
  <c r="BL7" i="1"/>
  <c r="BG8" i="1"/>
  <c r="BO8" i="1"/>
  <c r="BJ9" i="1"/>
  <c r="BE10" i="1"/>
  <c r="BM10" i="1"/>
  <c r="BH11" i="1"/>
  <c r="BP11" i="1"/>
  <c r="BK12" i="1"/>
  <c r="BF13" i="1"/>
  <c r="BN13" i="1"/>
  <c r="BI14" i="1"/>
  <c r="BD15" i="1"/>
  <c r="BL15" i="1"/>
  <c r="BG16" i="1"/>
  <c r="BO16" i="1"/>
  <c r="BJ17" i="1"/>
  <c r="BE18" i="1"/>
  <c r="BM18" i="1"/>
  <c r="BO2" i="1"/>
  <c r="BE4" i="1"/>
  <c r="BP5" i="1"/>
  <c r="BN7" i="1"/>
  <c r="BL9" i="1"/>
  <c r="BJ11" i="1"/>
  <c r="BH13" i="1"/>
  <c r="BF15" i="1"/>
  <c r="BD17" i="1"/>
  <c r="BO18" i="1"/>
  <c r="BP2" i="1"/>
  <c r="BF4" i="1"/>
  <c r="BI5" i="1"/>
  <c r="BG7" i="1"/>
  <c r="BE9" i="1"/>
  <c r="BP10" i="1"/>
  <c r="BN12" i="1"/>
  <c r="BL14" i="1"/>
  <c r="BJ16" i="1"/>
  <c r="BH18" i="1"/>
  <c r="BD3" i="1"/>
  <c r="BG4" i="1"/>
  <c r="BJ5" i="1"/>
  <c r="BH7" i="1"/>
  <c r="BF9" i="1"/>
  <c r="BD11" i="1"/>
  <c r="BO12" i="1"/>
  <c r="BM14" i="1"/>
  <c r="BK16" i="1"/>
  <c r="BI18" i="1"/>
  <c r="BE3" i="1"/>
  <c r="BH4" i="1"/>
  <c r="BK5" i="1"/>
  <c r="BN6" i="1"/>
  <c r="BL8" i="1"/>
  <c r="BJ10" i="1"/>
  <c r="BH12" i="1"/>
  <c r="BK13" i="1"/>
  <c r="BI15" i="1"/>
  <c r="BG17" i="1"/>
  <c r="BF3" i="1"/>
  <c r="BI4" i="1"/>
  <c r="BL5" i="1"/>
  <c r="BO6" i="1"/>
  <c r="BE8" i="1"/>
  <c r="BH9" i="1"/>
  <c r="BK10" i="1"/>
  <c r="BI12" i="1"/>
  <c r="BL13" i="1"/>
  <c r="BJ15" i="1"/>
  <c r="BH17" i="1"/>
  <c r="BK18" i="1"/>
  <c r="BF2" i="1"/>
  <c r="BN2" i="1"/>
  <c r="BI3" i="1"/>
  <c r="BD4" i="1"/>
  <c r="BL4" i="1"/>
  <c r="BG5" i="1"/>
  <c r="BO5" i="1"/>
  <c r="BJ6" i="1"/>
  <c r="BE7" i="1"/>
  <c r="BM7" i="1"/>
  <c r="BH8" i="1"/>
  <c r="BP8" i="1"/>
  <c r="BK9" i="1"/>
  <c r="BF10" i="1"/>
  <c r="BN10" i="1"/>
  <c r="BI11" i="1"/>
  <c r="BD12" i="1"/>
  <c r="BL12" i="1"/>
  <c r="BG13" i="1"/>
  <c r="BO13" i="1"/>
  <c r="BJ14" i="1"/>
  <c r="BE15" i="1"/>
  <c r="BM15" i="1"/>
  <c r="BH16" i="1"/>
  <c r="BP16" i="1"/>
  <c r="BK17" i="1"/>
  <c r="BF18" i="1"/>
  <c r="BN18" i="1"/>
  <c r="BG2" i="1"/>
  <c r="BM4" i="1"/>
  <c r="BH5" i="1"/>
  <c r="BF7" i="1"/>
  <c r="BD9" i="1"/>
  <c r="BO10" i="1"/>
  <c r="BM12" i="1"/>
  <c r="BK14" i="1"/>
  <c r="BI16" i="1"/>
  <c r="BG18" i="1"/>
  <c r="BH2" i="1"/>
  <c r="BN4" i="1"/>
  <c r="BD6" i="1"/>
  <c r="BO7" i="1"/>
  <c r="BM9" i="1"/>
  <c r="BK11" i="1"/>
  <c r="BI13" i="1"/>
  <c r="BG15" i="1"/>
  <c r="BE17" i="1"/>
  <c r="BP18" i="1"/>
  <c r="BI2" i="1"/>
  <c r="BO4" i="1"/>
  <c r="BE6" i="1"/>
  <c r="BP7" i="1"/>
  <c r="BN9" i="1"/>
  <c r="BL11" i="1"/>
  <c r="BJ13" i="1"/>
  <c r="BH15" i="1"/>
  <c r="BF17" i="1"/>
  <c r="BJ2" i="1"/>
  <c r="BP4" i="1"/>
  <c r="BF6" i="1"/>
  <c r="BD8" i="1"/>
  <c r="BG9" i="1"/>
  <c r="BE11" i="1"/>
  <c r="BF14" i="1"/>
  <c r="BD16" i="1"/>
  <c r="BJ18" i="1"/>
  <c r="BK2" i="1"/>
  <c r="BD5" i="1"/>
  <c r="BG6" i="1"/>
  <c r="BJ7" i="1"/>
  <c r="BM8" i="1"/>
  <c r="BP9" i="1"/>
  <c r="BF11" i="1"/>
  <c r="BD13" i="1"/>
  <c r="BO14" i="1"/>
  <c r="BM16" i="1"/>
  <c r="BC3" i="1"/>
  <c r="BC11" i="1"/>
  <c r="BC13" i="1"/>
  <c r="BC17" i="1"/>
  <c r="BC18" i="1"/>
  <c r="BC4" i="1"/>
  <c r="BC12" i="1"/>
  <c r="BC5" i="1"/>
  <c r="BC6" i="1"/>
  <c r="BC14" i="1"/>
  <c r="BC7" i="1"/>
  <c r="BC15" i="1"/>
  <c r="BC8" i="1"/>
  <c r="BC16" i="1"/>
  <c r="BC9" i="1"/>
  <c r="BC10" i="1"/>
  <c r="AE2" i="1"/>
  <c r="AF82" i="1"/>
  <c r="AN82" i="1"/>
  <c r="AI83" i="1"/>
  <c r="AQ83" i="1"/>
  <c r="AL84" i="1"/>
  <c r="AG85" i="1"/>
  <c r="AO85" i="1"/>
  <c r="AJ86" i="1"/>
  <c r="AR86" i="1"/>
  <c r="AM87" i="1"/>
  <c r="AH88" i="1"/>
  <c r="AP88" i="1"/>
  <c r="AK89" i="1"/>
  <c r="AF90" i="1"/>
  <c r="AN90" i="1"/>
  <c r="AI91" i="1"/>
  <c r="AQ91" i="1"/>
  <c r="AL92" i="1"/>
  <c r="AG93" i="1"/>
  <c r="AO93" i="1"/>
  <c r="AJ94" i="1"/>
  <c r="AR94" i="1"/>
  <c r="AM95" i="1"/>
  <c r="AH96" i="1"/>
  <c r="AP96" i="1"/>
  <c r="AK97" i="1"/>
  <c r="AF98" i="1"/>
  <c r="AN98" i="1"/>
  <c r="AQ82" i="1"/>
  <c r="AG84" i="1"/>
  <c r="AJ85" i="1"/>
  <c r="AM86" i="1"/>
  <c r="AF89" i="1"/>
  <c r="AQ90" i="1"/>
  <c r="AO92" i="1"/>
  <c r="AR93" i="1"/>
  <c r="AP95" i="1"/>
  <c r="AN97" i="1"/>
  <c r="AR82" i="1"/>
  <c r="AH84" i="1"/>
  <c r="AK85" i="1"/>
  <c r="AQ87" i="1"/>
  <c r="AO89" i="1"/>
  <c r="AM91" i="1"/>
  <c r="AK93" i="1"/>
  <c r="AN94" i="1"/>
  <c r="AL96" i="1"/>
  <c r="AR98" i="1"/>
  <c r="AF83" i="1"/>
  <c r="AQ92" i="1"/>
  <c r="AR95" i="1"/>
  <c r="AP97" i="1"/>
  <c r="AG83" i="1"/>
  <c r="AJ84" i="1"/>
  <c r="AM85" i="1"/>
  <c r="AF88" i="1"/>
  <c r="AG82" i="1"/>
  <c r="AO82" i="1"/>
  <c r="AJ83" i="1"/>
  <c r="AR83" i="1"/>
  <c r="AM84" i="1"/>
  <c r="AH85" i="1"/>
  <c r="AP85" i="1"/>
  <c r="AK86" i="1"/>
  <c r="AF87" i="1"/>
  <c r="AN87" i="1"/>
  <c r="AI88" i="1"/>
  <c r="AQ88" i="1"/>
  <c r="AL89" i="1"/>
  <c r="AG90" i="1"/>
  <c r="AO90" i="1"/>
  <c r="AJ91" i="1"/>
  <c r="AR91" i="1"/>
  <c r="AM92" i="1"/>
  <c r="AH93" i="1"/>
  <c r="AP93" i="1"/>
  <c r="AK94" i="1"/>
  <c r="AF95" i="1"/>
  <c r="AN95" i="1"/>
  <c r="AI96" i="1"/>
  <c r="AQ96" i="1"/>
  <c r="AL97" i="1"/>
  <c r="AG98" i="1"/>
  <c r="AO98" i="1"/>
  <c r="AL83" i="1"/>
  <c r="AP87" i="1"/>
  <c r="AI90" i="1"/>
  <c r="AG92" i="1"/>
  <c r="AM94" i="1"/>
  <c r="AK96" i="1"/>
  <c r="AI98" i="1"/>
  <c r="AM83" i="1"/>
  <c r="AN86" i="1"/>
  <c r="AL88" i="1"/>
  <c r="AJ90" i="1"/>
  <c r="AH92" i="1"/>
  <c r="AF94" i="1"/>
  <c r="AQ95" i="1"/>
  <c r="AO97" i="1"/>
  <c r="AN83" i="1"/>
  <c r="AL85" i="1"/>
  <c r="AO86" i="1"/>
  <c r="AM88" i="1"/>
  <c r="AP89" i="1"/>
  <c r="AF91" i="1"/>
  <c r="AI92" i="1"/>
  <c r="AG94" i="1"/>
  <c r="AJ95" i="1"/>
  <c r="AH97" i="1"/>
  <c r="AO83" i="1"/>
  <c r="AP86" i="1"/>
  <c r="AI89" i="1"/>
  <c r="AL90" i="1"/>
  <c r="AO91" i="1"/>
  <c r="AM93" i="1"/>
  <c r="AP94" i="1"/>
  <c r="AF96" i="1"/>
  <c r="AQ97" i="1"/>
  <c r="AH83" i="1"/>
  <c r="AP83" i="1"/>
  <c r="AF85" i="1"/>
  <c r="AI86" i="1"/>
  <c r="AL87" i="1"/>
  <c r="AO88" i="1"/>
  <c r="AR89" i="1"/>
  <c r="AH91" i="1"/>
  <c r="AF93" i="1"/>
  <c r="AI94" i="1"/>
  <c r="AL95" i="1"/>
  <c r="AO96" i="1"/>
  <c r="AR97" i="1"/>
  <c r="AH82" i="1"/>
  <c r="AP82" i="1"/>
  <c r="AK83" i="1"/>
  <c r="AF84" i="1"/>
  <c r="AN84" i="1"/>
  <c r="AI85" i="1"/>
  <c r="AQ85" i="1"/>
  <c r="AL86" i="1"/>
  <c r="AG87" i="1"/>
  <c r="AO87" i="1"/>
  <c r="AJ88" i="1"/>
  <c r="AR88" i="1"/>
  <c r="AM89" i="1"/>
  <c r="AH90" i="1"/>
  <c r="AP90" i="1"/>
  <c r="AK91" i="1"/>
  <c r="AF92" i="1"/>
  <c r="AN92" i="1"/>
  <c r="AI93" i="1"/>
  <c r="AQ93" i="1"/>
  <c r="AL94" i="1"/>
  <c r="AG95" i="1"/>
  <c r="AO95" i="1"/>
  <c r="AJ96" i="1"/>
  <c r="AR96" i="1"/>
  <c r="AM97" i="1"/>
  <c r="AH98" i="1"/>
  <c r="AP98" i="1"/>
  <c r="AI82" i="1"/>
  <c r="AO84" i="1"/>
  <c r="AR85" i="1"/>
  <c r="AH87" i="1"/>
  <c r="AK88" i="1"/>
  <c r="AN89" i="1"/>
  <c r="AL91" i="1"/>
  <c r="AJ93" i="1"/>
  <c r="AH95" i="1"/>
  <c r="AF97" i="1"/>
  <c r="AQ98" i="1"/>
  <c r="AJ82" i="1"/>
  <c r="AP84" i="1"/>
  <c r="AF86" i="1"/>
  <c r="AI87" i="1"/>
  <c r="AG89" i="1"/>
  <c r="AR90" i="1"/>
  <c r="AP92" i="1"/>
  <c r="AI95" i="1"/>
  <c r="AG97" i="1"/>
  <c r="AJ98" i="1"/>
  <c r="AK82" i="1"/>
  <c r="AI84" i="1"/>
  <c r="AQ84" i="1"/>
  <c r="AG86" i="1"/>
  <c r="AJ87" i="1"/>
  <c r="AR87" i="1"/>
  <c r="AH89" i="1"/>
  <c r="AK90" i="1"/>
  <c r="AN91" i="1"/>
  <c r="AL93" i="1"/>
  <c r="AO94" i="1"/>
  <c r="AM96" i="1"/>
  <c r="AK98" i="1"/>
  <c r="AL82" i="1"/>
  <c r="AR84" i="1"/>
  <c r="AH86" i="1"/>
  <c r="AK87" i="1"/>
  <c r="AN88" i="1"/>
  <c r="AQ89" i="1"/>
  <c r="AG91" i="1"/>
  <c r="AJ92" i="1"/>
  <c r="AR92" i="1"/>
  <c r="AH94" i="1"/>
  <c r="AK95" i="1"/>
  <c r="AN96" i="1"/>
  <c r="AI97" i="1"/>
  <c r="AL98" i="1"/>
  <c r="AM82" i="1"/>
  <c r="AK84" i="1"/>
  <c r="AN85" i="1"/>
  <c r="AQ86" i="1"/>
  <c r="AG88" i="1"/>
  <c r="AJ89" i="1"/>
  <c r="AM90" i="1"/>
  <c r="AP91" i="1"/>
  <c r="AK92" i="1"/>
  <c r="AN93" i="1"/>
  <c r="AQ94" i="1"/>
  <c r="AG96" i="1"/>
  <c r="AJ97" i="1"/>
  <c r="AM98" i="1"/>
  <c r="AE83" i="1"/>
  <c r="AE91" i="1"/>
  <c r="AE84" i="1"/>
  <c r="AE92" i="1"/>
  <c r="AE85" i="1"/>
  <c r="AE93" i="1"/>
  <c r="AE86" i="1"/>
  <c r="AE94" i="1"/>
  <c r="AE87" i="1"/>
  <c r="AE95" i="1"/>
  <c r="AE88" i="1"/>
  <c r="AE96" i="1"/>
  <c r="AE89" i="1"/>
  <c r="AE97" i="1"/>
  <c r="AE90" i="1"/>
  <c r="AE98" i="1"/>
  <c r="AE82" i="1"/>
  <c r="AE62" i="1"/>
  <c r="AE66" i="1"/>
  <c r="AF62" i="1"/>
  <c r="AN62" i="1"/>
  <c r="AI63" i="1"/>
  <c r="AQ63" i="1"/>
  <c r="AL64" i="1"/>
  <c r="AG65" i="1"/>
  <c r="AO65" i="1"/>
  <c r="AJ66" i="1"/>
  <c r="AR66" i="1"/>
  <c r="AM67" i="1"/>
  <c r="AH68" i="1"/>
  <c r="AP68" i="1"/>
  <c r="AK69" i="1"/>
  <c r="AF70" i="1"/>
  <c r="AN70" i="1"/>
  <c r="AI71" i="1"/>
  <c r="AQ71" i="1"/>
  <c r="AL72" i="1"/>
  <c r="AG73" i="1"/>
  <c r="AO73" i="1"/>
  <c r="AJ74" i="1"/>
  <c r="AR74" i="1"/>
  <c r="AM75" i="1"/>
  <c r="AH76" i="1"/>
  <c r="AP76" i="1"/>
  <c r="AK77" i="1"/>
  <c r="AF78" i="1"/>
  <c r="AN78" i="1"/>
  <c r="AG62" i="1"/>
  <c r="AO62" i="1"/>
  <c r="AJ63" i="1"/>
  <c r="AR63" i="1"/>
  <c r="AM64" i="1"/>
  <c r="AH65" i="1"/>
  <c r="AP65" i="1"/>
  <c r="AK66" i="1"/>
  <c r="AF67" i="1"/>
  <c r="AN67" i="1"/>
  <c r="AI68" i="1"/>
  <c r="AQ68" i="1"/>
  <c r="AL69" i="1"/>
  <c r="AG70" i="1"/>
  <c r="AO70" i="1"/>
  <c r="AJ71" i="1"/>
  <c r="AR71" i="1"/>
  <c r="AM72" i="1"/>
  <c r="AH73" i="1"/>
  <c r="AP73" i="1"/>
  <c r="AK74" i="1"/>
  <c r="AF75" i="1"/>
  <c r="AN75" i="1"/>
  <c r="AI76" i="1"/>
  <c r="AQ76" i="1"/>
  <c r="AL77" i="1"/>
  <c r="AG78" i="1"/>
  <c r="AO78" i="1"/>
  <c r="AH62" i="1"/>
  <c r="AP62" i="1"/>
  <c r="AK63" i="1"/>
  <c r="AF64" i="1"/>
  <c r="AN64" i="1"/>
  <c r="AI65" i="1"/>
  <c r="AQ65" i="1"/>
  <c r="AL66" i="1"/>
  <c r="AG67" i="1"/>
  <c r="AO67" i="1"/>
  <c r="AJ68" i="1"/>
  <c r="AR68" i="1"/>
  <c r="AM69" i="1"/>
  <c r="AH70" i="1"/>
  <c r="AP70" i="1"/>
  <c r="AK71" i="1"/>
  <c r="AF72" i="1"/>
  <c r="AN72" i="1"/>
  <c r="AI73" i="1"/>
  <c r="AQ73" i="1"/>
  <c r="AL74" i="1"/>
  <c r="AG75" i="1"/>
  <c r="AO75" i="1"/>
  <c r="AJ76" i="1"/>
  <c r="AR76" i="1"/>
  <c r="AM77" i="1"/>
  <c r="AH78" i="1"/>
  <c r="AP78" i="1"/>
  <c r="AI62" i="1"/>
  <c r="AL63" i="1"/>
  <c r="AG64" i="1"/>
  <c r="AO64" i="1"/>
  <c r="AJ65" i="1"/>
  <c r="AR65" i="1"/>
  <c r="AM66" i="1"/>
  <c r="AH67" i="1"/>
  <c r="AP67" i="1"/>
  <c r="AF69" i="1"/>
  <c r="AN69" i="1"/>
  <c r="AL71" i="1"/>
  <c r="AO72" i="1"/>
  <c r="AR73" i="1"/>
  <c r="AH75" i="1"/>
  <c r="AK76" i="1"/>
  <c r="AN77" i="1"/>
  <c r="AQ78" i="1"/>
  <c r="AR62" i="1"/>
  <c r="AH64" i="1"/>
  <c r="AK65" i="1"/>
  <c r="AN66" i="1"/>
  <c r="AQ67" i="1"/>
  <c r="AG69" i="1"/>
  <c r="AJ70" i="1"/>
  <c r="AM71" i="1"/>
  <c r="AP72" i="1"/>
  <c r="AF74" i="1"/>
  <c r="AQ75" i="1"/>
  <c r="AG77" i="1"/>
  <c r="AR78" i="1"/>
  <c r="AF63" i="1"/>
  <c r="AI64" i="1"/>
  <c r="AL65" i="1"/>
  <c r="AO66" i="1"/>
  <c r="AM68" i="1"/>
  <c r="AK70" i="1"/>
  <c r="AI72" i="1"/>
  <c r="AO74" i="1"/>
  <c r="AH77" i="1"/>
  <c r="AL62" i="1"/>
  <c r="AR64" i="1"/>
  <c r="AK67" i="1"/>
  <c r="AQ62" i="1"/>
  <c r="AK68" i="1"/>
  <c r="AI70" i="1"/>
  <c r="AG72" i="1"/>
  <c r="AJ73" i="1"/>
  <c r="AM74" i="1"/>
  <c r="AP75" i="1"/>
  <c r="AF77" i="1"/>
  <c r="AI78" i="1"/>
  <c r="AJ62" i="1"/>
  <c r="AP64" i="1"/>
  <c r="AF66" i="1"/>
  <c r="AI67" i="1"/>
  <c r="AL68" i="1"/>
  <c r="AO69" i="1"/>
  <c r="AR70" i="1"/>
  <c r="AH72" i="1"/>
  <c r="AK73" i="1"/>
  <c r="AN74" i="1"/>
  <c r="AL76" i="1"/>
  <c r="AJ78" i="1"/>
  <c r="AK62" i="1"/>
  <c r="AQ64" i="1"/>
  <c r="AG66" i="1"/>
  <c r="AJ67" i="1"/>
  <c r="AH69" i="1"/>
  <c r="AF71" i="1"/>
  <c r="AQ72" i="1"/>
  <c r="AG74" i="1"/>
  <c r="AR75" i="1"/>
  <c r="AK78" i="1"/>
  <c r="AO63" i="1"/>
  <c r="AJ64" i="1"/>
  <c r="AH66" i="1"/>
  <c r="AF68" i="1"/>
  <c r="AQ70" i="1"/>
  <c r="AM63" i="1"/>
  <c r="AI75" i="1"/>
  <c r="AO77" i="1"/>
  <c r="AN63" i="1"/>
  <c r="AR67" i="1"/>
  <c r="AP69" i="1"/>
  <c r="AN71" i="1"/>
  <c r="AL73" i="1"/>
  <c r="AJ75" i="1"/>
  <c r="AM76" i="1"/>
  <c r="AP77" i="1"/>
  <c r="AG63" i="1"/>
  <c r="AM65" i="1"/>
  <c r="AP66" i="1"/>
  <c r="AN68" i="1"/>
  <c r="AM62" i="1"/>
  <c r="AL67" i="1"/>
  <c r="AM70" i="1"/>
  <c r="AF73" i="1"/>
  <c r="AL75" i="1"/>
  <c r="AR77" i="1"/>
  <c r="AF65" i="1"/>
  <c r="AI74" i="1"/>
  <c r="AN65" i="1"/>
  <c r="AI77" i="1"/>
  <c r="AI66" i="1"/>
  <c r="AQ74" i="1"/>
  <c r="AQ66" i="1"/>
  <c r="AK75" i="1"/>
  <c r="AH63" i="1"/>
  <c r="AG68" i="1"/>
  <c r="AG71" i="1"/>
  <c r="AM73" i="1"/>
  <c r="AF76" i="1"/>
  <c r="AL78" i="1"/>
  <c r="AJ69" i="1"/>
  <c r="AO76" i="1"/>
  <c r="AQ69" i="1"/>
  <c r="AP74" i="1"/>
  <c r="AR69" i="1"/>
  <c r="AK72" i="1"/>
  <c r="AJ77" i="1"/>
  <c r="AL70" i="1"/>
  <c r="AR72" i="1"/>
  <c r="AQ77" i="1"/>
  <c r="AP63" i="1"/>
  <c r="AO68" i="1"/>
  <c r="AH71" i="1"/>
  <c r="AN73" i="1"/>
  <c r="AG76" i="1"/>
  <c r="AM78" i="1"/>
  <c r="AK64" i="1"/>
  <c r="AI69" i="1"/>
  <c r="AO71" i="1"/>
  <c r="AH74" i="1"/>
  <c r="AN76" i="1"/>
  <c r="AP71" i="1"/>
  <c r="AJ72" i="1"/>
  <c r="AE63" i="1"/>
  <c r="AE71" i="1"/>
  <c r="AE64" i="1"/>
  <c r="AE72" i="1"/>
  <c r="AE74" i="1"/>
  <c r="AE67" i="1"/>
  <c r="AE68" i="1"/>
  <c r="AE77" i="1"/>
  <c r="AE70" i="1"/>
  <c r="AE65" i="1"/>
  <c r="AE73" i="1"/>
  <c r="AE75" i="1"/>
  <c r="AE76" i="1"/>
  <c r="AE69" i="1"/>
  <c r="AE78" i="1"/>
  <c r="AE42" i="1"/>
  <c r="AF42" i="1"/>
  <c r="AN42" i="1"/>
  <c r="AI43" i="1"/>
  <c r="AQ43" i="1"/>
  <c r="AL44" i="1"/>
  <c r="AG45" i="1"/>
  <c r="AO45" i="1"/>
  <c r="AJ46" i="1"/>
  <c r="AR46" i="1"/>
  <c r="AM47" i="1"/>
  <c r="AH48" i="1"/>
  <c r="AP48" i="1"/>
  <c r="AK49" i="1"/>
  <c r="AF50" i="1"/>
  <c r="AN50" i="1"/>
  <c r="AI51" i="1"/>
  <c r="AQ51" i="1"/>
  <c r="AL52" i="1"/>
  <c r="AG53" i="1"/>
  <c r="AO53" i="1"/>
  <c r="AJ54" i="1"/>
  <c r="AR54" i="1"/>
  <c r="AM55" i="1"/>
  <c r="AH56" i="1"/>
  <c r="AP56" i="1"/>
  <c r="AK57" i="1"/>
  <c r="AF58" i="1"/>
  <c r="AN58" i="1"/>
  <c r="AL43" i="1"/>
  <c r="AF49" i="1"/>
  <c r="AL51" i="1"/>
  <c r="AJ53" i="1"/>
  <c r="AH55" i="1"/>
  <c r="AF57" i="1"/>
  <c r="AQ58" i="1"/>
  <c r="AM43" i="1"/>
  <c r="AQ47" i="1"/>
  <c r="AJ50" i="1"/>
  <c r="AP52" i="1"/>
  <c r="AF54" i="1"/>
  <c r="AQ55" i="1"/>
  <c r="AO57" i="1"/>
  <c r="AQ44" i="1"/>
  <c r="AP43" i="1"/>
  <c r="AG42" i="1"/>
  <c r="AO42" i="1"/>
  <c r="AJ43" i="1"/>
  <c r="AR43" i="1"/>
  <c r="AM44" i="1"/>
  <c r="AH45" i="1"/>
  <c r="AP45" i="1"/>
  <c r="AK46" i="1"/>
  <c r="AF47" i="1"/>
  <c r="AN47" i="1"/>
  <c r="AI48" i="1"/>
  <c r="AQ48" i="1"/>
  <c r="AL49" i="1"/>
  <c r="AG50" i="1"/>
  <c r="AO50" i="1"/>
  <c r="AJ51" i="1"/>
  <c r="AR51" i="1"/>
  <c r="AM52" i="1"/>
  <c r="AH53" i="1"/>
  <c r="AP53" i="1"/>
  <c r="AK54" i="1"/>
  <c r="AF55" i="1"/>
  <c r="AN55" i="1"/>
  <c r="AI56" i="1"/>
  <c r="AQ56" i="1"/>
  <c r="AL57" i="1"/>
  <c r="AG58" i="1"/>
  <c r="AO58" i="1"/>
  <c r="AQ42" i="1"/>
  <c r="AG44" i="1"/>
  <c r="AJ45" i="1"/>
  <c r="AM46" i="1"/>
  <c r="AP47" i="1"/>
  <c r="AN49" i="1"/>
  <c r="AQ50" i="1"/>
  <c r="AO52" i="1"/>
  <c r="AM54" i="1"/>
  <c r="AK56" i="1"/>
  <c r="AN57" i="1"/>
  <c r="AJ42" i="1"/>
  <c r="AH44" i="1"/>
  <c r="AK45" i="1"/>
  <c r="AN46" i="1"/>
  <c r="AL48" i="1"/>
  <c r="AO49" i="1"/>
  <c r="AM51" i="1"/>
  <c r="AK53" i="1"/>
  <c r="AI55" i="1"/>
  <c r="AG57" i="1"/>
  <c r="AR58" i="1"/>
  <c r="AF43" i="1"/>
  <c r="AN43" i="1"/>
  <c r="AL45" i="1"/>
  <c r="AO46" i="1"/>
  <c r="AR47" i="1"/>
  <c r="AH49" i="1"/>
  <c r="AK50" i="1"/>
  <c r="AN51" i="1"/>
  <c r="AQ52" i="1"/>
  <c r="AG54" i="1"/>
  <c r="AJ55" i="1"/>
  <c r="AM56" i="1"/>
  <c r="AP57" i="1"/>
  <c r="AL42" i="1"/>
  <c r="AO43" i="1"/>
  <c r="AR44" i="1"/>
  <c r="AH46" i="1"/>
  <c r="AK47" i="1"/>
  <c r="AN48" i="1"/>
  <c r="AQ49" i="1"/>
  <c r="AG51" i="1"/>
  <c r="AJ52" i="1"/>
  <c r="AH54" i="1"/>
  <c r="AK55" i="1"/>
  <c r="AN56" i="1"/>
  <c r="AQ57" i="1"/>
  <c r="AH43" i="1"/>
  <c r="AK44" i="1"/>
  <c r="AN45" i="1"/>
  <c r="AQ46" i="1"/>
  <c r="AG48" i="1"/>
  <c r="AJ49" i="1"/>
  <c r="AM50" i="1"/>
  <c r="AP51" i="1"/>
  <c r="AF53" i="1"/>
  <c r="AI54" i="1"/>
  <c r="AL55" i="1"/>
  <c r="AO56" i="1"/>
  <c r="AR57" i="1"/>
  <c r="AH42" i="1"/>
  <c r="AP42" i="1"/>
  <c r="AK43" i="1"/>
  <c r="AF44" i="1"/>
  <c r="AN44" i="1"/>
  <c r="AI45" i="1"/>
  <c r="AQ45" i="1"/>
  <c r="AL46" i="1"/>
  <c r="AG47" i="1"/>
  <c r="AO47" i="1"/>
  <c r="AJ48" i="1"/>
  <c r="AR48" i="1"/>
  <c r="AM49" i="1"/>
  <c r="AH50" i="1"/>
  <c r="AP50" i="1"/>
  <c r="AK51" i="1"/>
  <c r="AF52" i="1"/>
  <c r="AN52" i="1"/>
  <c r="AI53" i="1"/>
  <c r="AQ53" i="1"/>
  <c r="AL54" i="1"/>
  <c r="AG55" i="1"/>
  <c r="AO55" i="1"/>
  <c r="AJ56" i="1"/>
  <c r="AR56" i="1"/>
  <c r="AM57" i="1"/>
  <c r="AH58" i="1"/>
  <c r="AP58" i="1"/>
  <c r="AI42" i="1"/>
  <c r="AO44" i="1"/>
  <c r="AR45" i="1"/>
  <c r="AH47" i="1"/>
  <c r="AK48" i="1"/>
  <c r="AI50" i="1"/>
  <c r="AG52" i="1"/>
  <c r="AR53" i="1"/>
  <c r="AP55" i="1"/>
  <c r="AI58" i="1"/>
  <c r="AR42" i="1"/>
  <c r="AP44" i="1"/>
  <c r="AF46" i="1"/>
  <c r="AI47" i="1"/>
  <c r="AG49" i="1"/>
  <c r="AR50" i="1"/>
  <c r="AH52" i="1"/>
  <c r="AN54" i="1"/>
  <c r="AL56" i="1"/>
  <c r="AJ58" i="1"/>
  <c r="AK42" i="1"/>
  <c r="AI44" i="1"/>
  <c r="AG46" i="1"/>
  <c r="AJ47" i="1"/>
  <c r="AM48" i="1"/>
  <c r="AP49" i="1"/>
  <c r="AF51" i="1"/>
  <c r="AI52" i="1"/>
  <c r="AL53" i="1"/>
  <c r="AO54" i="1"/>
  <c r="AR55" i="1"/>
  <c r="AH57" i="1"/>
  <c r="AK58" i="1"/>
  <c r="AG43" i="1"/>
  <c r="AJ44" i="1"/>
  <c r="AM45" i="1"/>
  <c r="AP46" i="1"/>
  <c r="AF48" i="1"/>
  <c r="AI49" i="1"/>
  <c r="AL50" i="1"/>
  <c r="AO51" i="1"/>
  <c r="AR52" i="1"/>
  <c r="AM53" i="1"/>
  <c r="AP54" i="1"/>
  <c r="AF56" i="1"/>
  <c r="AI57" i="1"/>
  <c r="AL58" i="1"/>
  <c r="AM42" i="1"/>
  <c r="AF45" i="1"/>
  <c r="AI46" i="1"/>
  <c r="AL47" i="1"/>
  <c r="AO48" i="1"/>
  <c r="AR49" i="1"/>
  <c r="AH51" i="1"/>
  <c r="AK52" i="1"/>
  <c r="AN53" i="1"/>
  <c r="AQ54" i="1"/>
  <c r="AG56" i="1"/>
  <c r="AJ57" i="1"/>
  <c r="AM58" i="1"/>
  <c r="AE43" i="1"/>
  <c r="AE51" i="1"/>
  <c r="AE48" i="1"/>
  <c r="AE44" i="1"/>
  <c r="AE52" i="1"/>
  <c r="AE56" i="1"/>
  <c r="AE58" i="1"/>
  <c r="AE45" i="1"/>
  <c r="AE53" i="1"/>
  <c r="AE55" i="1"/>
  <c r="AE57" i="1"/>
  <c r="AE46" i="1"/>
  <c r="AE54" i="1"/>
  <c r="AE47" i="1"/>
  <c r="AE49" i="1"/>
  <c r="AE50" i="1"/>
  <c r="AE22" i="1"/>
  <c r="AF22" i="1"/>
  <c r="AN22" i="1"/>
  <c r="AI23" i="1"/>
  <c r="AQ23" i="1"/>
  <c r="AL24" i="1"/>
  <c r="AG25" i="1"/>
  <c r="AO25" i="1"/>
  <c r="AJ26" i="1"/>
  <c r="AR26" i="1"/>
  <c r="AM27" i="1"/>
  <c r="AH28" i="1"/>
  <c r="AP28" i="1"/>
  <c r="AK29" i="1"/>
  <c r="AF30" i="1"/>
  <c r="AN30" i="1"/>
  <c r="AI31" i="1"/>
  <c r="AQ31" i="1"/>
  <c r="AL32" i="1"/>
  <c r="AG33" i="1"/>
  <c r="AO33" i="1"/>
  <c r="AJ34" i="1"/>
  <c r="AR34" i="1"/>
  <c r="AM35" i="1"/>
  <c r="AH36" i="1"/>
  <c r="AP36" i="1"/>
  <c r="AK37" i="1"/>
  <c r="AF38" i="1"/>
  <c r="AN38" i="1"/>
  <c r="AP22" i="1"/>
  <c r="AK23" i="1"/>
  <c r="AN24" i="1"/>
  <c r="AQ25" i="1"/>
  <c r="AG27" i="1"/>
  <c r="AJ28" i="1"/>
  <c r="AM29" i="1"/>
  <c r="AP30" i="1"/>
  <c r="AF32" i="1"/>
  <c r="AI33" i="1"/>
  <c r="AL34" i="1"/>
  <c r="AO35" i="1"/>
  <c r="AR36" i="1"/>
  <c r="AH38" i="1"/>
  <c r="AI22" i="1"/>
  <c r="AL23" i="1"/>
  <c r="AO24" i="1"/>
  <c r="AR25" i="1"/>
  <c r="AH27" i="1"/>
  <c r="AK28" i="1"/>
  <c r="AN29" i="1"/>
  <c r="AQ30" i="1"/>
  <c r="AG32" i="1"/>
  <c r="AJ33" i="1"/>
  <c r="AM34" i="1"/>
  <c r="AP35" i="1"/>
  <c r="AF37" i="1"/>
  <c r="AI38" i="1"/>
  <c r="AR22" i="1"/>
  <c r="AM23" i="1"/>
  <c r="AP24" i="1"/>
  <c r="AF26" i="1"/>
  <c r="AI27" i="1"/>
  <c r="AL28" i="1"/>
  <c r="AO29" i="1"/>
  <c r="AR30" i="1"/>
  <c r="AH32" i="1"/>
  <c r="AK33" i="1"/>
  <c r="AN34" i="1"/>
  <c r="AQ35" i="1"/>
  <c r="AG37" i="1"/>
  <c r="AJ38" i="1"/>
  <c r="AF23" i="1"/>
  <c r="AN23" i="1"/>
  <c r="AQ24" i="1"/>
  <c r="AG26" i="1"/>
  <c r="AJ27" i="1"/>
  <c r="AM28" i="1"/>
  <c r="AP29" i="1"/>
  <c r="AF31" i="1"/>
  <c r="AI32" i="1"/>
  <c r="AL33" i="1"/>
  <c r="AO34" i="1"/>
  <c r="AR35" i="1"/>
  <c r="AH37" i="1"/>
  <c r="AK38" i="1"/>
  <c r="AG23" i="1"/>
  <c r="AO23" i="1"/>
  <c r="AR24" i="1"/>
  <c r="AH26" i="1"/>
  <c r="AK27" i="1"/>
  <c r="AN28" i="1"/>
  <c r="AQ29" i="1"/>
  <c r="AG31" i="1"/>
  <c r="AJ32" i="1"/>
  <c r="AM33" i="1"/>
  <c r="AP34" i="1"/>
  <c r="AF36" i="1"/>
  <c r="AI37" i="1"/>
  <c r="AL38" i="1"/>
  <c r="AH23" i="1"/>
  <c r="AP23" i="1"/>
  <c r="AF25" i="1"/>
  <c r="AI26" i="1"/>
  <c r="AL27" i="1"/>
  <c r="AO28" i="1"/>
  <c r="AR29" i="1"/>
  <c r="AH31" i="1"/>
  <c r="AK32" i="1"/>
  <c r="AN33" i="1"/>
  <c r="AQ34" i="1"/>
  <c r="AG36" i="1"/>
  <c r="AJ37" i="1"/>
  <c r="AM38" i="1"/>
  <c r="AG22" i="1"/>
  <c r="AO22" i="1"/>
  <c r="AJ23" i="1"/>
  <c r="AR23" i="1"/>
  <c r="AM24" i="1"/>
  <c r="AH25" i="1"/>
  <c r="AP25" i="1"/>
  <c r="AK26" i="1"/>
  <c r="AF27" i="1"/>
  <c r="AN27" i="1"/>
  <c r="AI28" i="1"/>
  <c r="AQ28" i="1"/>
  <c r="AL29" i="1"/>
  <c r="AG30" i="1"/>
  <c r="AO30" i="1"/>
  <c r="AJ31" i="1"/>
  <c r="AR31" i="1"/>
  <c r="AM32" i="1"/>
  <c r="AH33" i="1"/>
  <c r="AP33" i="1"/>
  <c r="AK34" i="1"/>
  <c r="AF35" i="1"/>
  <c r="AN35" i="1"/>
  <c r="AI36" i="1"/>
  <c r="AQ36" i="1"/>
  <c r="AL37" i="1"/>
  <c r="AG38" i="1"/>
  <c r="AO38" i="1"/>
  <c r="AH22" i="1"/>
  <c r="AF24" i="1"/>
  <c r="AI25" i="1"/>
  <c r="AL26" i="1"/>
  <c r="AO27" i="1"/>
  <c r="AR28" i="1"/>
  <c r="AH30" i="1"/>
  <c r="AK31" i="1"/>
  <c r="AN32" i="1"/>
  <c r="AQ33" i="1"/>
  <c r="AG35" i="1"/>
  <c r="AJ36" i="1"/>
  <c r="AM37" i="1"/>
  <c r="AP38" i="1"/>
  <c r="AQ22" i="1"/>
  <c r="AG24" i="1"/>
  <c r="AJ25" i="1"/>
  <c r="AM26" i="1"/>
  <c r="AP27" i="1"/>
  <c r="AF29" i="1"/>
  <c r="AI30" i="1"/>
  <c r="AL31" i="1"/>
  <c r="AO32" i="1"/>
  <c r="AR33" i="1"/>
  <c r="AH35" i="1"/>
  <c r="AK36" i="1"/>
  <c r="AN37" i="1"/>
  <c r="AQ38" i="1"/>
  <c r="AJ22" i="1"/>
  <c r="AH24" i="1"/>
  <c r="AK25" i="1"/>
  <c r="AN26" i="1"/>
  <c r="AQ27" i="1"/>
  <c r="AG29" i="1"/>
  <c r="AJ30" i="1"/>
  <c r="AM31" i="1"/>
  <c r="AP32" i="1"/>
  <c r="AF34" i="1"/>
  <c r="AI35" i="1"/>
  <c r="AL36" i="1"/>
  <c r="AO37" i="1"/>
  <c r="AR38" i="1"/>
  <c r="AK22" i="1"/>
  <c r="AI24" i="1"/>
  <c r="AL25" i="1"/>
  <c r="AO26" i="1"/>
  <c r="AR27" i="1"/>
  <c r="AH29" i="1"/>
  <c r="AK30" i="1"/>
  <c r="AN31" i="1"/>
  <c r="AQ32" i="1"/>
  <c r="AG34" i="1"/>
  <c r="AJ35" i="1"/>
  <c r="AM36" i="1"/>
  <c r="AP37" i="1"/>
  <c r="AL22" i="1"/>
  <c r="AJ24" i="1"/>
  <c r="AM25" i="1"/>
  <c r="AP26" i="1"/>
  <c r="AF28" i="1"/>
  <c r="AI29" i="1"/>
  <c r="AL30" i="1"/>
  <c r="AO31" i="1"/>
  <c r="AR32" i="1"/>
  <c r="AH34" i="1"/>
  <c r="AK35" i="1"/>
  <c r="AN36" i="1"/>
  <c r="AQ37" i="1"/>
  <c r="AM22" i="1"/>
  <c r="AK24" i="1"/>
  <c r="AN25" i="1"/>
  <c r="AQ26" i="1"/>
  <c r="AG28" i="1"/>
  <c r="AJ29" i="1"/>
  <c r="AM30" i="1"/>
  <c r="AP31" i="1"/>
  <c r="AF33" i="1"/>
  <c r="AI34" i="1"/>
  <c r="AL35" i="1"/>
  <c r="AO36" i="1"/>
  <c r="AR37" i="1"/>
  <c r="AE23" i="1"/>
  <c r="AE31" i="1"/>
  <c r="AE24" i="1"/>
  <c r="AE32" i="1"/>
  <c r="AE25" i="1"/>
  <c r="AE33" i="1"/>
  <c r="AE26" i="1"/>
  <c r="AE35" i="1"/>
  <c r="AE36" i="1"/>
  <c r="AE29" i="1"/>
  <c r="AE37" i="1"/>
  <c r="AE30" i="1"/>
  <c r="AE38" i="1"/>
  <c r="AE34" i="1"/>
  <c r="AE27" i="1"/>
  <c r="AE28" i="1"/>
  <c r="AE3" i="1"/>
  <c r="AF2" i="1"/>
  <c r="AN2" i="1"/>
  <c r="AI3" i="1"/>
  <c r="AQ3" i="1"/>
  <c r="AL4" i="1"/>
  <c r="AG5" i="1"/>
  <c r="AO5" i="1"/>
  <c r="AJ6" i="1"/>
  <c r="AR6" i="1"/>
  <c r="AM7" i="1"/>
  <c r="AH8" i="1"/>
  <c r="AP8" i="1"/>
  <c r="AK9" i="1"/>
  <c r="AF10" i="1"/>
  <c r="AN10" i="1"/>
  <c r="AI11" i="1"/>
  <c r="AQ11" i="1"/>
  <c r="AL12" i="1"/>
  <c r="AG13" i="1"/>
  <c r="AO13" i="1"/>
  <c r="AJ14" i="1"/>
  <c r="AR14" i="1"/>
  <c r="AM15" i="1"/>
  <c r="AH16" i="1"/>
  <c r="AP16" i="1"/>
  <c r="AK17" i="1"/>
  <c r="AF18" i="1"/>
  <c r="AN18" i="1"/>
  <c r="AL3" i="1"/>
  <c r="AF9" i="1"/>
  <c r="AL11" i="1"/>
  <c r="AJ13" i="1"/>
  <c r="AH15" i="1"/>
  <c r="AF17" i="1"/>
  <c r="AQ18" i="1"/>
  <c r="AJ2" i="1"/>
  <c r="AO9" i="1"/>
  <c r="AH12" i="1"/>
  <c r="AN14" i="1"/>
  <c r="AL16" i="1"/>
  <c r="AJ18" i="1"/>
  <c r="AF3" i="1"/>
  <c r="AI4" i="1"/>
  <c r="AL5" i="1"/>
  <c r="AJ7" i="1"/>
  <c r="AM8" i="1"/>
  <c r="AK10" i="1"/>
  <c r="AI12" i="1"/>
  <c r="AO14" i="1"/>
  <c r="AM16" i="1"/>
  <c r="AK18" i="1"/>
  <c r="AG3" i="1"/>
  <c r="AR4" i="1"/>
  <c r="AH6" i="1"/>
  <c r="AF8" i="1"/>
  <c r="AQ9" i="1"/>
  <c r="AO11" i="1"/>
  <c r="AM13" i="1"/>
  <c r="AK15" i="1"/>
  <c r="AI17" i="1"/>
  <c r="AL18" i="1"/>
  <c r="AM2" i="1"/>
  <c r="AK4" i="1"/>
  <c r="AN5" i="1"/>
  <c r="AQ6" i="1"/>
  <c r="AG8" i="1"/>
  <c r="AJ9" i="1"/>
  <c r="AM10" i="1"/>
  <c r="AP11" i="1"/>
  <c r="AF13" i="1"/>
  <c r="AI14" i="1"/>
  <c r="AQ14" i="1"/>
  <c r="AG16" i="1"/>
  <c r="AJ17" i="1"/>
  <c r="AM18" i="1"/>
  <c r="AG2" i="1"/>
  <c r="AO2" i="1"/>
  <c r="AJ3" i="1"/>
  <c r="AR3" i="1"/>
  <c r="AM4" i="1"/>
  <c r="AH5" i="1"/>
  <c r="AP5" i="1"/>
  <c r="AK6" i="1"/>
  <c r="AF7" i="1"/>
  <c r="AN7" i="1"/>
  <c r="AI8" i="1"/>
  <c r="AQ8" i="1"/>
  <c r="AL9" i="1"/>
  <c r="AG10" i="1"/>
  <c r="AO10" i="1"/>
  <c r="AJ11" i="1"/>
  <c r="AR11" i="1"/>
  <c r="AM12" i="1"/>
  <c r="AH13" i="1"/>
  <c r="AP13" i="1"/>
  <c r="AK14" i="1"/>
  <c r="AF15" i="1"/>
  <c r="AN15" i="1"/>
  <c r="AI16" i="1"/>
  <c r="AQ16" i="1"/>
  <c r="AL17" i="1"/>
  <c r="AG18" i="1"/>
  <c r="AO18" i="1"/>
  <c r="AG4" i="1"/>
  <c r="AI10" i="1"/>
  <c r="AO12" i="1"/>
  <c r="AM14" i="1"/>
  <c r="AK16" i="1"/>
  <c r="AI18" i="1"/>
  <c r="AM3" i="1"/>
  <c r="AK5" i="1"/>
  <c r="AN6" i="1"/>
  <c r="AL8" i="1"/>
  <c r="AJ10" i="1"/>
  <c r="AM11" i="1"/>
  <c r="AK13" i="1"/>
  <c r="AI15" i="1"/>
  <c r="AG17" i="1"/>
  <c r="AR18" i="1"/>
  <c r="AN3" i="1"/>
  <c r="AO6" i="1"/>
  <c r="AH9" i="1"/>
  <c r="AN11" i="1"/>
  <c r="AL13" i="1"/>
  <c r="AJ15" i="1"/>
  <c r="AH17" i="1"/>
  <c r="AO3" i="1"/>
  <c r="AP6" i="1"/>
  <c r="AN8" i="1"/>
  <c r="AL10" i="1"/>
  <c r="AJ12" i="1"/>
  <c r="AH14" i="1"/>
  <c r="AF16" i="1"/>
  <c r="AQ17" i="1"/>
  <c r="AH3" i="1"/>
  <c r="AP3" i="1"/>
  <c r="AF5" i="1"/>
  <c r="AI6" i="1"/>
  <c r="AL7" i="1"/>
  <c r="AO8" i="1"/>
  <c r="AR9" i="1"/>
  <c r="AH11" i="1"/>
  <c r="AK12" i="1"/>
  <c r="AN13" i="1"/>
  <c r="AL15" i="1"/>
  <c r="AO16" i="1"/>
  <c r="AR17" i="1"/>
  <c r="AH2" i="1"/>
  <c r="AP2" i="1"/>
  <c r="AK3" i="1"/>
  <c r="AF4" i="1"/>
  <c r="AN4" i="1"/>
  <c r="AI5" i="1"/>
  <c r="AQ5" i="1"/>
  <c r="AL6" i="1"/>
  <c r="AG7" i="1"/>
  <c r="AO7" i="1"/>
  <c r="AJ8" i="1"/>
  <c r="AR8" i="1"/>
  <c r="AM9" i="1"/>
  <c r="AH10" i="1"/>
  <c r="AP10" i="1"/>
  <c r="AK11" i="1"/>
  <c r="AF12" i="1"/>
  <c r="AN12" i="1"/>
  <c r="AI13" i="1"/>
  <c r="AQ13" i="1"/>
  <c r="AL14" i="1"/>
  <c r="AG15" i="1"/>
  <c r="AO15" i="1"/>
  <c r="AJ16" i="1"/>
  <c r="AR16" i="1"/>
  <c r="AM17" i="1"/>
  <c r="AH18" i="1"/>
  <c r="AP18" i="1"/>
  <c r="AI2" i="1"/>
  <c r="AQ2" i="1"/>
  <c r="AO4" i="1"/>
  <c r="AJ5" i="1"/>
  <c r="AR5" i="1"/>
  <c r="AM6" i="1"/>
  <c r="AH7" i="1"/>
  <c r="AP7" i="1"/>
  <c r="AK8" i="1"/>
  <c r="AN9" i="1"/>
  <c r="AQ10" i="1"/>
  <c r="AG12" i="1"/>
  <c r="AR13" i="1"/>
  <c r="AP15" i="1"/>
  <c r="AN17" i="1"/>
  <c r="AR2" i="1"/>
  <c r="AH4" i="1"/>
  <c r="AP4" i="1"/>
  <c r="AF6" i="1"/>
  <c r="AI7" i="1"/>
  <c r="AQ7" i="1"/>
  <c r="AG9" i="1"/>
  <c r="AR10" i="1"/>
  <c r="AP12" i="1"/>
  <c r="AF14" i="1"/>
  <c r="AQ15" i="1"/>
  <c r="AO17" i="1"/>
  <c r="AK2" i="1"/>
  <c r="AQ4" i="1"/>
  <c r="AG6" i="1"/>
  <c r="AR7" i="1"/>
  <c r="AP9" i="1"/>
  <c r="AF11" i="1"/>
  <c r="AQ12" i="1"/>
  <c r="AG14" i="1"/>
  <c r="AR15" i="1"/>
  <c r="AP17" i="1"/>
  <c r="AL2" i="1"/>
  <c r="AJ4" i="1"/>
  <c r="AM5" i="1"/>
  <c r="AK7" i="1"/>
  <c r="AI9" i="1"/>
  <c r="AG11" i="1"/>
  <c r="AR12" i="1"/>
  <c r="AP14" i="1"/>
  <c r="AN16" i="1"/>
  <c r="AE14" i="1"/>
  <c r="AE11" i="1"/>
  <c r="AE13" i="1"/>
  <c r="AE6" i="1"/>
  <c r="AE7" i="1"/>
  <c r="AE16" i="1"/>
  <c r="AE17" i="1"/>
  <c r="AE4" i="1"/>
  <c r="AE12" i="1"/>
  <c r="AE5" i="1"/>
  <c r="AE15" i="1"/>
  <c r="AE8" i="1"/>
  <c r="AE9" i="1"/>
  <c r="AE10" i="1"/>
  <c r="G2" i="1"/>
  <c r="H82" i="1"/>
  <c r="P82" i="1"/>
  <c r="K83" i="1"/>
  <c r="S83" i="1"/>
  <c r="N84" i="1"/>
  <c r="I85" i="1"/>
  <c r="Q85" i="1"/>
  <c r="L86" i="1"/>
  <c r="T86" i="1"/>
  <c r="O87" i="1"/>
  <c r="J88" i="1"/>
  <c r="R88" i="1"/>
  <c r="M89" i="1"/>
  <c r="H90" i="1"/>
  <c r="P90" i="1"/>
  <c r="K91" i="1"/>
  <c r="S91" i="1"/>
  <c r="N92" i="1"/>
  <c r="I93" i="1"/>
  <c r="Q93" i="1"/>
  <c r="L94" i="1"/>
  <c r="T94" i="1"/>
  <c r="O95" i="1"/>
  <c r="J96" i="1"/>
  <c r="R96" i="1"/>
  <c r="M97" i="1"/>
  <c r="H98" i="1"/>
  <c r="P98" i="1"/>
  <c r="Q84" i="1"/>
  <c r="J95" i="1"/>
  <c r="H97" i="1"/>
  <c r="S98" i="1"/>
  <c r="L82" i="1"/>
  <c r="J84" i="1"/>
  <c r="H86" i="1"/>
  <c r="P86" i="1"/>
  <c r="S87" i="1"/>
  <c r="I89" i="1"/>
  <c r="L90" i="1"/>
  <c r="O91" i="1"/>
  <c r="R92" i="1"/>
  <c r="H94" i="1"/>
  <c r="S95" i="1"/>
  <c r="I97" i="1"/>
  <c r="T98" i="1"/>
  <c r="H83" i="1"/>
  <c r="K84" i="1"/>
  <c r="N85" i="1"/>
  <c r="Q86" i="1"/>
  <c r="T87" i="1"/>
  <c r="J89" i="1"/>
  <c r="M90" i="1"/>
  <c r="P91" i="1"/>
  <c r="S92" i="1"/>
  <c r="Q94" i="1"/>
  <c r="O96" i="1"/>
  <c r="M98" i="1"/>
  <c r="I83" i="1"/>
  <c r="L84" i="1"/>
  <c r="O85" i="1"/>
  <c r="R86" i="1"/>
  <c r="H88" i="1"/>
  <c r="K89" i="1"/>
  <c r="N90" i="1"/>
  <c r="Q91" i="1"/>
  <c r="O82" i="1"/>
  <c r="M84" i="1"/>
  <c r="K86" i="1"/>
  <c r="N87" i="1"/>
  <c r="Q88" i="1"/>
  <c r="T89" i="1"/>
  <c r="J91" i="1"/>
  <c r="R91" i="1"/>
  <c r="H93" i="1"/>
  <c r="S94" i="1"/>
  <c r="I96" i="1"/>
  <c r="T97" i="1"/>
  <c r="I82" i="1"/>
  <c r="Q82" i="1"/>
  <c r="L83" i="1"/>
  <c r="T83" i="1"/>
  <c r="O84" i="1"/>
  <c r="J85" i="1"/>
  <c r="R85" i="1"/>
  <c r="M86" i="1"/>
  <c r="H87" i="1"/>
  <c r="P87" i="1"/>
  <c r="K88" i="1"/>
  <c r="S88" i="1"/>
  <c r="N89" i="1"/>
  <c r="I90" i="1"/>
  <c r="Q90" i="1"/>
  <c r="L91" i="1"/>
  <c r="T91" i="1"/>
  <c r="O92" i="1"/>
  <c r="J93" i="1"/>
  <c r="R93" i="1"/>
  <c r="M94" i="1"/>
  <c r="H95" i="1"/>
  <c r="P95" i="1"/>
  <c r="K96" i="1"/>
  <c r="S96" i="1"/>
  <c r="N97" i="1"/>
  <c r="I98" i="1"/>
  <c r="Q98" i="1"/>
  <c r="L85" i="1"/>
  <c r="O94" i="1"/>
  <c r="M96" i="1"/>
  <c r="K98" i="1"/>
  <c r="T82" i="1"/>
  <c r="R84" i="1"/>
  <c r="M85" i="1"/>
  <c r="K87" i="1"/>
  <c r="N88" i="1"/>
  <c r="Q89" i="1"/>
  <c r="T90" i="1"/>
  <c r="J92" i="1"/>
  <c r="M93" i="1"/>
  <c r="K95" i="1"/>
  <c r="N96" i="1"/>
  <c r="L98" i="1"/>
  <c r="M82" i="1"/>
  <c r="S84" i="1"/>
  <c r="I86" i="1"/>
  <c r="L87" i="1"/>
  <c r="O88" i="1"/>
  <c r="R89" i="1"/>
  <c r="H91" i="1"/>
  <c r="K92" i="1"/>
  <c r="N93" i="1"/>
  <c r="L95" i="1"/>
  <c r="T95" i="1"/>
  <c r="R97" i="1"/>
  <c r="N82" i="1"/>
  <c r="T84" i="1"/>
  <c r="J86" i="1"/>
  <c r="M87" i="1"/>
  <c r="P88" i="1"/>
  <c r="S89" i="1"/>
  <c r="I91" i="1"/>
  <c r="L92" i="1"/>
  <c r="T92" i="1"/>
  <c r="J94" i="1"/>
  <c r="R94" i="1"/>
  <c r="H96" i="1"/>
  <c r="P96" i="1"/>
  <c r="S97" i="1"/>
  <c r="J83" i="1"/>
  <c r="H85" i="1"/>
  <c r="P85" i="1"/>
  <c r="S86" i="1"/>
  <c r="I88" i="1"/>
  <c r="L89" i="1"/>
  <c r="O90" i="1"/>
  <c r="M92" i="1"/>
  <c r="P93" i="1"/>
  <c r="N95" i="1"/>
  <c r="Q96" i="1"/>
  <c r="O98" i="1"/>
  <c r="J82" i="1"/>
  <c r="R82" i="1"/>
  <c r="M83" i="1"/>
  <c r="H84" i="1"/>
  <c r="P84" i="1"/>
  <c r="K85" i="1"/>
  <c r="S85" i="1"/>
  <c r="N86" i="1"/>
  <c r="I87" i="1"/>
  <c r="Q87" i="1"/>
  <c r="L88" i="1"/>
  <c r="T88" i="1"/>
  <c r="O89" i="1"/>
  <c r="J90" i="1"/>
  <c r="R90" i="1"/>
  <c r="M91" i="1"/>
  <c r="H92" i="1"/>
  <c r="P92" i="1"/>
  <c r="K93" i="1"/>
  <c r="S93" i="1"/>
  <c r="N94" i="1"/>
  <c r="I95" i="1"/>
  <c r="Q95" i="1"/>
  <c r="L96" i="1"/>
  <c r="T96" i="1"/>
  <c r="O97" i="1"/>
  <c r="J98" i="1"/>
  <c r="R98" i="1"/>
  <c r="K82" i="1"/>
  <c r="S82" i="1"/>
  <c r="N83" i="1"/>
  <c r="I84" i="1"/>
  <c r="T85" i="1"/>
  <c r="O86" i="1"/>
  <c r="J87" i="1"/>
  <c r="R87" i="1"/>
  <c r="M88" i="1"/>
  <c r="H89" i="1"/>
  <c r="P89" i="1"/>
  <c r="K90" i="1"/>
  <c r="S90" i="1"/>
  <c r="N91" i="1"/>
  <c r="I92" i="1"/>
  <c r="Q92" i="1"/>
  <c r="L93" i="1"/>
  <c r="T93" i="1"/>
  <c r="R95" i="1"/>
  <c r="P97" i="1"/>
  <c r="O83" i="1"/>
  <c r="P94" i="1"/>
  <c r="Q97" i="1"/>
  <c r="P83" i="1"/>
  <c r="I94" i="1"/>
  <c r="J97" i="1"/>
  <c r="Q83" i="1"/>
  <c r="O93" i="1"/>
  <c r="M95" i="1"/>
  <c r="K97" i="1"/>
  <c r="N98" i="1"/>
  <c r="R83" i="1"/>
  <c r="K94" i="1"/>
  <c r="L97" i="1"/>
  <c r="G83" i="1"/>
  <c r="G91" i="1"/>
  <c r="G94" i="1"/>
  <c r="G87" i="1"/>
  <c r="G88" i="1"/>
  <c r="G89" i="1"/>
  <c r="G98" i="1"/>
  <c r="G84" i="1"/>
  <c r="G92" i="1"/>
  <c r="G85" i="1"/>
  <c r="G93" i="1"/>
  <c r="G86" i="1"/>
  <c r="G95" i="1"/>
  <c r="G96" i="1"/>
  <c r="G97" i="1"/>
  <c r="G90" i="1"/>
  <c r="G82" i="1"/>
  <c r="H62" i="1"/>
  <c r="P62" i="1"/>
  <c r="K63" i="1"/>
  <c r="S63" i="1"/>
  <c r="N64" i="1"/>
  <c r="I65" i="1"/>
  <c r="Q65" i="1"/>
  <c r="L66" i="1"/>
  <c r="T66" i="1"/>
  <c r="O67" i="1"/>
  <c r="J68" i="1"/>
  <c r="R68" i="1"/>
  <c r="M69" i="1"/>
  <c r="H70" i="1"/>
  <c r="P70" i="1"/>
  <c r="K71" i="1"/>
  <c r="S71" i="1"/>
  <c r="N72" i="1"/>
  <c r="I73" i="1"/>
  <c r="Q73" i="1"/>
  <c r="L74" i="1"/>
  <c r="T74" i="1"/>
  <c r="O75" i="1"/>
  <c r="J76" i="1"/>
  <c r="R76" i="1"/>
  <c r="M77" i="1"/>
  <c r="H78" i="1"/>
  <c r="P78" i="1"/>
  <c r="S62" i="1"/>
  <c r="I64" i="1"/>
  <c r="L65" i="1"/>
  <c r="O66" i="1"/>
  <c r="R67" i="1"/>
  <c r="H69" i="1"/>
  <c r="K70" i="1"/>
  <c r="N71" i="1"/>
  <c r="Q72" i="1"/>
  <c r="T73" i="1"/>
  <c r="J75" i="1"/>
  <c r="H77" i="1"/>
  <c r="K78" i="1"/>
  <c r="L62" i="1"/>
  <c r="J64" i="1"/>
  <c r="M65" i="1"/>
  <c r="P66" i="1"/>
  <c r="S67" i="1"/>
  <c r="I69" i="1"/>
  <c r="L70" i="1"/>
  <c r="O71" i="1"/>
  <c r="R72" i="1"/>
  <c r="H74" i="1"/>
  <c r="K75" i="1"/>
  <c r="N76" i="1"/>
  <c r="Q77" i="1"/>
  <c r="T78" i="1"/>
  <c r="M62" i="1"/>
  <c r="S64" i="1"/>
  <c r="I66" i="1"/>
  <c r="L67" i="1"/>
  <c r="O68" i="1"/>
  <c r="R69" i="1"/>
  <c r="H71" i="1"/>
  <c r="K72" i="1"/>
  <c r="N73" i="1"/>
  <c r="I74" i="1"/>
  <c r="T75" i="1"/>
  <c r="J77" i="1"/>
  <c r="M78" i="1"/>
  <c r="I63" i="1"/>
  <c r="L64" i="1"/>
  <c r="O65" i="1"/>
  <c r="R66" i="1"/>
  <c r="H68" i="1"/>
  <c r="K69" i="1"/>
  <c r="H76" i="1"/>
  <c r="K77" i="1"/>
  <c r="J63" i="1"/>
  <c r="M64" i="1"/>
  <c r="P65" i="1"/>
  <c r="S66" i="1"/>
  <c r="I68" i="1"/>
  <c r="L69" i="1"/>
  <c r="O70" i="1"/>
  <c r="R71" i="1"/>
  <c r="H73" i="1"/>
  <c r="S74" i="1"/>
  <c r="I76" i="1"/>
  <c r="T77" i="1"/>
  <c r="I62" i="1"/>
  <c r="Q62" i="1"/>
  <c r="L63" i="1"/>
  <c r="T63" i="1"/>
  <c r="O64" i="1"/>
  <c r="J65" i="1"/>
  <c r="R65" i="1"/>
  <c r="M66" i="1"/>
  <c r="H67" i="1"/>
  <c r="P67" i="1"/>
  <c r="K68" i="1"/>
  <c r="S68" i="1"/>
  <c r="N69" i="1"/>
  <c r="I70" i="1"/>
  <c r="Q70" i="1"/>
  <c r="L71" i="1"/>
  <c r="T71" i="1"/>
  <c r="O72" i="1"/>
  <c r="J73" i="1"/>
  <c r="R73" i="1"/>
  <c r="M74" i="1"/>
  <c r="H75" i="1"/>
  <c r="P75" i="1"/>
  <c r="K76" i="1"/>
  <c r="S76" i="1"/>
  <c r="N77" i="1"/>
  <c r="I78" i="1"/>
  <c r="Q78" i="1"/>
  <c r="N63" i="1"/>
  <c r="R75" i="1"/>
  <c r="P63" i="1"/>
  <c r="L75" i="1"/>
  <c r="Q63" i="1"/>
  <c r="R74" i="1"/>
  <c r="S77" i="1"/>
  <c r="R63" i="1"/>
  <c r="K74" i="1"/>
  <c r="L77" i="1"/>
  <c r="J62" i="1"/>
  <c r="R62" i="1"/>
  <c r="M63" i="1"/>
  <c r="H64" i="1"/>
  <c r="P64" i="1"/>
  <c r="K65" i="1"/>
  <c r="S65" i="1"/>
  <c r="N66" i="1"/>
  <c r="I67" i="1"/>
  <c r="Q67" i="1"/>
  <c r="L68" i="1"/>
  <c r="T68" i="1"/>
  <c r="O69" i="1"/>
  <c r="J70" i="1"/>
  <c r="R70" i="1"/>
  <c r="M71" i="1"/>
  <c r="H72" i="1"/>
  <c r="P72" i="1"/>
  <c r="K73" i="1"/>
  <c r="S73" i="1"/>
  <c r="N74" i="1"/>
  <c r="I75" i="1"/>
  <c r="Q75" i="1"/>
  <c r="L76" i="1"/>
  <c r="T76" i="1"/>
  <c r="O77" i="1"/>
  <c r="J78" i="1"/>
  <c r="R78" i="1"/>
  <c r="K62" i="1"/>
  <c r="Q64" i="1"/>
  <c r="T65" i="1"/>
  <c r="J67" i="1"/>
  <c r="M68" i="1"/>
  <c r="P69" i="1"/>
  <c r="S70" i="1"/>
  <c r="I72" i="1"/>
  <c r="L73" i="1"/>
  <c r="O74" i="1"/>
  <c r="M76" i="1"/>
  <c r="P77" i="1"/>
  <c r="S78" i="1"/>
  <c r="T62" i="1"/>
  <c r="O63" i="1"/>
  <c r="R64" i="1"/>
  <c r="H66" i="1"/>
  <c r="K67" i="1"/>
  <c r="N68" i="1"/>
  <c r="Q69" i="1"/>
  <c r="T70" i="1"/>
  <c r="J72" i="1"/>
  <c r="M73" i="1"/>
  <c r="P74" i="1"/>
  <c r="S75" i="1"/>
  <c r="I77" i="1"/>
  <c r="L78" i="1"/>
  <c r="H63" i="1"/>
  <c r="K64" i="1"/>
  <c r="N65" i="1"/>
  <c r="Q66" i="1"/>
  <c r="T67" i="1"/>
  <c r="J69" i="1"/>
  <c r="M70" i="1"/>
  <c r="P71" i="1"/>
  <c r="S72" i="1"/>
  <c r="Q74" i="1"/>
  <c r="O76" i="1"/>
  <c r="R77" i="1"/>
  <c r="N62" i="1"/>
  <c r="T64" i="1"/>
  <c r="J66" i="1"/>
  <c r="M67" i="1"/>
  <c r="P68" i="1"/>
  <c r="S69" i="1"/>
  <c r="N70" i="1"/>
  <c r="I71" i="1"/>
  <c r="Q71" i="1"/>
  <c r="L72" i="1"/>
  <c r="T72" i="1"/>
  <c r="O73" i="1"/>
  <c r="J74" i="1"/>
  <c r="M75" i="1"/>
  <c r="P76" i="1"/>
  <c r="N78" i="1"/>
  <c r="O62" i="1"/>
  <c r="H65" i="1"/>
  <c r="K66" i="1"/>
  <c r="N67" i="1"/>
  <c r="Q68" i="1"/>
  <c r="T69" i="1"/>
  <c r="J71" i="1"/>
  <c r="M72" i="1"/>
  <c r="P73" i="1"/>
  <c r="N75" i="1"/>
  <c r="Q76" i="1"/>
  <c r="O78" i="1"/>
  <c r="G63" i="1"/>
  <c r="G71" i="1"/>
  <c r="G74" i="1"/>
  <c r="G67" i="1"/>
  <c r="G68" i="1"/>
  <c r="G69" i="1"/>
  <c r="G78" i="1"/>
  <c r="G64" i="1"/>
  <c r="G72" i="1"/>
  <c r="G76" i="1"/>
  <c r="G77" i="1"/>
  <c r="G70" i="1"/>
  <c r="G65" i="1"/>
  <c r="G73" i="1"/>
  <c r="G66" i="1"/>
  <c r="G75" i="1"/>
  <c r="G62" i="1"/>
  <c r="H42" i="1"/>
  <c r="P42" i="1"/>
  <c r="K43" i="1"/>
  <c r="S43" i="1"/>
  <c r="N44" i="1"/>
  <c r="I45" i="1"/>
  <c r="Q45" i="1"/>
  <c r="L46" i="1"/>
  <c r="T46" i="1"/>
  <c r="O47" i="1"/>
  <c r="J48" i="1"/>
  <c r="R48" i="1"/>
  <c r="M49" i="1"/>
  <c r="H50" i="1"/>
  <c r="P50" i="1"/>
  <c r="K51" i="1"/>
  <c r="S51" i="1"/>
  <c r="N52" i="1"/>
  <c r="I53" i="1"/>
  <c r="Q53" i="1"/>
  <c r="L54" i="1"/>
  <c r="T54" i="1"/>
  <c r="O55" i="1"/>
  <c r="J56" i="1"/>
  <c r="R56" i="1"/>
  <c r="M57" i="1"/>
  <c r="H58" i="1"/>
  <c r="P58" i="1"/>
  <c r="O43" i="1"/>
  <c r="I57" i="1"/>
  <c r="P43" i="1"/>
  <c r="M50" i="1"/>
  <c r="N53" i="1"/>
  <c r="T55" i="1"/>
  <c r="M58" i="1"/>
  <c r="N42" i="1"/>
  <c r="H48" i="1"/>
  <c r="I51" i="1"/>
  <c r="T52" i="1"/>
  <c r="R54" i="1"/>
  <c r="P56" i="1"/>
  <c r="N58" i="1"/>
  <c r="J43" i="1"/>
  <c r="H53" i="1"/>
  <c r="I56" i="1"/>
  <c r="O58" i="1"/>
  <c r="I42" i="1"/>
  <c r="Q42" i="1"/>
  <c r="L43" i="1"/>
  <c r="T43" i="1"/>
  <c r="O44" i="1"/>
  <c r="J45" i="1"/>
  <c r="R45" i="1"/>
  <c r="M46" i="1"/>
  <c r="H47" i="1"/>
  <c r="P47" i="1"/>
  <c r="K48" i="1"/>
  <c r="S48" i="1"/>
  <c r="N49" i="1"/>
  <c r="I50" i="1"/>
  <c r="Q50" i="1"/>
  <c r="L51" i="1"/>
  <c r="T51" i="1"/>
  <c r="O52" i="1"/>
  <c r="J53" i="1"/>
  <c r="R53" i="1"/>
  <c r="M54" i="1"/>
  <c r="H55" i="1"/>
  <c r="P55" i="1"/>
  <c r="K56" i="1"/>
  <c r="S56" i="1"/>
  <c r="N57" i="1"/>
  <c r="I58" i="1"/>
  <c r="Q58" i="1"/>
  <c r="M45" i="1"/>
  <c r="K44" i="1"/>
  <c r="J49" i="1"/>
  <c r="K52" i="1"/>
  <c r="L55" i="1"/>
  <c r="R57" i="1"/>
  <c r="Q43" i="1"/>
  <c r="M47" i="1"/>
  <c r="N50" i="1"/>
  <c r="J42" i="1"/>
  <c r="R42" i="1"/>
  <c r="M43" i="1"/>
  <c r="H44" i="1"/>
  <c r="P44" i="1"/>
  <c r="K45" i="1"/>
  <c r="S45" i="1"/>
  <c r="N46" i="1"/>
  <c r="I47" i="1"/>
  <c r="Q47" i="1"/>
  <c r="L48" i="1"/>
  <c r="T48" i="1"/>
  <c r="O49" i="1"/>
  <c r="J50" i="1"/>
  <c r="R50" i="1"/>
  <c r="M51" i="1"/>
  <c r="H52" i="1"/>
  <c r="P52" i="1"/>
  <c r="K53" i="1"/>
  <c r="S53" i="1"/>
  <c r="N54" i="1"/>
  <c r="I55" i="1"/>
  <c r="Q55" i="1"/>
  <c r="L56" i="1"/>
  <c r="T56" i="1"/>
  <c r="O57" i="1"/>
  <c r="J58" i="1"/>
  <c r="R58" i="1"/>
  <c r="L42" i="1"/>
  <c r="R44" i="1"/>
  <c r="P46" i="1"/>
  <c r="S47" i="1"/>
  <c r="I49" i="1"/>
  <c r="L50" i="1"/>
  <c r="O51" i="1"/>
  <c r="R52" i="1"/>
  <c r="H54" i="1"/>
  <c r="K55" i="1"/>
  <c r="N56" i="1"/>
  <c r="L58" i="1"/>
  <c r="M42" i="1"/>
  <c r="N45" i="1"/>
  <c r="Q46" i="1"/>
  <c r="T47" i="1"/>
  <c r="R49" i="1"/>
  <c r="P51" i="1"/>
  <c r="I54" i="1"/>
  <c r="J57" i="1"/>
  <c r="I43" i="1"/>
  <c r="O45" i="1"/>
  <c r="R46" i="1"/>
  <c r="K49" i="1"/>
  <c r="Q51" i="1"/>
  <c r="J54" i="1"/>
  <c r="H56" i="1"/>
  <c r="S57" i="1"/>
  <c r="O42" i="1"/>
  <c r="H45" i="1"/>
  <c r="K46" i="1"/>
  <c r="N47" i="1"/>
  <c r="Q48" i="1"/>
  <c r="T49" i="1"/>
  <c r="J51" i="1"/>
  <c r="M52" i="1"/>
  <c r="K54" i="1"/>
  <c r="N55" i="1"/>
  <c r="L57" i="1"/>
  <c r="K42" i="1"/>
  <c r="S42" i="1"/>
  <c r="N43" i="1"/>
  <c r="I44" i="1"/>
  <c r="Q44" i="1"/>
  <c r="L45" i="1"/>
  <c r="T45" i="1"/>
  <c r="O46" i="1"/>
  <c r="J47" i="1"/>
  <c r="R47" i="1"/>
  <c r="M48" i="1"/>
  <c r="H49" i="1"/>
  <c r="P49" i="1"/>
  <c r="K50" i="1"/>
  <c r="S50" i="1"/>
  <c r="N51" i="1"/>
  <c r="I52" i="1"/>
  <c r="Q52" i="1"/>
  <c r="L53" i="1"/>
  <c r="T53" i="1"/>
  <c r="O54" i="1"/>
  <c r="J55" i="1"/>
  <c r="R55" i="1"/>
  <c r="M56" i="1"/>
  <c r="H57" i="1"/>
  <c r="P57" i="1"/>
  <c r="K58" i="1"/>
  <c r="S58" i="1"/>
  <c r="T42" i="1"/>
  <c r="J44" i="1"/>
  <c r="H46" i="1"/>
  <c r="K47" i="1"/>
  <c r="N48" i="1"/>
  <c r="Q49" i="1"/>
  <c r="T50" i="1"/>
  <c r="J52" i="1"/>
  <c r="M53" i="1"/>
  <c r="P54" i="1"/>
  <c r="S55" i="1"/>
  <c r="Q57" i="1"/>
  <c r="T58" i="1"/>
  <c r="H43" i="1"/>
  <c r="S44" i="1"/>
  <c r="I46" i="1"/>
  <c r="L47" i="1"/>
  <c r="O48" i="1"/>
  <c r="H51" i="1"/>
  <c r="S52" i="1"/>
  <c r="Q54" i="1"/>
  <c r="O56" i="1"/>
  <c r="L44" i="1"/>
  <c r="T44" i="1"/>
  <c r="J46" i="1"/>
  <c r="P48" i="1"/>
  <c r="S49" i="1"/>
  <c r="L52" i="1"/>
  <c r="O53" i="1"/>
  <c r="M55" i="1"/>
  <c r="K57" i="1"/>
  <c r="R43" i="1"/>
  <c r="M44" i="1"/>
  <c r="P45" i="1"/>
  <c r="S46" i="1"/>
  <c r="I48" i="1"/>
  <c r="L49" i="1"/>
  <c r="O50" i="1"/>
  <c r="R51" i="1"/>
  <c r="P53" i="1"/>
  <c r="S54" i="1"/>
  <c r="Q56" i="1"/>
  <c r="T57" i="1"/>
  <c r="G43" i="1"/>
  <c r="G51" i="1"/>
  <c r="G50" i="1"/>
  <c r="G44" i="1"/>
  <c r="G52" i="1"/>
  <c r="G46" i="1"/>
  <c r="G47" i="1"/>
  <c r="G48" i="1"/>
  <c r="G49" i="1"/>
  <c r="G58" i="1"/>
  <c r="G45" i="1"/>
  <c r="G53" i="1"/>
  <c r="G54" i="1"/>
  <c r="G55" i="1"/>
  <c r="G56" i="1"/>
  <c r="G57" i="1"/>
  <c r="G42" i="1"/>
  <c r="G23" i="1"/>
  <c r="O23" i="1"/>
  <c r="I24" i="1"/>
  <c r="Q24" i="1"/>
  <c r="K25" i="1"/>
  <c r="S25" i="1"/>
  <c r="M26" i="1"/>
  <c r="G27" i="1"/>
  <c r="O27" i="1"/>
  <c r="I28" i="1"/>
  <c r="Q28" i="1"/>
  <c r="K29" i="1"/>
  <c r="S29" i="1"/>
  <c r="M30" i="1"/>
  <c r="G31" i="1"/>
  <c r="O31" i="1"/>
  <c r="I32" i="1"/>
  <c r="Q32" i="1"/>
  <c r="K33" i="1"/>
  <c r="S33" i="1"/>
  <c r="M34" i="1"/>
  <c r="G35" i="1"/>
  <c r="O35" i="1"/>
  <c r="I36" i="1"/>
  <c r="Q36" i="1"/>
  <c r="K37" i="1"/>
  <c r="S37" i="1"/>
  <c r="M38" i="1"/>
  <c r="Q23" i="1"/>
  <c r="S24" i="1"/>
  <c r="M25" i="1"/>
  <c r="O26" i="1"/>
  <c r="Q27" i="1"/>
  <c r="S28" i="1"/>
  <c r="G30" i="1"/>
  <c r="I31" i="1"/>
  <c r="K32" i="1"/>
  <c r="M33" i="1"/>
  <c r="O34" i="1"/>
  <c r="Q35" i="1"/>
  <c r="S36" i="1"/>
  <c r="G38" i="1"/>
  <c r="R23" i="1"/>
  <c r="L24" i="1"/>
  <c r="N25" i="1"/>
  <c r="P26" i="1"/>
  <c r="R27" i="1"/>
  <c r="T28" i="1"/>
  <c r="H30" i="1"/>
  <c r="J31" i="1"/>
  <c r="L32" i="1"/>
  <c r="N33" i="1"/>
  <c r="P34" i="1"/>
  <c r="R35" i="1"/>
  <c r="T36" i="1"/>
  <c r="H38" i="1"/>
  <c r="S23" i="1"/>
  <c r="G25" i="1"/>
  <c r="I26" i="1"/>
  <c r="K27" i="1"/>
  <c r="M28" i="1"/>
  <c r="O29" i="1"/>
  <c r="Q30" i="1"/>
  <c r="S31" i="1"/>
  <c r="G33" i="1"/>
  <c r="I34" i="1"/>
  <c r="K35" i="1"/>
  <c r="M36" i="1"/>
  <c r="O37" i="1"/>
  <c r="Q38" i="1"/>
  <c r="T23" i="1"/>
  <c r="R26" i="1"/>
  <c r="T27" i="1"/>
  <c r="H29" i="1"/>
  <c r="J30" i="1"/>
  <c r="L31" i="1"/>
  <c r="N32" i="1"/>
  <c r="P33" i="1"/>
  <c r="R34" i="1"/>
  <c r="T35" i="1"/>
  <c r="H37" i="1"/>
  <c r="J38" i="1"/>
  <c r="G24" i="1"/>
  <c r="I25" i="1"/>
  <c r="K26" i="1"/>
  <c r="S26" i="1"/>
  <c r="G28" i="1"/>
  <c r="I29" i="1"/>
  <c r="K30" i="1"/>
  <c r="M31" i="1"/>
  <c r="O32" i="1"/>
  <c r="Q33" i="1"/>
  <c r="S34" i="1"/>
  <c r="G36" i="1"/>
  <c r="I37" i="1"/>
  <c r="K38" i="1"/>
  <c r="N23" i="1"/>
  <c r="J25" i="1"/>
  <c r="L26" i="1"/>
  <c r="N27" i="1"/>
  <c r="P28" i="1"/>
  <c r="R29" i="1"/>
  <c r="T30" i="1"/>
  <c r="H32" i="1"/>
  <c r="J33" i="1"/>
  <c r="L34" i="1"/>
  <c r="N35" i="1"/>
  <c r="P36" i="1"/>
  <c r="R37" i="1"/>
  <c r="T38" i="1"/>
  <c r="H23" i="1"/>
  <c r="P23" i="1"/>
  <c r="J24" i="1"/>
  <c r="R24" i="1"/>
  <c r="L25" i="1"/>
  <c r="T25" i="1"/>
  <c r="N26" i="1"/>
  <c r="H27" i="1"/>
  <c r="P27" i="1"/>
  <c r="J28" i="1"/>
  <c r="R28" i="1"/>
  <c r="L29" i="1"/>
  <c r="T29" i="1"/>
  <c r="N30" i="1"/>
  <c r="H31" i="1"/>
  <c r="P31" i="1"/>
  <c r="J32" i="1"/>
  <c r="R32" i="1"/>
  <c r="L33" i="1"/>
  <c r="T33" i="1"/>
  <c r="N34" i="1"/>
  <c r="H35" i="1"/>
  <c r="P35" i="1"/>
  <c r="J36" i="1"/>
  <c r="R36" i="1"/>
  <c r="L37" i="1"/>
  <c r="T37" i="1"/>
  <c r="N38" i="1"/>
  <c r="I23" i="1"/>
  <c r="K24" i="1"/>
  <c r="G26" i="1"/>
  <c r="I27" i="1"/>
  <c r="K28" i="1"/>
  <c r="M29" i="1"/>
  <c r="O30" i="1"/>
  <c r="Q31" i="1"/>
  <c r="S32" i="1"/>
  <c r="G34" i="1"/>
  <c r="I35" i="1"/>
  <c r="K36" i="1"/>
  <c r="M37" i="1"/>
  <c r="O38" i="1"/>
  <c r="J23" i="1"/>
  <c r="T24" i="1"/>
  <c r="H26" i="1"/>
  <c r="J27" i="1"/>
  <c r="L28" i="1"/>
  <c r="N29" i="1"/>
  <c r="P30" i="1"/>
  <c r="R31" i="1"/>
  <c r="T32" i="1"/>
  <c r="H34" i="1"/>
  <c r="J35" i="1"/>
  <c r="L36" i="1"/>
  <c r="N37" i="1"/>
  <c r="P38" i="1"/>
  <c r="K23" i="1"/>
  <c r="M24" i="1"/>
  <c r="O25" i="1"/>
  <c r="Q26" i="1"/>
  <c r="S27" i="1"/>
  <c r="G29" i="1"/>
  <c r="I30" i="1"/>
  <c r="K31" i="1"/>
  <c r="M32" i="1"/>
  <c r="O33" i="1"/>
  <c r="Q34" i="1"/>
  <c r="S35" i="1"/>
  <c r="G37" i="1"/>
  <c r="I38" i="1"/>
  <c r="L23" i="1"/>
  <c r="N24" i="1"/>
  <c r="H25" i="1"/>
  <c r="P25" i="1"/>
  <c r="J26" i="1"/>
  <c r="L27" i="1"/>
  <c r="N28" i="1"/>
  <c r="P29" i="1"/>
  <c r="R30" i="1"/>
  <c r="T31" i="1"/>
  <c r="H33" i="1"/>
  <c r="J34" i="1"/>
  <c r="L35" i="1"/>
  <c r="N36" i="1"/>
  <c r="P37" i="1"/>
  <c r="R38" i="1"/>
  <c r="M23" i="1"/>
  <c r="O24" i="1"/>
  <c r="Q25" i="1"/>
  <c r="M27" i="1"/>
  <c r="O28" i="1"/>
  <c r="Q29" i="1"/>
  <c r="S30" i="1"/>
  <c r="G32" i="1"/>
  <c r="I33" i="1"/>
  <c r="K34" i="1"/>
  <c r="M35" i="1"/>
  <c r="O36" i="1"/>
  <c r="Q37" i="1"/>
  <c r="S38" i="1"/>
  <c r="H24" i="1"/>
  <c r="P24" i="1"/>
  <c r="R25" i="1"/>
  <c r="T26" i="1"/>
  <c r="H28" i="1"/>
  <c r="J29" i="1"/>
  <c r="L30" i="1"/>
  <c r="N31" i="1"/>
  <c r="P32" i="1"/>
  <c r="R33" i="1"/>
  <c r="T34" i="1"/>
  <c r="H36" i="1"/>
  <c r="J37" i="1"/>
  <c r="L38" i="1"/>
  <c r="H22" i="1"/>
  <c r="P22" i="1"/>
  <c r="S22" i="1"/>
  <c r="T22" i="1"/>
  <c r="M22" i="1"/>
  <c r="O22" i="1"/>
  <c r="I22" i="1"/>
  <c r="Q22" i="1"/>
  <c r="J22" i="1"/>
  <c r="R22" i="1"/>
  <c r="K22" i="1"/>
  <c r="L22" i="1"/>
  <c r="N22" i="1"/>
  <c r="G22" i="1"/>
  <c r="H2" i="1"/>
  <c r="P2" i="1"/>
  <c r="K3" i="1"/>
  <c r="S3" i="1"/>
  <c r="N4" i="1"/>
  <c r="I5" i="1"/>
  <c r="Q5" i="1"/>
  <c r="L6" i="1"/>
  <c r="T6" i="1"/>
  <c r="O7" i="1"/>
  <c r="J8" i="1"/>
  <c r="R8" i="1"/>
  <c r="M9" i="1"/>
  <c r="H10" i="1"/>
  <c r="P10" i="1"/>
  <c r="K11" i="1"/>
  <c r="S11" i="1"/>
  <c r="N12" i="1"/>
  <c r="I13" i="1"/>
  <c r="Q13" i="1"/>
  <c r="L14" i="1"/>
  <c r="T14" i="1"/>
  <c r="O15" i="1"/>
  <c r="J16" i="1"/>
  <c r="R16" i="1"/>
  <c r="M17" i="1"/>
  <c r="H18" i="1"/>
  <c r="P18" i="1"/>
  <c r="K2" i="1"/>
  <c r="Q4" i="1"/>
  <c r="O6" i="1"/>
  <c r="R7" i="1"/>
  <c r="H9" i="1"/>
  <c r="K10" i="1"/>
  <c r="N11" i="1"/>
  <c r="Q12" i="1"/>
  <c r="T13" i="1"/>
  <c r="J15" i="1"/>
  <c r="M16" i="1"/>
  <c r="P17" i="1"/>
  <c r="S18" i="1"/>
  <c r="T2" i="1"/>
  <c r="J4" i="1"/>
  <c r="M5" i="1"/>
  <c r="P6" i="1"/>
  <c r="S7" i="1"/>
  <c r="I9" i="1"/>
  <c r="L10" i="1"/>
  <c r="O11" i="1"/>
  <c r="R12" i="1"/>
  <c r="H14" i="1"/>
  <c r="K15" i="1"/>
  <c r="N16" i="1"/>
  <c r="Q17" i="1"/>
  <c r="T18" i="1"/>
  <c r="H3" i="1"/>
  <c r="S4" i="1"/>
  <c r="I6" i="1"/>
  <c r="T7" i="1"/>
  <c r="J9" i="1"/>
  <c r="M10" i="1"/>
  <c r="P11" i="1"/>
  <c r="S12" i="1"/>
  <c r="I14" i="1"/>
  <c r="L15" i="1"/>
  <c r="O16" i="1"/>
  <c r="R17" i="1"/>
  <c r="N2" i="1"/>
  <c r="T4" i="1"/>
  <c r="J6" i="1"/>
  <c r="M7" i="1"/>
  <c r="S9" i="1"/>
  <c r="L12" i="1"/>
  <c r="M15" i="1"/>
  <c r="S17" i="1"/>
  <c r="M4" i="1"/>
  <c r="I8" i="1"/>
  <c r="O10" i="1"/>
  <c r="H13" i="1"/>
  <c r="I16" i="1"/>
  <c r="O18" i="1"/>
  <c r="I2" i="1"/>
  <c r="Q2" i="1"/>
  <c r="L3" i="1"/>
  <c r="T3" i="1"/>
  <c r="O4" i="1"/>
  <c r="J5" i="1"/>
  <c r="R5" i="1"/>
  <c r="M6" i="1"/>
  <c r="H7" i="1"/>
  <c r="P7" i="1"/>
  <c r="K8" i="1"/>
  <c r="S8" i="1"/>
  <c r="N9" i="1"/>
  <c r="I10" i="1"/>
  <c r="Q10" i="1"/>
  <c r="L11" i="1"/>
  <c r="T11" i="1"/>
  <c r="O12" i="1"/>
  <c r="J13" i="1"/>
  <c r="R13" i="1"/>
  <c r="M14" i="1"/>
  <c r="H15" i="1"/>
  <c r="P15" i="1"/>
  <c r="K16" i="1"/>
  <c r="S16" i="1"/>
  <c r="N17" i="1"/>
  <c r="I18" i="1"/>
  <c r="Q18" i="1"/>
  <c r="J2" i="1"/>
  <c r="R2" i="1"/>
  <c r="M3" i="1"/>
  <c r="H4" i="1"/>
  <c r="P4" i="1"/>
  <c r="K5" i="1"/>
  <c r="S5" i="1"/>
  <c r="N6" i="1"/>
  <c r="I7" i="1"/>
  <c r="Q7" i="1"/>
  <c r="L8" i="1"/>
  <c r="T8" i="1"/>
  <c r="O9" i="1"/>
  <c r="J10" i="1"/>
  <c r="R10" i="1"/>
  <c r="M11" i="1"/>
  <c r="H12" i="1"/>
  <c r="P12" i="1"/>
  <c r="K13" i="1"/>
  <c r="S13" i="1"/>
  <c r="N14" i="1"/>
  <c r="I15" i="1"/>
  <c r="Q15" i="1"/>
  <c r="L16" i="1"/>
  <c r="T16" i="1"/>
  <c r="O17" i="1"/>
  <c r="J18" i="1"/>
  <c r="R18" i="1"/>
  <c r="S2" i="1"/>
  <c r="N3" i="1"/>
  <c r="I4" i="1"/>
  <c r="L5" i="1"/>
  <c r="T5" i="1"/>
  <c r="J7" i="1"/>
  <c r="M8" i="1"/>
  <c r="P9" i="1"/>
  <c r="S10" i="1"/>
  <c r="I12" i="1"/>
  <c r="L13" i="1"/>
  <c r="O14" i="1"/>
  <c r="R15" i="1"/>
  <c r="H17" i="1"/>
  <c r="K18" i="1"/>
  <c r="L2" i="1"/>
  <c r="O3" i="1"/>
  <c r="R4" i="1"/>
  <c r="H6" i="1"/>
  <c r="K7" i="1"/>
  <c r="N8" i="1"/>
  <c r="Q9" i="1"/>
  <c r="T10" i="1"/>
  <c r="J12" i="1"/>
  <c r="M13" i="1"/>
  <c r="P14" i="1"/>
  <c r="S15" i="1"/>
  <c r="I17" i="1"/>
  <c r="L18" i="1"/>
  <c r="M2" i="1"/>
  <c r="N5" i="1"/>
  <c r="Q6" i="1"/>
  <c r="L7" i="1"/>
  <c r="O8" i="1"/>
  <c r="R9" i="1"/>
  <c r="H11" i="1"/>
  <c r="K12" i="1"/>
  <c r="N13" i="1"/>
  <c r="Q14" i="1"/>
  <c r="T15" i="1"/>
  <c r="J17" i="1"/>
  <c r="M18" i="1"/>
  <c r="I3" i="1"/>
  <c r="O5" i="1"/>
  <c r="R6" i="1"/>
  <c r="H8" i="1"/>
  <c r="N10" i="1"/>
  <c r="T12" i="1"/>
  <c r="R14" i="1"/>
  <c r="H16" i="1"/>
  <c r="N18" i="1"/>
  <c r="R3" i="1"/>
  <c r="S6" i="1"/>
  <c r="L9" i="1"/>
  <c r="R11" i="1"/>
  <c r="K14" i="1"/>
  <c r="Q16" i="1"/>
  <c r="P3" i="1"/>
  <c r="L4" i="1"/>
  <c r="K9" i="1"/>
  <c r="I11" i="1"/>
  <c r="J14" i="1"/>
  <c r="K17" i="1"/>
  <c r="O2" i="1"/>
  <c r="P5" i="1"/>
  <c r="N7" i="1"/>
  <c r="T9" i="1"/>
  <c r="M12" i="1"/>
  <c r="S14" i="1"/>
  <c r="L17" i="1"/>
  <c r="K4" i="1"/>
  <c r="Q3" i="1"/>
  <c r="P8" i="1"/>
  <c r="Q11" i="1"/>
  <c r="O13" i="1"/>
  <c r="P16" i="1"/>
  <c r="J3" i="1"/>
  <c r="H5" i="1"/>
  <c r="K6" i="1"/>
  <c r="Q8" i="1"/>
  <c r="J11" i="1"/>
  <c r="P13" i="1"/>
  <c r="N15" i="1"/>
  <c r="T17" i="1"/>
  <c r="G3" i="1"/>
  <c r="G11" i="1"/>
  <c r="G4" i="1"/>
  <c r="G7" i="1"/>
  <c r="G15" i="1"/>
  <c r="G16" i="1"/>
  <c r="G9" i="1"/>
  <c r="G10" i="1"/>
  <c r="G12" i="1"/>
  <c r="G5" i="1"/>
  <c r="G13" i="1"/>
  <c r="G6" i="1"/>
  <c r="G14" i="1"/>
  <c r="G8" i="1"/>
  <c r="G17" i="1"/>
  <c r="G18" i="1"/>
  <c r="AE18" i="1"/>
</calcChain>
</file>

<file path=xl/sharedStrings.xml><?xml version="1.0" encoding="utf-8"?>
<sst xmlns="http://schemas.openxmlformats.org/spreadsheetml/2006/main" count="11" uniqueCount="11">
  <si>
    <t>K</t>
  </si>
  <si>
    <t>r</t>
  </si>
  <si>
    <t xml:space="preserve">sigma o vol </t>
  </si>
  <si>
    <t>S</t>
  </si>
  <si>
    <t>DELTA</t>
  </si>
  <si>
    <t>VEGA</t>
  </si>
  <si>
    <t xml:space="preserve">THETA </t>
  </si>
  <si>
    <t>RHO</t>
  </si>
  <si>
    <t>GAMMA</t>
  </si>
  <si>
    <t>q</t>
  </si>
  <si>
    <t>WITH DIVIDENDS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</si>
</sst>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/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>
                <a:latin typeface="Dubai" panose="020B0503030403030204" pitchFamily="34" charset="-78"/>
                <a:cs typeface="Dubai" panose="020B0503030403030204" pitchFamily="34" charset="-78"/>
              </a:rPr>
              <a:t> </a:t>
            </a:r>
            <a:r>
              <a:rPr lang="el-GR">
                <a:latin typeface="Dubai" panose="020B0503030403030204" pitchFamily="34" charset="-78"/>
                <a:cs typeface="Dubai" panose="020B0503030403030204" pitchFamily="34" charset="-78"/>
              </a:rPr>
              <a:t>Δ</a:t>
            </a:r>
            <a:r>
              <a:rPr lang="it-IT" baseline="0">
                <a:latin typeface="Dubai" panose="020B0503030403030204" pitchFamily="34" charset="-78"/>
                <a:cs typeface="Dubai" panose="020B0503030403030204" pitchFamily="34" charset="-78"/>
              </a:rPr>
              <a:t> parameter, </a:t>
            </a:r>
            <a:r>
              <a:rPr lang="it-IT" baseline="0">
                <a:latin typeface="Arial" panose="020B0604020202020204" pitchFamily="34" charset="0"/>
                <a:cs typeface="Arial" panose="020B0604020202020204" pitchFamily="34" charset="0"/>
              </a:rPr>
              <a:t>q = 80%</a:t>
            </a:r>
            <a:endParaRPr lang="it-IT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Foglio1!$G$1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Foglio1!$F$2:$F$18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Foglio1!$G$2:$G$18</c:f>
              <c:numCache>
                <c:formatCode>General</c:formatCode>
                <c:ptCount val="17"/>
                <c:pt idx="0">
                  <c:v>6.8367577033106336E-21</c:v>
                </c:pt>
                <c:pt idx="1">
                  <c:v>4.5448936214812202E-16</c:v>
                </c:pt>
                <c:pt idx="2">
                  <c:v>3.2456857018319401E-12</c:v>
                </c:pt>
                <c:pt idx="3">
                  <c:v>3.7438170434062595E-9</c:v>
                </c:pt>
                <c:pt idx="4">
                  <c:v>9.5912073574767238E-7</c:v>
                </c:pt>
                <c:pt idx="5">
                  <c:v>7.0341160301190354E-5</c:v>
                </c:pt>
                <c:pt idx="6">
                  <c:v>1.8159607283567685E-3</c:v>
                </c:pt>
                <c:pt idx="7">
                  <c:v>1.9620719561015906E-2</c:v>
                </c:pt>
                <c:pt idx="8">
                  <c:v>0.10312262887532489</c:v>
                </c:pt>
                <c:pt idx="9">
                  <c:v>0.30258404190280364</c:v>
                </c:pt>
                <c:pt idx="10">
                  <c:v>0.56670499470883695</c:v>
                </c:pt>
                <c:pt idx="11">
                  <c:v>0.77494456812815071</c:v>
                </c:pt>
                <c:pt idx="12">
                  <c:v>0.87887281045745724</c:v>
                </c:pt>
                <c:pt idx="13">
                  <c:v>0.91349394850203591</c:v>
                </c:pt>
                <c:pt idx="14">
                  <c:v>0.9215561959533124</c:v>
                </c:pt>
                <c:pt idx="15">
                  <c:v>0.92292278925556592</c:v>
                </c:pt>
                <c:pt idx="16">
                  <c:v>0.92309749153109077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15-483F-B75C-C48B46EC9670}"/>
            </c:ext>
          </c:extLst>
        </c:ser>
        <c:ser>
          <c:idx val="1"/>
          <c:order val="1"/>
          <c:tx>
            <c:strRef>
              <c:f>Foglio1!$H$1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Foglio1!$F$2:$F$18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Foglio1!$H$2:$H$18</c:f>
              <c:numCache>
                <c:formatCode>General</c:formatCode>
                <c:ptCount val="17"/>
                <c:pt idx="0">
                  <c:v>4.5240663000860564E-14</c:v>
                </c:pt>
                <c:pt idx="1">
                  <c:v>2.6551532507817051E-11</c:v>
                </c:pt>
                <c:pt idx="2">
                  <c:v>4.8272076444543537E-9</c:v>
                </c:pt>
                <c:pt idx="3">
                  <c:v>3.3602104388245363E-7</c:v>
                </c:pt>
                <c:pt idx="4">
                  <c:v>1.0567474692569148E-5</c:v>
                </c:pt>
                <c:pt idx="5">
                  <c:v>1.7126670814414361E-4</c:v>
                </c:pt>
                <c:pt idx="6">
                  <c:v>1.5912670455778572E-3</c:v>
                </c:pt>
                <c:pt idx="7">
                  <c:v>9.253799884789058E-3</c:v>
                </c:pt>
                <c:pt idx="8">
                  <c:v>3.6263305548747772E-2</c:v>
                </c:pt>
                <c:pt idx="9">
                  <c:v>0.10203668425273305</c:v>
                </c:pt>
                <c:pt idx="10">
                  <c:v>0.21802668661390959</c:v>
                </c:pt>
                <c:pt idx="11">
                  <c:v>0.37218320692967044</c:v>
                </c:pt>
                <c:pt idx="12">
                  <c:v>0.53194510787051918</c:v>
                </c:pt>
                <c:pt idx="13">
                  <c:v>0.66488786094435226</c:v>
                </c:pt>
                <c:pt idx="14">
                  <c:v>0.75598577522296695</c:v>
                </c:pt>
                <c:pt idx="15">
                  <c:v>0.8085293270858589</c:v>
                </c:pt>
                <c:pt idx="16">
                  <c:v>0.83452988955981544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15-483F-B75C-C48B46EC9670}"/>
            </c:ext>
          </c:extLst>
        </c:ser>
        <c:ser>
          <c:idx val="2"/>
          <c:order val="2"/>
          <c:tx>
            <c:strRef>
              <c:f>Foglio1!$I$1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Foglio1!$F$2:$F$18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Foglio1!$I$2:$I$18</c:f>
              <c:numCache>
                <c:formatCode>General</c:formatCode>
                <c:ptCount val="17"/>
                <c:pt idx="0">
                  <c:v>4.9987364619526675E-12</c:v>
                </c:pt>
                <c:pt idx="1">
                  <c:v>6.0157208414311523E-10</c:v>
                </c:pt>
                <c:pt idx="2">
                  <c:v>3.188899198881579E-8</c:v>
                </c:pt>
                <c:pt idx="3">
                  <c:v>8.6200824501555906E-7</c:v>
                </c:pt>
                <c:pt idx="4">
                  <c:v>1.3321991847695873E-5</c:v>
                </c:pt>
                <c:pt idx="5">
                  <c:v>1.2890751982249206E-4</c:v>
                </c:pt>
                <c:pt idx="6">
                  <c:v>8.4040940694090488E-4</c:v>
                </c:pt>
                <c:pt idx="7">
                  <c:v>3.9201447910855759E-3</c:v>
                </c:pt>
                <c:pt idx="8">
                  <c:v>1.3753297027604326E-2</c:v>
                </c:pt>
                <c:pt idx="9">
                  <c:v>3.7854212821564849E-2</c:v>
                </c:pt>
                <c:pt idx="10">
                  <c:v>8.4746035141609069E-2</c:v>
                </c:pt>
                <c:pt idx="11">
                  <c:v>0.15925642613737906</c:v>
                </c:pt>
                <c:pt idx="12">
                  <c:v>0.25831841007967077</c:v>
                </c:pt>
                <c:pt idx="13">
                  <c:v>0.37082634318212748</c:v>
                </c:pt>
                <c:pt idx="14">
                  <c:v>0.4819524648541928</c:v>
                </c:pt>
                <c:pt idx="15">
                  <c:v>0.57889992079914498</c:v>
                </c:pt>
                <c:pt idx="16">
                  <c:v>0.65461787764245849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15-483F-B75C-C48B46EC9670}"/>
            </c:ext>
          </c:extLst>
        </c:ser>
        <c:ser>
          <c:idx val="3"/>
          <c:order val="3"/>
          <c:tx>
            <c:strRef>
              <c:f>Foglio1!$J$1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Foglio1!$F$2:$F$18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Foglio1!$J$2:$J$18</c:f>
              <c:numCache>
                <c:formatCode>General</c:formatCode>
                <c:ptCount val="17"/>
                <c:pt idx="0">
                  <c:v>3.4793936678956471E-11</c:v>
                </c:pt>
                <c:pt idx="1">
                  <c:v>1.8885582475403249E-9</c:v>
                </c:pt>
                <c:pt idx="2">
                  <c:v>5.3826669934679079E-8</c:v>
                </c:pt>
                <c:pt idx="3">
                  <c:v>9.0257797650254718E-7</c:v>
                </c:pt>
                <c:pt idx="4">
                  <c:v>9.7313815700872507E-6</c:v>
                </c:pt>
                <c:pt idx="5">
                  <c:v>7.2396105569421195E-5</c:v>
                </c:pt>
                <c:pt idx="6">
                  <c:v>3.9338378919120834E-4</c:v>
                </c:pt>
                <c:pt idx="7">
                  <c:v>1.6355821996530964E-3</c:v>
                </c:pt>
                <c:pt idx="8">
                  <c:v>5.4075197795748729E-3</c:v>
                </c:pt>
                <c:pt idx="9">
                  <c:v>1.4682468446548736E-2</c:v>
                </c:pt>
                <c:pt idx="10">
                  <c:v>3.3647375561016449E-2</c:v>
                </c:pt>
                <c:pt idx="11">
                  <c:v>6.6626187211610066E-2</c:v>
                </c:pt>
                <c:pt idx="12">
                  <c:v>0.1163398437955625</c:v>
                </c:pt>
                <c:pt idx="13">
                  <c:v>0.18237837427974257</c:v>
                </c:pt>
                <c:pt idx="14">
                  <c:v>0.26078273677980951</c:v>
                </c:pt>
                <c:pt idx="15">
                  <c:v>0.34500408976193608</c:v>
                </c:pt>
                <c:pt idx="16">
                  <c:v>0.42773551742886334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15-483F-B75C-C48B46EC9670}"/>
            </c:ext>
          </c:extLst>
        </c:ser>
        <c:ser>
          <c:idx val="4"/>
          <c:order val="4"/>
          <c:tx>
            <c:strRef>
              <c:f>Foglio1!$K$1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Foglio1!$F$2:$F$18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Foglio1!$K$2:$K$18</c:f>
              <c:numCache>
                <c:formatCode>General</c:formatCode>
                <c:ptCount val="17"/>
                <c:pt idx="0">
                  <c:v>7.9834807444799792E-11</c:v>
                </c:pt>
                <c:pt idx="1">
                  <c:v>2.6813117629688704E-9</c:v>
                </c:pt>
                <c:pt idx="2">
                  <c:v>5.2540676494375488E-8</c:v>
                </c:pt>
                <c:pt idx="3">
                  <c:v>6.5992905895928448E-7</c:v>
                </c:pt>
                <c:pt idx="4">
                  <c:v>5.7186789876868981E-6</c:v>
                </c:pt>
                <c:pt idx="5">
                  <c:v>3.6247007293183358E-5</c:v>
                </c:pt>
                <c:pt idx="6">
                  <c:v>1.7615108891629009E-4</c:v>
                </c:pt>
                <c:pt idx="7">
                  <c:v>6.8208904328240119E-4</c:v>
                </c:pt>
                <c:pt idx="8">
                  <c:v>2.1724158793383101E-3</c:v>
                </c:pt>
                <c:pt idx="9">
                  <c:v>5.8441653171727986E-3</c:v>
                </c:pt>
                <c:pt idx="10">
                  <c:v>1.3580422560070072E-2</c:v>
                </c:pt>
                <c:pt idx="11">
                  <c:v>2.7785181500499495E-2</c:v>
                </c:pt>
                <c:pt idx="12">
                  <c:v>5.0882021726251621E-2</c:v>
                </c:pt>
                <c:pt idx="13">
                  <c:v>8.4600153947859594E-2</c:v>
                </c:pt>
                <c:pt idx="14">
                  <c:v>0.12932192401925788</c:v>
                </c:pt>
                <c:pt idx="15">
                  <c:v>0.1837700940559637</c:v>
                </c:pt>
                <c:pt idx="16">
                  <c:v>0.24516647470282335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415-483F-B75C-C48B46EC9670}"/>
            </c:ext>
          </c:extLst>
        </c:ser>
        <c:ser>
          <c:idx val="5"/>
          <c:order val="5"/>
          <c:tx>
            <c:strRef>
              <c:f>Foglio1!$L$1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Foglio1!$F$2:$F$18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Foglio1!$L$2:$L$18</c:f>
              <c:numCache>
                <c:formatCode>General</c:formatCode>
                <c:ptCount val="17"/>
                <c:pt idx="0">
                  <c:v>1.0504692956496201E-10</c:v>
                </c:pt>
                <c:pt idx="1">
                  <c:v>2.5582425875448558E-9</c:v>
                </c:pt>
                <c:pt idx="2">
                  <c:v>3.8993253932040203E-8</c:v>
                </c:pt>
                <c:pt idx="3">
                  <c:v>4.0337844345439249E-7</c:v>
                </c:pt>
                <c:pt idx="4">
                  <c:v>3.0174366155145256E-6</c:v>
                </c:pt>
                <c:pt idx="5">
                  <c:v>1.7165185643346489E-5</c:v>
                </c:pt>
                <c:pt idx="6">
                  <c:v>7.7336916075159936E-5</c:v>
                </c:pt>
                <c:pt idx="7">
                  <c:v>2.8527155678521881E-4</c:v>
                </c:pt>
                <c:pt idx="8">
                  <c:v>8.8544071404300737E-4</c:v>
                </c:pt>
                <c:pt idx="9">
                  <c:v>2.3660091433270873E-3</c:v>
                </c:pt>
                <c:pt idx="10">
                  <c:v>5.5487111000939813E-3</c:v>
                </c:pt>
                <c:pt idx="11">
                  <c:v>1.1609017937085794E-2</c:v>
                </c:pt>
                <c:pt idx="12">
                  <c:v>2.1974593261682714E-2</c:v>
                </c:pt>
                <c:pt idx="13">
                  <c:v>3.8092103497254122E-2</c:v>
                </c:pt>
                <c:pt idx="14">
                  <c:v>6.1111722641807038E-2</c:v>
                </c:pt>
                <c:pt idx="15">
                  <c:v>9.1582707029073687E-2</c:v>
                </c:pt>
                <c:pt idx="16">
                  <c:v>0.1292577510066619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415-483F-B75C-C48B46EC9670}"/>
            </c:ext>
          </c:extLst>
        </c:ser>
        <c:ser>
          <c:idx val="6"/>
          <c:order val="6"/>
          <c:tx>
            <c:strRef>
              <c:f>Foglio1!$M$1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Foglio1!$F$2:$F$18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Foglio1!$M$2:$M$18</c:f>
              <c:numCache>
                <c:formatCode>General</c:formatCode>
                <c:ptCount val="17"/>
                <c:pt idx="0">
                  <c:v>1.0056032046026491E-10</c:v>
                </c:pt>
                <c:pt idx="1">
                  <c:v>1.9447668457540508E-9</c:v>
                </c:pt>
                <c:pt idx="2">
                  <c:v>2.4750564419943898E-8</c:v>
                </c:pt>
                <c:pt idx="3">
                  <c:v>2.2269824300565424E-7</c:v>
                </c:pt>
                <c:pt idx="4">
                  <c:v>1.4984430747438558E-6</c:v>
                </c:pt>
                <c:pt idx="5">
                  <c:v>7.8840040486723295E-6</c:v>
                </c:pt>
                <c:pt idx="6">
                  <c:v>3.3626257300870083E-5</c:v>
                </c:pt>
                <c:pt idx="7">
                  <c:v>1.1973201996703142E-4</c:v>
                </c:pt>
                <c:pt idx="8">
                  <c:v>3.6466349039317408E-4</c:v>
                </c:pt>
                <c:pt idx="9">
                  <c:v>9.6944972175709544E-4</c:v>
                </c:pt>
                <c:pt idx="10">
                  <c:v>2.288330317762152E-3</c:v>
                </c:pt>
                <c:pt idx="11">
                  <c:v>4.8659043190428242E-3</c:v>
                </c:pt>
                <c:pt idx="12">
                  <c:v>9.4372076905240056E-3</c:v>
                </c:pt>
                <c:pt idx="13">
                  <c:v>1.6873294149300364E-2</c:v>
                </c:pt>
                <c:pt idx="14">
                  <c:v>2.8071261245598451E-2</c:v>
                </c:pt>
                <c:pt idx="15">
                  <c:v>4.3807726458522558E-2</c:v>
                </c:pt>
                <c:pt idx="16">
                  <c:v>6.4589583933108888E-2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415-483F-B75C-C48B46EC9670}"/>
            </c:ext>
          </c:extLst>
        </c:ser>
        <c:ser>
          <c:idx val="7"/>
          <c:order val="7"/>
          <c:tx>
            <c:strRef>
              <c:f>Foglio1!$N$1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Foglio1!$F$2:$F$18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Foglio1!$N$2:$N$18</c:f>
              <c:numCache>
                <c:formatCode>General</c:formatCode>
                <c:ptCount val="17"/>
                <c:pt idx="0">
                  <c:v>7.8906298231785595E-11</c:v>
                </c:pt>
                <c:pt idx="1">
                  <c:v>1.2828763901605418E-9</c:v>
                </c:pt>
                <c:pt idx="2">
                  <c:v>1.4252224766166271E-8</c:v>
                </c:pt>
                <c:pt idx="3">
                  <c:v>1.1542740342438195E-7</c:v>
                </c:pt>
                <c:pt idx="4">
                  <c:v>7.169402683784678E-7</c:v>
                </c:pt>
                <c:pt idx="5">
                  <c:v>3.5557588399276808E-6</c:v>
                </c:pt>
                <c:pt idx="6">
                  <c:v>1.454801584133941E-5</c:v>
                </c:pt>
                <c:pt idx="7">
                  <c:v>5.04262602846845E-5</c:v>
                </c:pt>
                <c:pt idx="8">
                  <c:v>1.5137028620476619E-4</c:v>
                </c:pt>
                <c:pt idx="9">
                  <c:v>4.0079522390535759E-4</c:v>
                </c:pt>
                <c:pt idx="10">
                  <c:v>9.5062555593113487E-4</c:v>
                </c:pt>
                <c:pt idx="11">
                  <c:v>2.0464171093055447E-3</c:v>
                </c:pt>
                <c:pt idx="12">
                  <c:v>4.0433838163696787E-3</c:v>
                </c:pt>
                <c:pt idx="13">
                  <c:v>7.4038002848680713E-3</c:v>
                </c:pt>
                <c:pt idx="14">
                  <c:v>1.2669455347185809E-2</c:v>
                </c:pt>
                <c:pt idx="15">
                  <c:v>2.0409147216544951E-2</c:v>
                </c:pt>
                <c:pt idx="16">
                  <c:v>3.1148454236820527E-2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415-483F-B75C-C48B46EC9670}"/>
            </c:ext>
          </c:extLst>
        </c:ser>
        <c:ser>
          <c:idx val="8"/>
          <c:order val="8"/>
          <c:tx>
            <c:strRef>
              <c:f>Foglio1!$O$1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Foglio1!$F$2:$F$18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Foglio1!$O$2:$O$18</c:f>
              <c:numCache>
                <c:formatCode>General</c:formatCode>
                <c:ptCount val="17"/>
                <c:pt idx="0">
                  <c:v>5.4232246335193967E-11</c:v>
                </c:pt>
                <c:pt idx="1">
                  <c:v>7.7003683991601247E-10</c:v>
                </c:pt>
                <c:pt idx="2">
                  <c:v>7.6933121894506944E-9</c:v>
                </c:pt>
                <c:pt idx="3">
                  <c:v>5.7386407513054304E-8</c:v>
                </c:pt>
                <c:pt idx="4">
                  <c:v>3.3480038307116318E-7</c:v>
                </c:pt>
                <c:pt idx="5">
                  <c:v>1.5853483180169187E-6</c:v>
                </c:pt>
                <c:pt idx="6">
                  <c:v>6.2778756295567387E-6</c:v>
                </c:pt>
                <c:pt idx="7">
                  <c:v>2.1304336674215306E-5</c:v>
                </c:pt>
                <c:pt idx="8">
                  <c:v>6.3221747458280691E-5</c:v>
                </c:pt>
                <c:pt idx="9">
                  <c:v>1.6685248496555507E-4</c:v>
                </c:pt>
                <c:pt idx="10">
                  <c:v>3.9722269761859893E-4</c:v>
                </c:pt>
                <c:pt idx="11">
                  <c:v>8.6338761895446826E-4</c:v>
                </c:pt>
                <c:pt idx="12">
                  <c:v>1.731110034180491E-3</c:v>
                </c:pt>
                <c:pt idx="13">
                  <c:v>3.230314971738629E-3</c:v>
                </c:pt>
                <c:pt idx="14">
                  <c:v>5.6533478186780398E-3</c:v>
                </c:pt>
                <c:pt idx="15">
                  <c:v>9.3415162241989921E-3</c:v>
                </c:pt>
                <c:pt idx="16">
                  <c:v>1.465986831018647E-2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415-483F-B75C-C48B46EC9670}"/>
            </c:ext>
          </c:extLst>
        </c:ser>
        <c:ser>
          <c:idx val="9"/>
          <c:order val="9"/>
          <c:tx>
            <c:strRef>
              <c:f>Foglio1!$P$1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Foglio1!$F$2:$F$18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Foglio1!$P$2:$P$18</c:f>
              <c:numCache>
                <c:formatCode>General</c:formatCode>
                <c:ptCount val="17"/>
                <c:pt idx="0">
                  <c:v>3.397625269877302E-11</c:v>
                </c:pt>
                <c:pt idx="1">
                  <c:v>4.3273988154459692E-10</c:v>
                </c:pt>
                <c:pt idx="2">
                  <c:v>3.970201189463249E-9</c:v>
                </c:pt>
                <c:pt idx="3">
                  <c:v>2.7719986100945788E-8</c:v>
                </c:pt>
                <c:pt idx="4">
                  <c:v>1.5377708980084924E-7</c:v>
                </c:pt>
                <c:pt idx="5">
                  <c:v>7.0150900961753958E-7</c:v>
                </c:pt>
                <c:pt idx="6">
                  <c:v>2.7057009627034809E-6</c:v>
                </c:pt>
                <c:pt idx="7">
                  <c:v>9.0260695931521737E-6</c:v>
                </c:pt>
                <c:pt idx="8">
                  <c:v>2.6536879939084106E-5</c:v>
                </c:pt>
                <c:pt idx="9">
                  <c:v>6.9846893809131697E-5</c:v>
                </c:pt>
                <c:pt idx="10">
                  <c:v>1.6677466661852228E-4</c:v>
                </c:pt>
                <c:pt idx="11">
                  <c:v>3.6531908176734356E-4</c:v>
                </c:pt>
                <c:pt idx="12">
                  <c:v>7.4121160544485536E-4</c:v>
                </c:pt>
                <c:pt idx="13">
                  <c:v>1.4045221585384175E-3</c:v>
                </c:pt>
                <c:pt idx="14">
                  <c:v>2.5034605170215687E-3</c:v>
                </c:pt>
                <c:pt idx="15">
                  <c:v>4.2236481469136635E-3</c:v>
                </c:pt>
                <c:pt idx="16">
                  <c:v>6.7817620317415497E-3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415-483F-B75C-C48B46EC9670}"/>
            </c:ext>
          </c:extLst>
        </c:ser>
        <c:ser>
          <c:idx val="10"/>
          <c:order val="10"/>
          <c:tx>
            <c:strRef>
              <c:f>Foglio1!$Q$1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Foglio1!$F$2:$F$18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Foglio1!$Q$2:$Q$18</c:f>
              <c:numCache>
                <c:formatCode>General</c:formatCode>
                <c:ptCount val="17"/>
                <c:pt idx="0">
                  <c:v>4.1835854650017306E-14</c:v>
                </c:pt>
                <c:pt idx="1">
                  <c:v>3.2505792180799326E-13</c:v>
                </c:pt>
                <c:pt idx="2">
                  <c:v>2.0226271271650303E-12</c:v>
                </c:pt>
                <c:pt idx="3">
                  <c:v>1.04423857497123E-11</c:v>
                </c:pt>
                <c:pt idx="4">
                  <c:v>4.6000054022880347E-11</c:v>
                </c:pt>
                <c:pt idx="5">
                  <c:v>1.7681940221909124E-10</c:v>
                </c:pt>
                <c:pt idx="6">
                  <c:v>6.0398905385241587E-10</c:v>
                </c:pt>
                <c:pt idx="7">
                  <c:v>1.8610827565892889E-9</c:v>
                </c:pt>
                <c:pt idx="8">
                  <c:v>5.2378309856117154E-9</c:v>
                </c:pt>
                <c:pt idx="9">
                  <c:v>1.360592914772645E-8</c:v>
                </c:pt>
                <c:pt idx="10">
                  <c:v>3.2910936388323924E-8</c:v>
                </c:pt>
                <c:pt idx="11">
                  <c:v>7.4690770911065557E-8</c:v>
                </c:pt>
                <c:pt idx="12">
                  <c:v>1.6007570974654936E-7</c:v>
                </c:pt>
                <c:pt idx="13">
                  <c:v>3.2580020170561376E-7</c:v>
                </c:pt>
                <c:pt idx="14">
                  <c:v>6.3279480624218981E-7</c:v>
                </c:pt>
                <c:pt idx="15">
                  <c:v>1.1779105130924559E-6</c:v>
                </c:pt>
                <c:pt idx="16">
                  <c:v>2.1092458864327558E-6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415-483F-B75C-C48B46EC9670}"/>
            </c:ext>
          </c:extLst>
        </c:ser>
        <c:ser>
          <c:idx val="11"/>
          <c:order val="11"/>
          <c:tx>
            <c:strRef>
              <c:f>Foglio1!$R$1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Foglio1!$F$2:$F$18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Foglio1!$R$2:$R$18</c:f>
              <c:numCache>
                <c:formatCode>General</c:formatCode>
                <c:ptCount val="17"/>
                <c:pt idx="0">
                  <c:v>1.7487321087423709E-17</c:v>
                </c:pt>
                <c:pt idx="1">
                  <c:v>1.1492617917049641E-16</c:v>
                </c:pt>
                <c:pt idx="2">
                  <c:v>6.2678238326934495E-16</c:v>
                </c:pt>
                <c:pt idx="3">
                  <c:v>2.9199454897918583E-15</c:v>
                </c:pt>
                <c:pt idx="4">
                  <c:v>1.1888989213089483E-14</c:v>
                </c:pt>
                <c:pt idx="5">
                  <c:v>4.3095971988866977E-14</c:v>
                </c:pt>
                <c:pt idx="6">
                  <c:v>1.4118324553878554E-13</c:v>
                </c:pt>
                <c:pt idx="7">
                  <c:v>4.2323059486911422E-13</c:v>
                </c:pt>
                <c:pt idx="8">
                  <c:v>1.1730507133833854E-12</c:v>
                </c:pt>
                <c:pt idx="9">
                  <c:v>3.0324269513150315E-12</c:v>
                </c:pt>
                <c:pt idx="10">
                  <c:v>7.3657102544235711E-12</c:v>
                </c:pt>
                <c:pt idx="11">
                  <c:v>1.691774849981224E-11</c:v>
                </c:pt>
                <c:pt idx="12">
                  <c:v>3.6944219351474926E-11</c:v>
                </c:pt>
                <c:pt idx="13">
                  <c:v>7.7069730850330358E-11</c:v>
                </c:pt>
                <c:pt idx="14">
                  <c:v>1.5422307015723159E-10</c:v>
                </c:pt>
                <c:pt idx="15">
                  <c:v>2.9710982069390863E-10</c:v>
                </c:pt>
                <c:pt idx="16">
                  <c:v>5.5280772751342663E-10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415-483F-B75C-C48B46EC9670}"/>
            </c:ext>
          </c:extLst>
        </c:ser>
        <c:ser>
          <c:idx val="12"/>
          <c:order val="12"/>
          <c:tx>
            <c:strRef>
              <c:f>Foglio1!$S$1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Foglio1!$F$2:$F$18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Foglio1!$S$2:$S$18</c:f>
              <c:numCache>
                <c:formatCode>General</c:formatCode>
                <c:ptCount val="17"/>
                <c:pt idx="0">
                  <c:v>5.6677396595438559E-21</c:v>
                </c:pt>
                <c:pt idx="1">
                  <c:v>3.423143611927869E-20</c:v>
                </c:pt>
                <c:pt idx="2">
                  <c:v>1.746687312347159E-19</c:v>
                </c:pt>
                <c:pt idx="3">
                  <c:v>7.7253965601275362E-19</c:v>
                </c:pt>
                <c:pt idx="4">
                  <c:v>3.0226957739879619E-18</c:v>
                </c:pt>
                <c:pt idx="5">
                  <c:v>1.063601128232391E-17</c:v>
                </c:pt>
                <c:pt idx="6">
                  <c:v>3.4112572292634544E-17</c:v>
                </c:pt>
                <c:pt idx="7">
                  <c:v>1.0084027849064041E-16</c:v>
                </c:pt>
                <c:pt idx="8">
                  <c:v>2.773179727533986E-16</c:v>
                </c:pt>
                <c:pt idx="9">
                  <c:v>7.150830149998037E-16</c:v>
                </c:pt>
                <c:pt idx="10">
                  <c:v>1.7404904640264464E-15</c:v>
                </c:pt>
                <c:pt idx="11">
                  <c:v>4.0217266474426319E-15</c:v>
                </c:pt>
                <c:pt idx="12">
                  <c:v>8.8660159537009413E-15</c:v>
                </c:pt>
                <c:pt idx="13">
                  <c:v>1.8727824797558056E-14</c:v>
                </c:pt>
                <c:pt idx="14">
                  <c:v>3.8047104224372568E-14</c:v>
                </c:pt>
                <c:pt idx="15">
                  <c:v>7.4587472819530746E-14</c:v>
                </c:pt>
                <c:pt idx="16">
                  <c:v>1.4150995307877398E-13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415-483F-B75C-C48B46EC9670}"/>
            </c:ext>
          </c:extLst>
        </c:ser>
        <c:ser>
          <c:idx val="13"/>
          <c:order val="13"/>
          <c:tx>
            <c:strRef>
              <c:f>Foglio1!$T$1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Foglio1!$F$2:$F$18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Foglio1!$T$2:$T$18</c:f>
              <c:numCache>
                <c:formatCode>General</c:formatCode>
                <c:ptCount val="17"/>
                <c:pt idx="0">
                  <c:v>1.6710784205539062E-24</c:v>
                </c:pt>
                <c:pt idx="1">
                  <c:v>9.5913513497051097E-24</c:v>
                </c:pt>
                <c:pt idx="2">
                  <c:v>4.7013176558024683E-23</c:v>
                </c:pt>
                <c:pt idx="3">
                  <c:v>2.015137664953467E-22</c:v>
                </c:pt>
                <c:pt idx="4">
                  <c:v>7.6970859062778693E-22</c:v>
                </c:pt>
                <c:pt idx="5">
                  <c:v>2.6601479902753497E-21</c:v>
                </c:pt>
                <c:pt idx="6">
                  <c:v>8.4230067311360669E-21</c:v>
                </c:pt>
                <c:pt idx="7">
                  <c:v>2.4689139558852525E-20</c:v>
                </c:pt>
                <c:pt idx="8">
                  <c:v>6.7575181443133478E-20</c:v>
                </c:pt>
                <c:pt idx="9">
                  <c:v>1.7397769067735975E-19</c:v>
                </c:pt>
                <c:pt idx="10">
                  <c:v>4.2397270033822264E-19</c:v>
                </c:pt>
                <c:pt idx="11">
                  <c:v>9.8321909809792048E-19</c:v>
                </c:pt>
                <c:pt idx="12">
                  <c:v>2.1799467823363685E-18</c:v>
                </c:pt>
                <c:pt idx="13">
                  <c:v>4.6395760258610065E-18</c:v>
                </c:pt>
                <c:pt idx="14">
                  <c:v>9.5122320579702039E-18</c:v>
                </c:pt>
                <c:pt idx="15">
                  <c:v>1.8845554152266072E-17</c:v>
                </c:pt>
                <c:pt idx="16">
                  <c:v>3.6178615950007124E-17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415-483F-B75C-C48B46EC9670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287028016"/>
        <c:axId val="287022256"/>
        <c:axId val="297847224"/>
      </c:surface3DChart>
      <c:catAx>
        <c:axId val="287028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7022256"/>
        <c:crosses val="autoZero"/>
        <c:auto val="1"/>
        <c:lblAlgn val="ctr"/>
        <c:lblOffset val="100"/>
        <c:noMultiLvlLbl val="0"/>
      </c:catAx>
      <c:valAx>
        <c:axId val="28702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7028016"/>
        <c:crosses val="autoZero"/>
        <c:crossBetween val="midCat"/>
      </c:valAx>
      <c:serAx>
        <c:axId val="29784722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702225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l-GR">
                <a:latin typeface="Arial" panose="020B0604020202020204" pitchFamily="34" charset="0"/>
                <a:cs typeface="Arial" panose="020B0604020202020204" pitchFamily="34" charset="0"/>
              </a:rPr>
              <a:t>Γ</a:t>
            </a:r>
            <a:r>
              <a:rPr lang="it-IT" baseline="0">
                <a:latin typeface="Arial" panose="020B0604020202020204" pitchFamily="34" charset="0"/>
                <a:cs typeface="Arial" panose="020B0604020202020204" pitchFamily="34" charset="0"/>
              </a:rPr>
              <a:t> parameter, q= 80%</a:t>
            </a:r>
            <a:endParaRPr lang="it-IT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Foglio1!$G$21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Foglio1!$F$22:$F$38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Foglio1!$G$22:$G$38</c:f>
              <c:numCache>
                <c:formatCode>General</c:formatCode>
                <c:ptCount val="17"/>
                <c:pt idx="0">
                  <c:v>1.6934683921760464E-20</c:v>
                </c:pt>
                <c:pt idx="1">
                  <c:v>9.0099534877586191E-16</c:v>
                </c:pt>
                <c:pt idx="2">
                  <c:v>5.1298333566580544E-12</c:v>
                </c:pt>
                <c:pt idx="3">
                  <c:v>4.6806776814297255E-9</c:v>
                </c:pt>
                <c:pt idx="4">
                  <c:v>9.3660553233583619E-7</c:v>
                </c:pt>
                <c:pt idx="5">
                  <c:v>5.2640539126550854E-5</c:v>
                </c:pt>
                <c:pt idx="6">
                  <c:v>1.0129003259453683E-3</c:v>
                </c:pt>
                <c:pt idx="7">
                  <c:v>7.8324404431691919E-3</c:v>
                </c:pt>
                <c:pt idx="8">
                  <c:v>2.7750448957785192E-2</c:v>
                </c:pt>
                <c:pt idx="9">
                  <c:v>5.0204893390860789E-2</c:v>
                </c:pt>
                <c:pt idx="10">
                  <c:v>5.0762556363940496E-2</c:v>
                </c:pt>
                <c:pt idx="11">
                  <c:v>3.0945648763037001E-2</c:v>
                </c:pt>
                <c:pt idx="12">
                  <c:v>1.2127512977663278E-2</c:v>
                </c:pt>
                <c:pt idx="13">
                  <c:v>3.2268010793146773E-3</c:v>
                </c:pt>
                <c:pt idx="14">
                  <c:v>6.108058894804399E-4</c:v>
                </c:pt>
                <c:pt idx="15">
                  <c:v>8.5632964532823412E-5</c:v>
                </c:pt>
                <c:pt idx="16">
                  <c:v>9.206685122521549E-6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28-4BCA-ACAF-5602CDC99091}"/>
            </c:ext>
          </c:extLst>
        </c:ser>
        <c:ser>
          <c:idx val="1"/>
          <c:order val="1"/>
          <c:tx>
            <c:strRef>
              <c:f>Foglio1!$H$21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Foglio1!$F$22:$F$38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Foglio1!$H$22:$H$38</c:f>
              <c:numCache>
                <c:formatCode>General</c:formatCode>
                <c:ptCount val="17"/>
                <c:pt idx="0">
                  <c:v>6.3757115413858121E-14</c:v>
                </c:pt>
                <c:pt idx="1">
                  <c:v>3.0528509871125903E-11</c:v>
                </c:pt>
                <c:pt idx="2">
                  <c:v>4.5298226219088806E-9</c:v>
                </c:pt>
                <c:pt idx="3">
                  <c:v>2.5680196881854878E-7</c:v>
                </c:pt>
                <c:pt idx="4">
                  <c:v>6.5461272491894253E-6</c:v>
                </c:pt>
                <c:pt idx="5">
                  <c:v>8.5333157159255557E-5</c:v>
                </c:pt>
                <c:pt idx="6">
                  <c:v>6.3060325284887842E-4</c:v>
                </c:pt>
                <c:pt idx="7">
                  <c:v>2.8720130004569371E-3</c:v>
                </c:pt>
                <c:pt idx="8">
                  <c:v>8.6326664203074943E-3</c:v>
                </c:pt>
                <c:pt idx="9">
                  <c:v>1.8123218695691407E-2</c:v>
                </c:pt>
                <c:pt idx="10">
                  <c:v>2.7860566765143705E-2</c:v>
                </c:pt>
                <c:pt idx="11">
                  <c:v>3.2634543477731454E-2</c:v>
                </c:pt>
                <c:pt idx="12">
                  <c:v>3.0124836380533808E-2</c:v>
                </c:pt>
                <c:pt idx="13">
                  <c:v>2.2552771410965459E-2</c:v>
                </c:pt>
                <c:pt idx="14">
                  <c:v>1.4034425851268245E-2</c:v>
                </c:pt>
                <c:pt idx="15">
                  <c:v>7.4152548168330877E-3</c:v>
                </c:pt>
                <c:pt idx="16">
                  <c:v>3.3882849222241353E-3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28-4BCA-ACAF-5602CDC99091}"/>
            </c:ext>
          </c:extLst>
        </c:ser>
        <c:ser>
          <c:idx val="2"/>
          <c:order val="2"/>
          <c:tx>
            <c:strRef>
              <c:f>Foglio1!$I$21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Foglio1!$F$22:$F$38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Foglio1!$I$22:$I$38</c:f>
              <c:numCache>
                <c:formatCode>General</c:formatCode>
                <c:ptCount val="17"/>
                <c:pt idx="0">
                  <c:v>5.2581363888526855E-12</c:v>
                </c:pt>
                <c:pt idx="1">
                  <c:v>5.2370408041406928E-10</c:v>
                </c:pt>
                <c:pt idx="2">
                  <c:v>2.3038799299469922E-8</c:v>
                </c:pt>
                <c:pt idx="3">
                  <c:v>5.1730604348217786E-7</c:v>
                </c:pt>
                <c:pt idx="4">
                  <c:v>6.6350828510115823E-6</c:v>
                </c:pt>
                <c:pt idx="5">
                  <c:v>5.3141805789341547E-5</c:v>
                </c:pt>
                <c:pt idx="6">
                  <c:v>2.8545568985054274E-4</c:v>
                </c:pt>
                <c:pt idx="7">
                  <c:v>1.0897716364348868E-3</c:v>
                </c:pt>
                <c:pt idx="8">
                  <c:v>3.1009107987484464E-3</c:v>
                </c:pt>
                <c:pt idx="9">
                  <c:v>6.8409711245172051E-3</c:v>
                </c:pt>
                <c:pt idx="10">
                  <c:v>1.2092741423164556E-2</c:v>
                </c:pt>
                <c:pt idx="11">
                  <c:v>1.7609871644789412E-2</c:v>
                </c:pt>
                <c:pt idx="12">
                  <c:v>2.1628596826389328E-2</c:v>
                </c:pt>
                <c:pt idx="13">
                  <c:v>2.2859241981617456E-2</c:v>
                </c:pt>
                <c:pt idx="14">
                  <c:v>2.1151660182105726E-2</c:v>
                </c:pt>
                <c:pt idx="15">
                  <c:v>1.7391636322333034E-2</c:v>
                </c:pt>
                <c:pt idx="16">
                  <c:v>1.2872358691817277E-2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28-4BCA-ACAF-5602CDC99091}"/>
            </c:ext>
          </c:extLst>
        </c:ser>
        <c:ser>
          <c:idx val="3"/>
          <c:order val="3"/>
          <c:tx>
            <c:strRef>
              <c:f>Foglio1!$J$21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Foglio1!$F$22:$F$38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Foglio1!$J$22:$J$38</c:f>
              <c:numCache>
                <c:formatCode>General</c:formatCode>
                <c:ptCount val="17"/>
                <c:pt idx="0">
                  <c:v>3.0355113332059258E-11</c:v>
                </c:pt>
                <c:pt idx="1">
                  <c:v>1.3788739013406613E-9</c:v>
                </c:pt>
                <c:pt idx="2">
                  <c:v>3.3029164063794601E-8</c:v>
                </c:pt>
                <c:pt idx="3">
                  <c:v>4.6673521762716238E-7</c:v>
                </c:pt>
                <c:pt idx="4">
                  <c:v>4.246447135695221E-6</c:v>
                </c:pt>
                <c:pt idx="5">
                  <c:v>2.6659007270686413E-5</c:v>
                </c:pt>
                <c:pt idx="6">
                  <c:v>1.2208951568110185E-4</c:v>
                </c:pt>
                <c:pt idx="7">
                  <c:v>4.2673520008018525E-4</c:v>
                </c:pt>
                <c:pt idx="8">
                  <c:v>1.1814350435249835E-3</c:v>
                </c:pt>
                <c:pt idx="9">
                  <c:v>2.6718211819516707E-3</c:v>
                </c:pt>
                <c:pt idx="10">
                  <c:v>5.0645468683501241E-3</c:v>
                </c:pt>
                <c:pt idx="11">
                  <c:v>8.223258319352611E-3</c:v>
                </c:pt>
                <c:pt idx="12">
                  <c:v>1.1650071413503341E-2</c:v>
                </c:pt>
                <c:pt idx="13">
                  <c:v>1.462989457956866E-2</c:v>
                </c:pt>
                <c:pt idx="14">
                  <c:v>1.6506986037607353E-2</c:v>
                </c:pt>
                <c:pt idx="15">
                  <c:v>1.6931523835083062E-2</c:v>
                </c:pt>
                <c:pt idx="16">
                  <c:v>1.5949447967919798E-2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28-4BCA-ACAF-5602CDC99091}"/>
            </c:ext>
          </c:extLst>
        </c:ser>
        <c:ser>
          <c:idx val="4"/>
          <c:order val="4"/>
          <c:tx>
            <c:strRef>
              <c:f>Foglio1!$K$21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Foglio1!$F$22:$F$38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Foglio1!$K$22:$K$38</c:f>
              <c:numCache>
                <c:formatCode>General</c:formatCode>
                <c:ptCount val="17"/>
                <c:pt idx="0">
                  <c:v>6.101750671480458E-11</c:v>
                </c:pt>
                <c:pt idx="1">
                  <c:v>1.7304948046301145E-9</c:v>
                </c:pt>
                <c:pt idx="2">
                  <c:v>2.8783448087497456E-8</c:v>
                </c:pt>
                <c:pt idx="3">
                  <c:v>3.0806827422460949E-7</c:v>
                </c:pt>
                <c:pt idx="4">
                  <c:v>2.2809509005688716E-6</c:v>
                </c:pt>
                <c:pt idx="5">
                  <c:v>1.2372890348383635E-5</c:v>
                </c:pt>
                <c:pt idx="6">
                  <c:v>5.1492593110968956E-5</c:v>
                </c:pt>
                <c:pt idx="7">
                  <c:v>1.7070051856761935E-4</c:v>
                </c:pt>
                <c:pt idx="8">
                  <c:v>4.6488419961413364E-4</c:v>
                </c:pt>
                <c:pt idx="9">
                  <c:v>1.0670966567416641E-3</c:v>
                </c:pt>
                <c:pt idx="10">
                  <c:v>2.109272464708815E-3</c:v>
                </c:pt>
                <c:pt idx="11">
                  <c:v>3.6559409335790659E-3</c:v>
                </c:pt>
                <c:pt idx="12">
                  <c:v>5.6427566972096369E-3</c:v>
                </c:pt>
                <c:pt idx="13">
                  <c:v>7.8583507930639653E-3</c:v>
                </c:pt>
                <c:pt idx="14">
                  <c:v>9.9872143236689383E-3</c:v>
                </c:pt>
                <c:pt idx="15">
                  <c:v>1.1697471583523458E-2</c:v>
                </c:pt>
                <c:pt idx="16">
                  <c:v>1.2734466694672987E-2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28-4BCA-ACAF-5602CDC99091}"/>
            </c:ext>
          </c:extLst>
        </c:ser>
        <c:ser>
          <c:idx val="5"/>
          <c:order val="5"/>
          <c:tx>
            <c:strRef>
              <c:f>Foglio1!$L$21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Foglio1!$F$22:$F$38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Foglio1!$L$22:$L$38</c:f>
              <c:numCache>
                <c:formatCode>General</c:formatCode>
                <c:ptCount val="17"/>
                <c:pt idx="0">
                  <c:v>7.2685126855816714E-11</c:v>
                </c:pt>
                <c:pt idx="1">
                  <c:v>1.5058330602163844E-9</c:v>
                </c:pt>
                <c:pt idx="2">
                  <c:v>1.9640340165661064E-8</c:v>
                </c:pt>
                <c:pt idx="3">
                  <c:v>1.746655573554327E-7</c:v>
                </c:pt>
                <c:pt idx="4">
                  <c:v>1.1272461895391569E-6</c:v>
                </c:pt>
                <c:pt idx="5">
                  <c:v>5.5470913842947275E-6</c:v>
                </c:pt>
                <c:pt idx="6">
                  <c:v>2.1658666803420556E-5</c:v>
                </c:pt>
                <c:pt idx="7">
                  <c:v>6.9309875373506629E-5</c:v>
                </c:pt>
                <c:pt idx="8">
                  <c:v>1.8669990899141414E-4</c:v>
                </c:pt>
                <c:pt idx="9">
                  <c:v>4.3282337002261198E-4</c:v>
                </c:pt>
                <c:pt idx="10">
                  <c:v>8.7977193729480373E-4</c:v>
                </c:pt>
                <c:pt idx="11">
                  <c:v>1.5927417271644432E-3</c:v>
                </c:pt>
                <c:pt idx="12">
                  <c:v>2.6028102736073287E-3</c:v>
                </c:pt>
                <c:pt idx="13">
                  <c:v>3.883597838661987E-3</c:v>
                </c:pt>
                <c:pt idx="14">
                  <c:v>5.3432413285271528E-3</c:v>
                </c:pt>
                <c:pt idx="15">
                  <c:v>6.8369960609068357E-3</c:v>
                </c:pt>
                <c:pt idx="16">
                  <c:v>8.196847619905084E-3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28-4BCA-ACAF-5602CDC99091}"/>
            </c:ext>
          </c:extLst>
        </c:ser>
        <c:ser>
          <c:idx val="6"/>
          <c:order val="6"/>
          <c:tx>
            <c:strRef>
              <c:f>Foglio1!$M$21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Foglio1!$F$22:$F$38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Foglio1!$M$22:$M$38</c:f>
              <c:numCache>
                <c:formatCode>General</c:formatCode>
                <c:ptCount val="17"/>
                <c:pt idx="0">
                  <c:v>6.4363839096655522E-11</c:v>
                </c:pt>
                <c:pt idx="1">
                  <c:v>1.0655054305253526E-9</c:v>
                </c:pt>
                <c:pt idx="2">
                  <c:v>1.168151120762259E-8</c:v>
                </c:pt>
                <c:pt idx="3">
                  <c:v>9.1011432430546806E-8</c:v>
                </c:pt>
                <c:pt idx="4">
                  <c:v>5.324697997374107E-7</c:v>
                </c:pt>
                <c:pt idx="5">
                  <c:v>2.4441116319284497E-6</c:v>
                </c:pt>
                <c:pt idx="6">
                  <c:v>9.117936867106359E-6</c:v>
                </c:pt>
                <c:pt idx="7">
                  <c:v>2.8451970531772437E-5</c:v>
                </c:pt>
                <c:pt idx="8">
                  <c:v>7.6043247399723758E-5</c:v>
                </c:pt>
                <c:pt idx="9">
                  <c:v>1.7754323304370668E-4</c:v>
                </c:pt>
                <c:pt idx="10">
                  <c:v>3.6815283943265566E-4</c:v>
                </c:pt>
                <c:pt idx="11">
                  <c:v>6.8755852119479469E-4</c:v>
                </c:pt>
                <c:pt idx="12">
                  <c:v>1.1703740401035891E-3</c:v>
                </c:pt>
                <c:pt idx="13">
                  <c:v>1.8344693311923151E-3</c:v>
                </c:pt>
                <c:pt idx="14">
                  <c:v>2.6711209408411367E-3</c:v>
                </c:pt>
                <c:pt idx="15">
                  <c:v>3.6407586145415578E-3</c:v>
                </c:pt>
                <c:pt idx="16">
                  <c:v>4.676240339437367E-3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428-4BCA-ACAF-5602CDC99091}"/>
            </c:ext>
          </c:extLst>
        </c:ser>
        <c:ser>
          <c:idx val="7"/>
          <c:order val="7"/>
          <c:tx>
            <c:strRef>
              <c:f>Foglio1!$N$21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Foglio1!$F$22:$F$38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Foglio1!$N$22:$N$38</c:f>
              <c:numCache>
                <c:formatCode>General</c:formatCode>
                <c:ptCount val="17"/>
                <c:pt idx="0">
                  <c:v>4.7423738779861153E-11</c:v>
                </c:pt>
                <c:pt idx="1">
                  <c:v>6.6350829374375354E-10</c:v>
                </c:pt>
                <c:pt idx="2">
                  <c:v>6.3858410888824534E-9</c:v>
                </c:pt>
                <c:pt idx="3">
                  <c:v>4.5052512424622596E-8</c:v>
                </c:pt>
                <c:pt idx="4">
                  <c:v>2.4488303151523224E-7</c:v>
                </c:pt>
                <c:pt idx="5">
                  <c:v>1.0668893610418053E-6</c:v>
                </c:pt>
                <c:pt idx="6">
                  <c:v>3.8463764307990261E-6</c:v>
                </c:pt>
                <c:pt idx="7">
                  <c:v>1.1777600882730989E-5</c:v>
                </c:pt>
                <c:pt idx="8">
                  <c:v>3.1293535005371927E-5</c:v>
                </c:pt>
                <c:pt idx="9">
                  <c:v>7.3452359139137064E-5</c:v>
                </c:pt>
                <c:pt idx="10">
                  <c:v>1.5460667848383319E-4</c:v>
                </c:pt>
                <c:pt idx="11">
                  <c:v>2.9555578236124499E-4</c:v>
                </c:pt>
                <c:pt idx="12">
                  <c:v>5.1873179060518151E-4</c:v>
                </c:pt>
                <c:pt idx="13">
                  <c:v>8.4367303322298542E-4</c:v>
                </c:pt>
                <c:pt idx="14">
                  <c:v>1.2817894197297446E-3</c:v>
                </c:pt>
                <c:pt idx="15">
                  <c:v>1.8318645628548015E-3</c:v>
                </c:pt>
                <c:pt idx="16">
                  <c:v>2.4776551210862539E-3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428-4BCA-ACAF-5602CDC99091}"/>
            </c:ext>
          </c:extLst>
        </c:ser>
        <c:ser>
          <c:idx val="8"/>
          <c:order val="8"/>
          <c:tx>
            <c:strRef>
              <c:f>Foglio1!$O$21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Foglio1!$F$22:$F$38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Foglio1!$O$22:$O$38</c:f>
              <c:numCache>
                <c:formatCode>General</c:formatCode>
                <c:ptCount val="17"/>
                <c:pt idx="0">
                  <c:v>3.0942545972157936E-11</c:v>
                </c:pt>
                <c:pt idx="1">
                  <c:v>3.7982164287651174E-10</c:v>
                </c:pt>
                <c:pt idx="2">
                  <c:v>3.3033250966422709E-9</c:v>
                </c:pt>
                <c:pt idx="3">
                  <c:v>2.1574120735865382E-8</c:v>
                </c:pt>
                <c:pt idx="4">
                  <c:v>1.1074280206011386E-7</c:v>
                </c:pt>
                <c:pt idx="5">
                  <c:v>4.6328429875618785E-7</c:v>
                </c:pt>
                <c:pt idx="6">
                  <c:v>1.6264297728011119E-6</c:v>
                </c:pt>
                <c:pt idx="7">
                  <c:v>4.907431512224848E-6</c:v>
                </c:pt>
                <c:pt idx="8">
                  <c:v>1.2979809166309188E-5</c:v>
                </c:pt>
                <c:pt idx="9">
                  <c:v>3.0592451063190882E-5</c:v>
                </c:pt>
                <c:pt idx="10">
                  <c:v>6.5146507946757805E-5</c:v>
                </c:pt>
                <c:pt idx="11">
                  <c:v>1.268180304291663E-4</c:v>
                </c:pt>
                <c:pt idx="12">
                  <c:v>2.2793962257974346E-4</c:v>
                </c:pt>
                <c:pt idx="13">
                  <c:v>3.8153201201226235E-4</c:v>
                </c:pt>
                <c:pt idx="14">
                  <c:v>5.9914345959735963E-4</c:v>
                </c:pt>
                <c:pt idx="15">
                  <c:v>8.8840886053843926E-4</c:v>
                </c:pt>
                <c:pt idx="16">
                  <c:v>1.2508801321476173E-3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428-4BCA-ACAF-5602CDC99091}"/>
            </c:ext>
          </c:extLst>
        </c:ser>
        <c:ser>
          <c:idx val="9"/>
          <c:order val="9"/>
          <c:tx>
            <c:strRef>
              <c:f>Foglio1!$P$21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Foglio1!$F$22:$F$38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Foglio1!$P$22:$P$38</c:f>
              <c:numCache>
                <c:formatCode>General</c:formatCode>
                <c:ptCount val="17"/>
                <c:pt idx="0">
                  <c:v>1.8555151358002778E-11</c:v>
                </c:pt>
                <c:pt idx="1">
                  <c:v>2.0512880122882284E-10</c:v>
                </c:pt>
                <c:pt idx="2">
                  <c:v>1.6451221024641266E-9</c:v>
                </c:pt>
                <c:pt idx="3">
                  <c:v>1.0101005999680664E-8</c:v>
                </c:pt>
                <c:pt idx="4">
                  <c:v>4.9529188504121591E-8</c:v>
                </c:pt>
                <c:pt idx="5">
                  <c:v>2.0058127702261233E-7</c:v>
                </c:pt>
                <c:pt idx="6">
                  <c:v>6.8935414753413794E-7</c:v>
                </c:pt>
                <c:pt idx="7">
                  <c:v>2.0556654243813546E-6</c:v>
                </c:pt>
                <c:pt idx="8">
                  <c:v>5.4172578257036832E-6</c:v>
                </c:pt>
                <c:pt idx="9">
                  <c:v>1.2810360348998885E-5</c:v>
                </c:pt>
                <c:pt idx="10">
                  <c:v>2.7534786060515359E-5</c:v>
                </c:pt>
                <c:pt idx="11">
                  <c:v>5.4384418752567554E-5</c:v>
                </c:pt>
                <c:pt idx="12">
                  <c:v>9.9628053521937833E-5</c:v>
                </c:pt>
                <c:pt idx="13">
                  <c:v>1.7063836738621122E-4</c:v>
                </c:pt>
                <c:pt idx="14">
                  <c:v>2.7514548299912027E-4</c:v>
                </c:pt>
                <c:pt idx="15">
                  <c:v>4.2019293855256938E-4</c:v>
                </c:pt>
                <c:pt idx="16">
                  <c:v>6.1096427902706163E-4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428-4BCA-ACAF-5602CDC99091}"/>
            </c:ext>
          </c:extLst>
        </c:ser>
        <c:ser>
          <c:idx val="10"/>
          <c:order val="10"/>
          <c:tx>
            <c:strRef>
              <c:f>Foglio1!$Q$21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Foglio1!$F$22:$F$38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Foglio1!$Q$22:$Q$38</c:f>
              <c:numCache>
                <c:formatCode>General</c:formatCode>
                <c:ptCount val="17"/>
                <c:pt idx="0">
                  <c:v>1.8202733084623893E-14</c:v>
                </c:pt>
                <c:pt idx="1">
                  <c:v>1.2563825355738058E-13</c:v>
                </c:pt>
                <c:pt idx="2">
                  <c:v>6.9966938986352515E-13</c:v>
                </c:pt>
                <c:pt idx="3">
                  <c:v>3.2537975921515786E-12</c:v>
                </c:pt>
                <c:pt idx="4">
                  <c:v>1.2983773419638318E-11</c:v>
                </c:pt>
                <c:pt idx="5">
                  <c:v>4.5432546900009873E-11</c:v>
                </c:pt>
                <c:pt idx="6">
                  <c:v>1.4189212261824499E-10</c:v>
                </c:pt>
                <c:pt idx="7">
                  <c:v>4.0130844995694789E-10</c:v>
                </c:pt>
                <c:pt idx="8">
                  <c:v>1.0403128028564099E-9</c:v>
                </c:pt>
                <c:pt idx="9">
                  <c:v>2.4969348889627532E-9</c:v>
                </c:pt>
                <c:pt idx="10">
                  <c:v>5.5965874692211905E-9</c:v>
                </c:pt>
                <c:pt idx="11">
                  <c:v>1.1799924520713288E-8</c:v>
                </c:pt>
                <c:pt idx="12">
                  <c:v>2.3550161152882308E-8</c:v>
                </c:pt>
                <c:pt idx="13">
                  <c:v>4.4731802917691565E-8</c:v>
                </c:pt>
                <c:pt idx="14">
                  <c:v>8.1243471808105361E-8</c:v>
                </c:pt>
                <c:pt idx="15">
                  <c:v>1.4167532018722456E-7</c:v>
                </c:pt>
                <c:pt idx="16">
                  <c:v>2.3806767229742531E-7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428-4BCA-ACAF-5602CDC99091}"/>
            </c:ext>
          </c:extLst>
        </c:ser>
        <c:ser>
          <c:idx val="11"/>
          <c:order val="11"/>
          <c:tx>
            <c:strRef>
              <c:f>Foglio1!$R$21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Foglio1!$F$22:$F$38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Foglio1!$R$22:$R$38</c:f>
              <c:numCache>
                <c:formatCode>General</c:formatCode>
                <c:ptCount val="17"/>
                <c:pt idx="0">
                  <c:v>6.9516243231999166E-18</c:v>
                </c:pt>
                <c:pt idx="1">
                  <c:v>4.1009011454416447E-17</c:v>
                </c:pt>
                <c:pt idx="2">
                  <c:v>2.0223211006083708E-16</c:v>
                </c:pt>
                <c:pt idx="3">
                  <c:v>8.5728421710490476E-16</c:v>
                </c:pt>
                <c:pt idx="4">
                  <c:v>3.1937910036774944E-15</c:v>
                </c:pt>
                <c:pt idx="5">
                  <c:v>1.064432944236423E-14</c:v>
                </c:pt>
                <c:pt idx="6">
                  <c:v>3.220000282598765E-14</c:v>
                </c:pt>
                <c:pt idx="7">
                  <c:v>8.9477241918611597E-14</c:v>
                </c:pt>
                <c:pt idx="8">
                  <c:v>2.3068414652658849E-13</c:v>
                </c:pt>
                <c:pt idx="9">
                  <c:v>5.5643550651663724E-13</c:v>
                </c:pt>
                <c:pt idx="10">
                  <c:v>1.2647251422345397E-12</c:v>
                </c:pt>
                <c:pt idx="11">
                  <c:v>2.7252507555869919E-12</c:v>
                </c:pt>
                <c:pt idx="12">
                  <c:v>5.5965916826844722E-12</c:v>
                </c:pt>
                <c:pt idx="13">
                  <c:v>1.1003275020242723E-11</c:v>
                </c:pt>
                <c:pt idx="14">
                  <c:v>2.0793271755342934E-11</c:v>
                </c:pt>
                <c:pt idx="15">
                  <c:v>3.7899633821773308E-11</c:v>
                </c:pt>
                <c:pt idx="16">
                  <c:v>6.6832486784750426E-11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428-4BCA-ACAF-5602CDC99091}"/>
            </c:ext>
          </c:extLst>
        </c:ser>
        <c:ser>
          <c:idx val="12"/>
          <c:order val="12"/>
          <c:tx>
            <c:strRef>
              <c:f>Foglio1!$S$21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Foglio1!$F$22:$F$38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Foglio1!$S$22:$S$38</c:f>
              <c:numCache>
                <c:formatCode>General</c:formatCode>
                <c:ptCount val="17"/>
                <c:pt idx="0">
                  <c:v>2.1456767974555815E-21</c:v>
                </c:pt>
                <c:pt idx="1">
                  <c:v>1.1702028986030448E-20</c:v>
                </c:pt>
                <c:pt idx="2">
                  <c:v>5.4304009544871195E-20</c:v>
                </c:pt>
                <c:pt idx="3">
                  <c:v>2.1978352771947461E-19</c:v>
                </c:pt>
                <c:pt idx="4">
                  <c:v>7.9115657200436095E-19</c:v>
                </c:pt>
                <c:pt idx="5">
                  <c:v>2.5733394841999481E-18</c:v>
                </c:pt>
                <c:pt idx="6">
                  <c:v>7.6613955685005562E-18</c:v>
                </c:pt>
                <c:pt idx="7">
                  <c:v>2.1102450740959215E-17</c:v>
                </c:pt>
                <c:pt idx="8">
                  <c:v>5.4256005490215223E-17</c:v>
                </c:pt>
                <c:pt idx="9">
                  <c:v>1.3119636656895826E-16</c:v>
                </c:pt>
                <c:pt idx="10">
                  <c:v>3.0028645620307642E-16</c:v>
                </c:pt>
                <c:pt idx="11">
                  <c:v>6.5414383485336024E-16</c:v>
                </c:pt>
                <c:pt idx="12">
                  <c:v>1.3626730178993306E-15</c:v>
                </c:pt>
                <c:pt idx="13">
                  <c:v>2.7256991255259871E-15</c:v>
                </c:pt>
                <c:pt idx="14">
                  <c:v>5.2540375407156737E-15</c:v>
                </c:pt>
                <c:pt idx="15">
                  <c:v>9.7905836799464608E-15</c:v>
                </c:pt>
                <c:pt idx="16">
                  <c:v>1.7686193945260392E-14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428-4BCA-ACAF-5602CDC99091}"/>
            </c:ext>
          </c:extLst>
        </c:ser>
        <c:ser>
          <c:idx val="13"/>
          <c:order val="13"/>
          <c:tx>
            <c:strRef>
              <c:f>Foglio1!$T$21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Foglio1!$F$22:$F$38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Foglio1!$T$22:$T$38</c:f>
              <c:numCache>
                <c:formatCode>General</c:formatCode>
                <c:ptCount val="17"/>
                <c:pt idx="0">
                  <c:v>6.1353239687220188E-25</c:v>
                </c:pt>
                <c:pt idx="1">
                  <c:v>3.1921014070258354E-24</c:v>
                </c:pt>
                <c:pt idx="2">
                  <c:v>1.4282602710094336E-23</c:v>
                </c:pt>
                <c:pt idx="3">
                  <c:v>5.6221666617838636E-23</c:v>
                </c:pt>
                <c:pt idx="4">
                  <c:v>1.9825420009946568E-22</c:v>
                </c:pt>
                <c:pt idx="5">
                  <c:v>6.3549295158449115E-22</c:v>
                </c:pt>
                <c:pt idx="6">
                  <c:v>1.8739821964820445E-21</c:v>
                </c:pt>
                <c:pt idx="7">
                  <c:v>5.1344209013130381E-21</c:v>
                </c:pt>
                <c:pt idx="8">
                  <c:v>1.3179297008420563E-20</c:v>
                </c:pt>
                <c:pt idx="9">
                  <c:v>3.1916288338302654E-20</c:v>
                </c:pt>
                <c:pt idx="10">
                  <c:v>7.3357730822796835E-20</c:v>
                </c:pt>
                <c:pt idx="11">
                  <c:v>1.6084949866666327E-19</c:v>
                </c:pt>
                <c:pt idx="12">
                  <c:v>3.3795499178246659E-19</c:v>
                </c:pt>
                <c:pt idx="13">
                  <c:v>6.8302699991978247E-19</c:v>
                </c:pt>
                <c:pt idx="14">
                  <c:v>1.3323605508015612E-18</c:v>
                </c:pt>
                <c:pt idx="15">
                  <c:v>2.515933247060736E-18</c:v>
                </c:pt>
                <c:pt idx="16">
                  <c:v>4.611145530009779E-18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428-4BCA-ACAF-5602CDC99091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510018592"/>
        <c:axId val="510018952"/>
        <c:axId val="502811656"/>
      </c:surface3DChart>
      <c:catAx>
        <c:axId val="510018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0018952"/>
        <c:crosses val="autoZero"/>
        <c:auto val="1"/>
        <c:lblAlgn val="ctr"/>
        <c:lblOffset val="100"/>
        <c:noMultiLvlLbl val="0"/>
      </c:catAx>
      <c:valAx>
        <c:axId val="510018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0018592"/>
        <c:crosses val="autoZero"/>
        <c:crossBetween val="midCat"/>
      </c:valAx>
      <c:serAx>
        <c:axId val="50281165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001895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 parameter,</a:t>
            </a:r>
            <a:r>
              <a:rPr lang="it-IT" baseline="0"/>
              <a:t> </a:t>
            </a:r>
            <a:r>
              <a:rPr lang="it-IT" baseline="0">
                <a:latin typeface="Arial" panose="020B0604020202020204" pitchFamily="34" charset="0"/>
                <a:cs typeface="Arial" panose="020B0604020202020204" pitchFamily="34" charset="0"/>
              </a:rPr>
              <a:t>p=80%</a:t>
            </a:r>
            <a:endParaRPr lang="it-IT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5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Foglio1!$G$41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Foglio1!$F$42:$F$58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Foglio1!$G$42:$G$58</c:f>
              <c:numCache>
                <c:formatCode>General</c:formatCode>
                <c:ptCount val="17"/>
                <c:pt idx="0">
                  <c:v>1.2192972423667532E-18</c:v>
                </c:pt>
                <c:pt idx="1">
                  <c:v>7.6134106971560326E-14</c:v>
                </c:pt>
                <c:pt idx="2">
                  <c:v>5.0272366895248919E-10</c:v>
                </c:pt>
                <c:pt idx="3">
                  <c:v>5.265762391608441E-7</c:v>
                </c:pt>
                <c:pt idx="4">
                  <c:v>1.1988550813898705E-4</c:v>
                </c:pt>
                <c:pt idx="5">
                  <c:v>7.6065579037866001E-3</c:v>
                </c:pt>
                <c:pt idx="6">
                  <c:v>0.16408985280314967</c:v>
                </c:pt>
                <c:pt idx="7">
                  <c:v>1.413755499992039</c:v>
                </c:pt>
                <c:pt idx="8">
                  <c:v>5.5500897915570393</c:v>
                </c:pt>
                <c:pt idx="9">
                  <c:v>11.070178992684804</c:v>
                </c:pt>
                <c:pt idx="10">
                  <c:v>12.284538640073603</c:v>
                </c:pt>
                <c:pt idx="11">
                  <c:v>8.1851240978232873</c:v>
                </c:pt>
                <c:pt idx="12">
                  <c:v>3.4927237375670241</c:v>
                </c:pt>
                <c:pt idx="13">
                  <c:v>1.0083753372858366</c:v>
                </c:pt>
                <c:pt idx="14">
                  <c:v>0.20645239064438869</c:v>
                </c:pt>
                <c:pt idx="15">
                  <c:v>3.121321557221414E-2</c:v>
                </c:pt>
                <c:pt idx="16">
                  <c:v>3.6090205680284469E-3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AC-4595-84DD-FDE67ED455BE}"/>
            </c:ext>
          </c:extLst>
        </c:ser>
        <c:ser>
          <c:idx val="1"/>
          <c:order val="1"/>
          <c:tx>
            <c:strRef>
              <c:f>Foglio1!$H$41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Foglio1!$F$42:$F$58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Foglio1!$H$42:$H$58</c:f>
              <c:numCache>
                <c:formatCode>General</c:formatCode>
                <c:ptCount val="17"/>
                <c:pt idx="0">
                  <c:v>9.1810246195955689E-12</c:v>
                </c:pt>
                <c:pt idx="1">
                  <c:v>5.1593181682202773E-9</c:v>
                </c:pt>
                <c:pt idx="2">
                  <c:v>8.8784523389414054E-7</c:v>
                </c:pt>
                <c:pt idx="3">
                  <c:v>5.7780442984173472E-5</c:v>
                </c:pt>
                <c:pt idx="4">
                  <c:v>1.6758085757924929E-3</c:v>
                </c:pt>
                <c:pt idx="5">
                  <c:v>2.4661282419024856E-2</c:v>
                </c:pt>
                <c:pt idx="6">
                  <c:v>0.2043154539230366</c:v>
                </c:pt>
                <c:pt idx="7">
                  <c:v>1.0367966931649544</c:v>
                </c:pt>
                <c:pt idx="8">
                  <c:v>3.4530665681229982</c:v>
                </c:pt>
                <c:pt idx="9">
                  <c:v>7.9923394447999092</c:v>
                </c:pt>
                <c:pt idx="10">
                  <c:v>13.484514314329552</c:v>
                </c:pt>
                <c:pt idx="11">
                  <c:v>17.263673499719935</c:v>
                </c:pt>
                <c:pt idx="12">
                  <c:v>17.35190575518747</c:v>
                </c:pt>
                <c:pt idx="13">
                  <c:v>14.095482131853412</c:v>
                </c:pt>
                <c:pt idx="14">
                  <c:v>9.4872718754573313</c:v>
                </c:pt>
                <c:pt idx="15">
                  <c:v>5.4057207614713203</c:v>
                </c:pt>
                <c:pt idx="16">
                  <c:v>2.6564153790237222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AC-4595-84DD-FDE67ED455BE}"/>
            </c:ext>
          </c:extLst>
        </c:ser>
        <c:ser>
          <c:idx val="2"/>
          <c:order val="2"/>
          <c:tx>
            <c:strRef>
              <c:f>Foglio1!$I$41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Foglio1!$F$42:$F$58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Foglio1!$I$42:$I$58</c:f>
              <c:numCache>
                <c:formatCode>General</c:formatCode>
                <c:ptCount val="17"/>
                <c:pt idx="0">
                  <c:v>1.1357574599921799E-9</c:v>
                </c:pt>
                <c:pt idx="1">
                  <c:v>1.3275898438496655E-7</c:v>
                </c:pt>
                <c:pt idx="2">
                  <c:v>6.7734069940441575E-6</c:v>
                </c:pt>
                <c:pt idx="3">
                  <c:v>1.74590789675235E-4</c:v>
                </c:pt>
                <c:pt idx="4">
                  <c:v>2.5478718147884469E-3</c:v>
                </c:pt>
                <c:pt idx="5">
                  <c:v>2.3036972809679555E-2</c:v>
                </c:pt>
                <c:pt idx="6">
                  <c:v>0.13873146526736374</c:v>
                </c:pt>
                <c:pt idx="7">
                  <c:v>0.59011134112949115</c:v>
                </c:pt>
                <c:pt idx="8">
                  <c:v>1.8605464792490674</c:v>
                </c:pt>
                <c:pt idx="9">
                  <c:v>4.5253023988681313</c:v>
                </c:pt>
                <c:pt idx="10">
                  <c:v>8.7793302732174663</c:v>
                </c:pt>
                <c:pt idx="11">
                  <c:v>13.973433150140398</c:v>
                </c:pt>
                <c:pt idx="12">
                  <c:v>18.687107658000379</c:v>
                </c:pt>
                <c:pt idx="13">
                  <c:v>21.43053935776636</c:v>
                </c:pt>
                <c:pt idx="14">
                  <c:v>21.447783424655206</c:v>
                </c:pt>
                <c:pt idx="15">
                  <c:v>19.017754318471169</c:v>
                </c:pt>
                <c:pt idx="16">
                  <c:v>15.137893821577119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AC-4595-84DD-FDE67ED455BE}"/>
            </c:ext>
          </c:extLst>
        </c:ser>
        <c:ser>
          <c:idx val="3"/>
          <c:order val="3"/>
          <c:tx>
            <c:strRef>
              <c:f>Foglio1!$J$41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Foglio1!$F$42:$F$58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Foglio1!$J$42:$J$58</c:f>
              <c:numCache>
                <c:formatCode>General</c:formatCode>
                <c:ptCount val="17"/>
                <c:pt idx="0">
                  <c:v>8.742272639633066E-9</c:v>
                </c:pt>
                <c:pt idx="1">
                  <c:v>4.6605937865314351E-7</c:v>
                </c:pt>
                <c:pt idx="2">
                  <c:v>1.2947432313007483E-5</c:v>
                </c:pt>
                <c:pt idx="3">
                  <c:v>2.1003084793222307E-4</c:v>
                </c:pt>
                <c:pt idx="4">
                  <c:v>2.1741809334759532E-3</c:v>
                </c:pt>
                <c:pt idx="5">
                  <c:v>1.5408906202456748E-2</c:v>
                </c:pt>
                <c:pt idx="6">
                  <c:v>7.9114006161354E-2</c:v>
                </c:pt>
                <c:pt idx="7">
                  <c:v>0.30810281445789373</c:v>
                </c:pt>
                <c:pt idx="8">
                  <c:v>0.94514803481998677</c:v>
                </c:pt>
                <c:pt idx="9">
                  <c:v>2.3565462824813741</c:v>
                </c:pt>
                <c:pt idx="10">
                  <c:v>4.9024813685629205</c:v>
                </c:pt>
                <c:pt idx="11">
                  <c:v>8.7002073018750625</c:v>
                </c:pt>
                <c:pt idx="12">
                  <c:v>13.420882268355847</c:v>
                </c:pt>
                <c:pt idx="13">
                  <c:v>18.287368224460824</c:v>
                </c:pt>
                <c:pt idx="14">
                  <c:v>22.31744512284514</c:v>
                </c:pt>
                <c:pt idx="15">
                  <c:v>24.686161751551115</c:v>
                </c:pt>
                <c:pt idx="16">
                  <c:v>25.008734413698242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2AC-4595-84DD-FDE67ED455BE}"/>
            </c:ext>
          </c:extLst>
        </c:ser>
        <c:ser>
          <c:idx val="4"/>
          <c:order val="4"/>
          <c:tx>
            <c:strRef>
              <c:f>Foglio1!$K$41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Foglio1!$F$42:$F$58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Foglio1!$K$42:$K$58</c:f>
              <c:numCache>
                <c:formatCode>General</c:formatCode>
                <c:ptCount val="17"/>
                <c:pt idx="0">
                  <c:v>2.1966302417329652E-8</c:v>
                </c:pt>
                <c:pt idx="1">
                  <c:v>7.3113405495622338E-7</c:v>
                </c:pt>
                <c:pt idx="2">
                  <c:v>1.4103889562873755E-5</c:v>
                </c:pt>
                <c:pt idx="3">
                  <c:v>1.7328840425134283E-4</c:v>
                </c:pt>
                <c:pt idx="4">
                  <c:v>1.4598085763640781E-3</c:v>
                </c:pt>
                <c:pt idx="5">
                  <c:v>8.9394132767071782E-3</c:v>
                </c:pt>
                <c:pt idx="6">
                  <c:v>4.1709000419884866E-2</c:v>
                </c:pt>
                <c:pt idx="7">
                  <c:v>0.15405721800727645</c:v>
                </c:pt>
                <c:pt idx="8">
                  <c:v>0.46488419961413363</c:v>
                </c:pt>
                <c:pt idx="9">
                  <c:v>1.1764740640576847</c:v>
                </c:pt>
                <c:pt idx="10">
                  <c:v>2.5522196822976668</c:v>
                </c:pt>
                <c:pt idx="11">
                  <c:v>4.8349818846583155</c:v>
                </c:pt>
                <c:pt idx="12">
                  <c:v>8.1255696439818799</c:v>
                </c:pt>
                <c:pt idx="13">
                  <c:v>12.278673114162448</c:v>
                </c:pt>
                <c:pt idx="14">
                  <c:v>16.878392207000509</c:v>
                </c:pt>
                <c:pt idx="15">
                  <c:v>21.318641960971505</c:v>
                </c:pt>
                <c:pt idx="16">
                  <c:v>24.959554721559059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2AC-4595-84DD-FDE67ED455BE}"/>
            </c:ext>
          </c:extLst>
        </c:ser>
        <c:ser>
          <c:idx val="5"/>
          <c:order val="5"/>
          <c:tx>
            <c:strRef>
              <c:f>Foglio1!$L$41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Foglio1!$F$42:$F$58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Foglio1!$L$42:$L$58</c:f>
              <c:numCache>
                <c:formatCode>General</c:formatCode>
                <c:ptCount val="17"/>
                <c:pt idx="0">
                  <c:v>3.1399974801712828E-8</c:v>
                </c:pt>
                <c:pt idx="1">
                  <c:v>7.6345736152970687E-7</c:v>
                </c:pt>
                <c:pt idx="2">
                  <c:v>1.1548520017408708E-5</c:v>
                </c:pt>
                <c:pt idx="3">
                  <c:v>1.1789925121491708E-4</c:v>
                </c:pt>
                <c:pt idx="4">
                  <c:v>8.6572507356607253E-4</c:v>
                </c:pt>
                <c:pt idx="5">
                  <c:v>4.8093282301835284E-3</c:v>
                </c:pt>
                <c:pt idx="6">
                  <c:v>2.105222413292478E-2</c:v>
                </c:pt>
                <c:pt idx="7">
                  <c:v>7.5062595029507684E-2</c:v>
                </c:pt>
                <c:pt idx="8">
                  <c:v>0.22403989078969699</c:v>
                </c:pt>
                <c:pt idx="9">
                  <c:v>0.57262531853991572</c:v>
                </c:pt>
                <c:pt idx="10">
                  <c:v>1.2774288529520552</c:v>
                </c:pt>
                <c:pt idx="11">
                  <c:v>2.5276811210099717</c:v>
                </c:pt>
                <c:pt idx="12">
                  <c:v>4.4976561527934642</c:v>
                </c:pt>
                <c:pt idx="13">
                  <c:v>7.2817459474912258</c:v>
                </c:pt>
                <c:pt idx="14">
                  <c:v>10.836093414253066</c:v>
                </c:pt>
                <c:pt idx="15">
                  <c:v>14.952510385203253</c:v>
                </c:pt>
                <c:pt idx="16">
                  <c:v>19.278985602016757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2AC-4595-84DD-FDE67ED455BE}"/>
            </c:ext>
          </c:extLst>
        </c:ser>
        <c:ser>
          <c:idx val="6"/>
          <c:order val="6"/>
          <c:tx>
            <c:strRef>
              <c:f>Foglio1!$M$41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Foglio1!$F$42:$F$58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Foglio1!$M$42:$M$58</c:f>
              <c:numCache>
                <c:formatCode>General</c:formatCode>
                <c:ptCount val="17"/>
                <c:pt idx="0">
                  <c:v>3.2439374904714386E-8</c:v>
                </c:pt>
                <c:pt idx="1">
                  <c:v>6.3024646215574617E-7</c:v>
                </c:pt>
                <c:pt idx="2">
                  <c:v>8.0135166884290984E-6</c:v>
                </c:pt>
                <c:pt idx="3">
                  <c:v>7.1671503039055613E-5</c:v>
                </c:pt>
                <c:pt idx="4">
                  <c:v>4.7709294056472E-4</c:v>
                </c:pt>
                <c:pt idx="5">
                  <c:v>2.4722189156956269E-3</c:v>
                </c:pt>
                <c:pt idx="6">
                  <c:v>1.033974040729861E-2</c:v>
                </c:pt>
                <c:pt idx="7">
                  <c:v>3.5949064766894467E-2</c:v>
                </c:pt>
                <c:pt idx="8">
                  <c:v>0.10646054635961327</c:v>
                </c:pt>
                <c:pt idx="9">
                  <c:v>0.27403798020296127</c:v>
                </c:pt>
                <c:pt idx="10">
                  <c:v>0.62365090999891859</c:v>
                </c:pt>
                <c:pt idx="11">
                  <c:v>1.2730146019921622</c:v>
                </c:pt>
                <c:pt idx="12">
                  <c:v>2.3594740648488357</c:v>
                </c:pt>
                <c:pt idx="13">
                  <c:v>4.0129016619831894</c:v>
                </c:pt>
                <c:pt idx="14">
                  <c:v>6.3198721460301313</c:v>
                </c:pt>
                <c:pt idx="15">
                  <c:v>9.2893956050027882</c:v>
                </c:pt>
                <c:pt idx="16">
                  <c:v>12.831603491416134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2AC-4595-84DD-FDE67ED455BE}"/>
            </c:ext>
          </c:extLst>
        </c:ser>
        <c:ser>
          <c:idx val="7"/>
          <c:order val="7"/>
          <c:tx>
            <c:strRef>
              <c:f>Foglio1!$N$41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Foglio1!$F$42:$F$58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Foglio1!$N$42:$N$58</c:f>
              <c:numCache>
                <c:formatCode>General</c:formatCode>
                <c:ptCount val="17"/>
                <c:pt idx="0">
                  <c:v>2.7316073537200023E-8</c:v>
                </c:pt>
                <c:pt idx="1">
                  <c:v>4.4853160657077734E-7</c:v>
                </c:pt>
                <c:pt idx="2">
                  <c:v>5.0064994136838433E-6</c:v>
                </c:pt>
                <c:pt idx="3">
                  <c:v>4.0547261182160328E-5</c:v>
                </c:pt>
                <c:pt idx="4">
                  <c:v>2.5076022427159787E-4</c:v>
                </c:pt>
                <c:pt idx="5">
                  <c:v>1.2333241013643269E-3</c:v>
                </c:pt>
                <c:pt idx="6">
                  <c:v>4.9849038543155382E-3</c:v>
                </c:pt>
                <c:pt idx="7">
                  <c:v>1.7006855674663549E-2</c:v>
                </c:pt>
                <c:pt idx="8">
                  <c:v>5.0069656008595087E-2</c:v>
                </c:pt>
                <c:pt idx="9">
                  <c:v>0.12956996152143777</c:v>
                </c:pt>
                <c:pt idx="10">
                  <c:v>0.29931852954470101</c:v>
                </c:pt>
                <c:pt idx="11">
                  <c:v>0.62539603547639433</c:v>
                </c:pt>
                <c:pt idx="12">
                  <c:v>1.1951580455543382</c:v>
                </c:pt>
                <c:pt idx="13">
                  <c:v>2.1091825830574633</c:v>
                </c:pt>
                <c:pt idx="14">
                  <c:v>3.4659585909492288</c:v>
                </c:pt>
                <c:pt idx="15">
                  <c:v>5.3417170652846009</c:v>
                </c:pt>
                <c:pt idx="16">
                  <c:v>7.7699264597264914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2AC-4595-84DD-FDE67ED455BE}"/>
            </c:ext>
          </c:extLst>
        </c:ser>
        <c:ser>
          <c:idx val="8"/>
          <c:order val="8"/>
          <c:tx>
            <c:strRef>
              <c:f>Foglio1!$O$41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Foglio1!$F$42:$F$58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Foglio1!$O$42:$O$58</c:f>
              <c:numCache>
                <c:formatCode>General</c:formatCode>
                <c:ptCount val="17"/>
                <c:pt idx="0">
                  <c:v>2.0050769789958343E-8</c:v>
                </c:pt>
                <c:pt idx="1">
                  <c:v>2.888543594075872E-7</c:v>
                </c:pt>
                <c:pt idx="2">
                  <c:v>2.913532735238483E-6</c:v>
                </c:pt>
                <c:pt idx="3">
                  <c:v>2.1843797245063702E-5</c:v>
                </c:pt>
                <c:pt idx="4">
                  <c:v>1.2757570797325117E-4</c:v>
                </c:pt>
                <c:pt idx="5">
                  <c:v>6.0250123053242233E-4</c:v>
                </c:pt>
                <c:pt idx="6">
                  <c:v>2.3713346087440206E-3</c:v>
                </c:pt>
                <c:pt idx="7">
                  <c:v>7.9721224916092636E-3</c:v>
                </c:pt>
                <c:pt idx="8">
                  <c:v>2.3363656499356539E-2</c:v>
                </c:pt>
                <c:pt idx="9">
                  <c:v>6.0710719134902287E-2</c:v>
                </c:pt>
                <c:pt idx="10">
                  <c:v>0.1418890943080385</c:v>
                </c:pt>
                <c:pt idx="11">
                  <c:v>0.30189032143663036</c:v>
                </c:pt>
                <c:pt idx="12">
                  <c:v>0.59081950172669495</c:v>
                </c:pt>
                <c:pt idx="13">
                  <c:v>1.0730587837844876</c:v>
                </c:pt>
                <c:pt idx="14">
                  <c:v>1.8225944040951678</c:v>
                </c:pt>
                <c:pt idx="15">
                  <c:v>2.91442526699635</c:v>
                </c:pt>
                <c:pt idx="16">
                  <c:v>4.4131051062167925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2AC-4595-84DD-FDE67ED455BE}"/>
            </c:ext>
          </c:extLst>
        </c:ser>
        <c:ser>
          <c:idx val="9"/>
          <c:order val="9"/>
          <c:tx>
            <c:strRef>
              <c:f>Foglio1!$P$41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Foglio1!$F$42:$F$58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Foglio1!$P$42:$P$58</c:f>
              <c:numCache>
                <c:formatCode>General</c:formatCode>
                <c:ptCount val="17"/>
                <c:pt idx="0">
                  <c:v>1.3359708977762E-8</c:v>
                </c:pt>
                <c:pt idx="1">
                  <c:v>1.7333383703835529E-7</c:v>
                </c:pt>
                <c:pt idx="2">
                  <c:v>1.6122196604148443E-6</c:v>
                </c:pt>
                <c:pt idx="3">
                  <c:v>1.1363631749640747E-5</c:v>
                </c:pt>
                <c:pt idx="4">
                  <c:v>6.3397361285275639E-5</c:v>
                </c:pt>
                <c:pt idx="5">
                  <c:v>2.8983994529767484E-4</c:v>
                </c:pt>
                <c:pt idx="6">
                  <c:v>1.1167537190053033E-3</c:v>
                </c:pt>
                <c:pt idx="7">
                  <c:v>3.7104760910083444E-3</c:v>
                </c:pt>
                <c:pt idx="8">
                  <c:v>1.0834515651407367E-2</c:v>
                </c:pt>
                <c:pt idx="9">
                  <c:v>2.8246844569542538E-2</c:v>
                </c:pt>
                <c:pt idx="10">
                  <c:v>6.663418226644717E-2</c:v>
                </c:pt>
                <c:pt idx="11">
                  <c:v>0.1438467876005412</c:v>
                </c:pt>
                <c:pt idx="12">
                  <c:v>0.28692879414318101</c:v>
                </c:pt>
                <c:pt idx="13">
                  <c:v>0.53324489808191011</c:v>
                </c:pt>
                <c:pt idx="14">
                  <c:v>0.92999173253702638</c:v>
                </c:pt>
                <c:pt idx="15">
                  <c:v>1.5316032610241153</c:v>
                </c:pt>
                <c:pt idx="16">
                  <c:v>2.3949799737860817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2AC-4595-84DD-FDE67ED455BE}"/>
            </c:ext>
          </c:extLst>
        </c:ser>
        <c:ser>
          <c:idx val="10"/>
          <c:order val="10"/>
          <c:tx>
            <c:strRef>
              <c:f>Foglio1!$Q$41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Foglio1!$F$42:$F$58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Foglio1!$Q$42:$Q$58</c:f>
              <c:numCache>
                <c:formatCode>General</c:formatCode>
                <c:ptCount val="17"/>
                <c:pt idx="0">
                  <c:v>2.6211935641858414E-11</c:v>
                </c:pt>
                <c:pt idx="1">
                  <c:v>2.1232864851197318E-10</c:v>
                </c:pt>
                <c:pt idx="2">
                  <c:v>1.3713520041325092E-9</c:v>
                </c:pt>
                <c:pt idx="3">
                  <c:v>7.321044582341053E-9</c:v>
                </c:pt>
                <c:pt idx="4">
                  <c:v>3.3238459954274095E-8</c:v>
                </c:pt>
                <c:pt idx="5">
                  <c:v>1.3130006054102858E-7</c:v>
                </c:pt>
                <c:pt idx="6">
                  <c:v>4.5973047728311392E-7</c:v>
                </c:pt>
                <c:pt idx="7">
                  <c:v>1.448723504344582E-6</c:v>
                </c:pt>
                <c:pt idx="8">
                  <c:v>4.1612512114256396E-6</c:v>
                </c:pt>
                <c:pt idx="9">
                  <c:v>1.1011482860325742E-5</c:v>
                </c:pt>
                <c:pt idx="10">
                  <c:v>2.708748335103057E-5</c:v>
                </c:pt>
                <c:pt idx="11">
                  <c:v>6.242160071457329E-5</c:v>
                </c:pt>
                <c:pt idx="12">
                  <c:v>1.356489282406021E-4</c:v>
                </c:pt>
                <c:pt idx="13">
                  <c:v>2.795737682355723E-4</c:v>
                </c:pt>
                <c:pt idx="14">
                  <c:v>5.4920586942279242E-4</c:v>
                </c:pt>
                <c:pt idx="15">
                  <c:v>1.032813084164867E-3</c:v>
                </c:pt>
                <c:pt idx="16">
                  <c:v>1.8664505508118145E-3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AC-4595-84DD-FDE67ED455BE}"/>
            </c:ext>
          </c:extLst>
        </c:ser>
        <c:ser>
          <c:idx val="11"/>
          <c:order val="11"/>
          <c:tx>
            <c:strRef>
              <c:f>Foglio1!$R$41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Foglio1!$F$42:$F$58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Foglio1!$R$42:$R$58</c:f>
              <c:numCache>
                <c:formatCode>General</c:formatCode>
                <c:ptCount val="17"/>
                <c:pt idx="0">
                  <c:v>1.5015508538111817E-14</c:v>
                </c:pt>
                <c:pt idx="1">
                  <c:v>1.0395784403694567E-13</c:v>
                </c:pt>
                <c:pt idx="2">
                  <c:v>5.9456240357886095E-13</c:v>
                </c:pt>
                <c:pt idx="3">
                  <c:v>2.8933342327290534E-12</c:v>
                </c:pt>
                <c:pt idx="4">
                  <c:v>1.2264157454121577E-11</c:v>
                </c:pt>
                <c:pt idx="5">
                  <c:v>4.614316813264894E-11</c:v>
                </c:pt>
                <c:pt idx="6">
                  <c:v>1.5649201373429998E-10</c:v>
                </c:pt>
                <c:pt idx="7">
                  <c:v>4.8451926498928174E-10</c:v>
                </c:pt>
                <c:pt idx="8">
                  <c:v>1.3841048791595308E-9</c:v>
                </c:pt>
                <c:pt idx="9">
                  <c:v>3.6808208756075546E-9</c:v>
                </c:pt>
                <c:pt idx="10">
                  <c:v>9.1819045326227577E-9</c:v>
                </c:pt>
                <c:pt idx="11">
                  <c:v>2.1624864745582779E-8</c:v>
                </c:pt>
                <c:pt idx="12">
                  <c:v>4.8354552138393836E-8</c:v>
                </c:pt>
                <c:pt idx="13">
                  <c:v>1.0315570331477553E-7</c:v>
                </c:pt>
                <c:pt idx="14">
                  <c:v>2.1084377559917735E-7</c:v>
                </c:pt>
                <c:pt idx="15">
                  <c:v>4.144324958410911E-7</c:v>
                </c:pt>
                <c:pt idx="16">
                  <c:v>7.8595004458866484E-7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2AC-4595-84DD-FDE67ED455BE}"/>
            </c:ext>
          </c:extLst>
        </c:ser>
        <c:ser>
          <c:idx val="12"/>
          <c:order val="12"/>
          <c:tx>
            <c:strRef>
              <c:f>Foglio1!$S$41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Foglio1!$F$42:$F$58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Foglio1!$S$42:$S$58</c:f>
              <c:numCache>
                <c:formatCode>General</c:formatCode>
                <c:ptCount val="17"/>
                <c:pt idx="0">
                  <c:v>6.1795491766720743E-18</c:v>
                </c:pt>
                <c:pt idx="1">
                  <c:v>3.9552857972782916E-17</c:v>
                </c:pt>
                <c:pt idx="2">
                  <c:v>2.1287171741589508E-16</c:v>
                </c:pt>
                <c:pt idx="3">
                  <c:v>9.8902587473763568E-16</c:v>
                </c:pt>
                <c:pt idx="4">
                  <c:v>4.0507216486623279E-15</c:v>
                </c:pt>
                <c:pt idx="5">
                  <c:v>1.48739022186757E-14</c:v>
                </c:pt>
                <c:pt idx="6">
                  <c:v>4.9645843283883606E-14</c:v>
                </c:pt>
                <c:pt idx="7">
                  <c:v>1.5235969434972553E-13</c:v>
                </c:pt>
                <c:pt idx="8">
                  <c:v>4.340480439217218E-13</c:v>
                </c:pt>
                <c:pt idx="9">
                  <c:v>1.1571519531382121E-12</c:v>
                </c:pt>
                <c:pt idx="10">
                  <c:v>2.9067728960457792E-12</c:v>
                </c:pt>
                <c:pt idx="11">
                  <c:v>6.9208417727485517E-12</c:v>
                </c:pt>
                <c:pt idx="12">
                  <c:v>1.5697993166200288E-11</c:v>
                </c:pt>
                <c:pt idx="13">
                  <c:v>3.4071239069074838E-11</c:v>
                </c:pt>
                <c:pt idx="14">
                  <c:v>7.1034587550475919E-11</c:v>
                </c:pt>
                <c:pt idx="15">
                  <c:v>1.427467100536194E-10</c:v>
                </c:pt>
                <c:pt idx="16">
                  <c:v>2.7731952106168292E-10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2AC-4595-84DD-FDE67ED455BE}"/>
            </c:ext>
          </c:extLst>
        </c:ser>
        <c:ser>
          <c:idx val="13"/>
          <c:order val="13"/>
          <c:tx>
            <c:strRef>
              <c:f>Foglio1!$T$41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Foglio1!$F$42:$F$58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Foglio1!$T$42:$T$58</c:f>
              <c:numCache>
                <c:formatCode>General</c:formatCode>
                <c:ptCount val="17"/>
                <c:pt idx="0">
                  <c:v>2.2087166287399272E-21</c:v>
                </c:pt>
                <c:pt idx="1">
                  <c:v>1.3486628444684159E-20</c:v>
                </c:pt>
                <c:pt idx="2">
                  <c:v>6.9984753279462261E-20</c:v>
                </c:pt>
                <c:pt idx="3">
                  <c:v>3.1624687472534244E-19</c:v>
                </c:pt>
                <c:pt idx="4">
                  <c:v>1.2688268806365804E-18</c:v>
                </c:pt>
                <c:pt idx="5">
                  <c:v>4.5914365751979485E-18</c:v>
                </c:pt>
                <c:pt idx="6">
                  <c:v>1.5179255791504562E-17</c:v>
                </c:pt>
                <c:pt idx="7">
                  <c:v>4.6338148634350168E-17</c:v>
                </c:pt>
                <c:pt idx="8">
                  <c:v>1.3179297008420563E-16</c:v>
                </c:pt>
                <c:pt idx="9">
                  <c:v>3.5187707892978677E-16</c:v>
                </c:pt>
                <c:pt idx="10">
                  <c:v>8.8762854295584175E-16</c:v>
                </c:pt>
                <c:pt idx="11">
                  <c:v>2.1272346198666222E-15</c:v>
                </c:pt>
                <c:pt idx="12">
                  <c:v>4.8665518816675208E-15</c:v>
                </c:pt>
                <c:pt idx="13">
                  <c:v>1.0672296873746599E-14</c:v>
                </c:pt>
                <c:pt idx="14">
                  <c:v>2.2516893308546389E-14</c:v>
                </c:pt>
                <c:pt idx="15">
                  <c:v>4.5852883427681924E-14</c:v>
                </c:pt>
                <c:pt idx="16">
                  <c:v>9.0378452388191677E-14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AC-4595-84DD-FDE67ED455BE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287016136"/>
        <c:axId val="287014696"/>
        <c:axId val="551585392"/>
      </c:surface3DChart>
      <c:catAx>
        <c:axId val="287016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7014696"/>
        <c:crosses val="autoZero"/>
        <c:auto val="1"/>
        <c:lblAlgn val="ctr"/>
        <c:lblOffset val="100"/>
        <c:noMultiLvlLbl val="0"/>
      </c:catAx>
      <c:valAx>
        <c:axId val="28701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7016136"/>
        <c:crosses val="autoZero"/>
        <c:crossBetween val="midCat"/>
      </c:valAx>
      <c:serAx>
        <c:axId val="55158539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7014696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l-GR">
                <a:latin typeface="Arial" panose="020B0604020202020204" pitchFamily="34" charset="0"/>
                <a:cs typeface="Arial" panose="020B0604020202020204" pitchFamily="34" charset="0"/>
              </a:rPr>
              <a:t>Θ</a:t>
            </a:r>
            <a:r>
              <a:rPr lang="it-IT">
                <a:latin typeface="Arial" panose="020B0604020202020204" pitchFamily="34" charset="0"/>
                <a:cs typeface="Arial" panose="020B0604020202020204" pitchFamily="34" charset="0"/>
              </a:rPr>
              <a:t> parameter, p=80%</a:t>
            </a:r>
            <a:endParaRPr lang="it-IT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0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Foglio1!$G$61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Foglio1!$F$62:$F$78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Foglio1!$G$62:$G$78</c:f>
              <c:numCache>
                <c:formatCode>General</c:formatCode>
                <c:ptCount val="17"/>
                <c:pt idx="0">
                  <c:v>-8.9520780419676693E-19</c:v>
                </c:pt>
                <c:pt idx="1">
                  <c:v>-5.2793835194506296E-14</c:v>
                </c:pt>
                <c:pt idx="2">
                  <c:v>-3.2321727704426781E-10</c:v>
                </c:pt>
                <c:pt idx="3">
                  <c:v>-3.0472619705293921E-7</c:v>
                </c:pt>
                <c:pt idx="4">
                  <c:v>-5.9259717579569884E-5</c:v>
                </c:pt>
                <c:pt idx="5">
                  <c:v>-2.8822692561534316E-3</c:v>
                </c:pt>
                <c:pt idx="6">
                  <c:v>-3.49454214160871E-2</c:v>
                </c:pt>
                <c:pt idx="7">
                  <c:v>5.9206547237089811E-2</c:v>
                </c:pt>
                <c:pt idx="8">
                  <c:v>2.5996750287031491</c:v>
                </c:pt>
                <c:pt idx="9">
                  <c:v>14.041908442863864</c:v>
                </c:pt>
                <c:pt idx="10">
                  <c:v>36.996588223684398</c:v>
                </c:pt>
                <c:pt idx="11">
                  <c:v>62.287015930159519</c:v>
                </c:pt>
                <c:pt idx="12">
                  <c:v>79.934585012580882</c:v>
                </c:pt>
                <c:pt idx="13">
                  <c:v>89.354311178701877</c:v>
                </c:pt>
                <c:pt idx="14">
                  <c:v>94.638457276225765</c:v>
                </c:pt>
                <c:pt idx="15">
                  <c:v>98.645713017988399</c:v>
                </c:pt>
                <c:pt idx="16">
                  <c:v>102.38433630169452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5E-4729-AB30-5A9326BA51E6}"/>
            </c:ext>
          </c:extLst>
        </c:ser>
        <c:ser>
          <c:idx val="1"/>
          <c:order val="1"/>
          <c:tx>
            <c:strRef>
              <c:f>Foglio1!$H$61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Foglio1!$F$62:$F$78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Foglio1!$H$62:$H$78</c:f>
              <c:numCache>
                <c:formatCode>General</c:formatCode>
                <c:ptCount val="17"/>
                <c:pt idx="0">
                  <c:v>-2.4457927007595422E-12</c:v>
                </c:pt>
                <c:pt idx="1">
                  <c:v>-1.2160145969515574E-9</c:v>
                </c:pt>
                <c:pt idx="2">
                  <c:v>-1.7692865205757597E-7</c:v>
                </c:pt>
                <c:pt idx="3">
                  <c:v>-8.9767930038614091E-6</c:v>
                </c:pt>
                <c:pt idx="4">
                  <c:v>-1.6987961171539338E-4</c:v>
                </c:pt>
                <c:pt idx="5">
                  <c:v>-8.2690439546116387E-4</c:v>
                </c:pt>
                <c:pt idx="6">
                  <c:v>1.1017664932104716E-2</c:v>
                </c:pt>
                <c:pt idx="7">
                  <c:v>0.17636079719045067</c:v>
                </c:pt>
                <c:pt idx="8">
                  <c:v>1.1395474135425681</c:v>
                </c:pt>
                <c:pt idx="9">
                  <c:v>4.4723112840977128</c:v>
                </c:pt>
                <c:pt idx="10">
                  <c:v>12.216596656577357</c:v>
                </c:pt>
                <c:pt idx="11">
                  <c:v>25.207997261809311</c:v>
                </c:pt>
                <c:pt idx="12">
                  <c:v>41.80208940279325</c:v>
                </c:pt>
                <c:pt idx="13">
                  <c:v>58.689661396271788</c:v>
                </c:pt>
                <c:pt idx="14">
                  <c:v>73.011529692587601</c:v>
                </c:pt>
                <c:pt idx="15">
                  <c:v>83.681469842742999</c:v>
                </c:pt>
                <c:pt idx="16">
                  <c:v>91.166635713358559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5E-4729-AB30-5A9326BA51E6}"/>
            </c:ext>
          </c:extLst>
        </c:ser>
        <c:ser>
          <c:idx val="2"/>
          <c:order val="2"/>
          <c:tx>
            <c:strRef>
              <c:f>Foglio1!$I$61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Foglio1!$F$62:$F$78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Foglio1!$I$62:$I$78</c:f>
              <c:numCache>
                <c:formatCode>General</c:formatCode>
                <c:ptCount val="17"/>
                <c:pt idx="0">
                  <c:v>-1.4159981151060309E-10</c:v>
                </c:pt>
                <c:pt idx="1">
                  <c:v>-1.3355633848718807E-8</c:v>
                </c:pt>
                <c:pt idx="2">
                  <c:v>-4.9392037672043313E-7</c:v>
                </c:pt>
                <c:pt idx="3">
                  <c:v>-7.109372358817557E-6</c:v>
                </c:pt>
                <c:pt idx="4">
                  <c:v>-7.0908167126349329E-6</c:v>
                </c:pt>
                <c:pt idx="5">
                  <c:v>9.800304711717197E-4</c:v>
                </c:pt>
                <c:pt idx="6">
                  <c:v>1.353169350718438E-2</c:v>
                </c:pt>
                <c:pt idx="7">
                  <c:v>9.7627984039765414E-2</c:v>
                </c:pt>
                <c:pt idx="8">
                  <c:v>0.46685334922748301</c:v>
                </c:pt>
                <c:pt idx="9">
                  <c:v>1.6333100729440757</c:v>
                </c:pt>
                <c:pt idx="10">
                  <c:v>4.4426794221313015</c:v>
                </c:pt>
                <c:pt idx="11">
                  <c:v>9.8213121238639669</c:v>
                </c:pt>
                <c:pt idx="12">
                  <c:v>18.280581421056194</c:v>
                </c:pt>
                <c:pt idx="13">
                  <c:v>29.512323235440519</c:v>
                </c:pt>
                <c:pt idx="14">
                  <c:v>42.405347343643157</c:v>
                </c:pt>
                <c:pt idx="15">
                  <c:v>55.485115575870459</c:v>
                </c:pt>
                <c:pt idx="16">
                  <c:v>67.470395604047653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5E-4729-AB30-5A9326BA51E6}"/>
            </c:ext>
          </c:extLst>
        </c:ser>
        <c:ser>
          <c:idx val="3"/>
          <c:order val="3"/>
          <c:tx>
            <c:strRef>
              <c:f>Foglio1!$J$61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Foglio1!$F$62:$F$78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Foglio1!$J$62:$J$78</c:f>
              <c:numCache>
                <c:formatCode>General</c:formatCode>
                <c:ptCount val="17"/>
                <c:pt idx="0">
                  <c:v>-5.359521473293242E-10</c:v>
                </c:pt>
                <c:pt idx="1">
                  <c:v>-1.9512658451002369E-8</c:v>
                </c:pt>
                <c:pt idx="2">
                  <c:v>-2.5941071962401995E-7</c:v>
                </c:pt>
                <c:pt idx="3">
                  <c:v>9.8646247537104547E-7</c:v>
                </c:pt>
                <c:pt idx="4">
                  <c:v>7.1685954486837687E-5</c:v>
                </c:pt>
                <c:pt idx="5">
                  <c:v>1.0109831714937227E-3</c:v>
                </c:pt>
                <c:pt idx="6">
                  <c:v>8.2025994896132055E-3</c:v>
                </c:pt>
                <c:pt idx="7">
                  <c:v>4.578071710525411E-2</c:v>
                </c:pt>
                <c:pt idx="8">
                  <c:v>0.19112349092136027</c:v>
                </c:pt>
                <c:pt idx="9">
                  <c:v>0.62946188971192185</c:v>
                </c:pt>
                <c:pt idx="10">
                  <c:v>1.7001826497954413</c:v>
                </c:pt>
                <c:pt idx="11">
                  <c:v>3.8822241922733673</c:v>
                </c:pt>
                <c:pt idx="12">
                  <c:v>7.6825860335237568</c:v>
                </c:pt>
                <c:pt idx="13">
                  <c:v>13.454217450975984</c:v>
                </c:pt>
                <c:pt idx="14">
                  <c:v>21.230260630388329</c:v>
                </c:pt>
                <c:pt idx="15">
                  <c:v>30.665516424642309</c:v>
                </c:pt>
                <c:pt idx="16">
                  <c:v>41.1170743959362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5E-4729-AB30-5A9326BA51E6}"/>
            </c:ext>
          </c:extLst>
        </c:ser>
        <c:ser>
          <c:idx val="4"/>
          <c:order val="4"/>
          <c:tx>
            <c:strRef>
              <c:f>Foglio1!$K$61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Foglio1!$F$62:$F$78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Foglio1!$K$62:$K$78</c:f>
              <c:numCache>
                <c:formatCode>General</c:formatCode>
                <c:ptCount val="17"/>
                <c:pt idx="0">
                  <c:v>-6.080897639055197E-10</c:v>
                </c:pt>
                <c:pt idx="1">
                  <c:v>-8.5018709767678707E-9</c:v>
                </c:pt>
                <c:pt idx="2">
                  <c:v>8.5629273198486147E-8</c:v>
                </c:pt>
                <c:pt idx="3">
                  <c:v>4.456396569180512E-6</c:v>
                </c:pt>
                <c:pt idx="4">
                  <c:v>6.959232816127686E-5</c:v>
                </c:pt>
                <c:pt idx="5">
                  <c:v>6.4708294430569787E-4</c:v>
                </c:pt>
                <c:pt idx="6">
                  <c:v>4.1880334701685246E-3</c:v>
                </c:pt>
                <c:pt idx="7">
                  <c:v>2.040383579329625E-2</c:v>
                </c:pt>
                <c:pt idx="8">
                  <c:v>7.8733792728032756E-2</c:v>
                </c:pt>
                <c:pt idx="9">
                  <c:v>0.24975639533790608</c:v>
                </c:pt>
                <c:pt idx="10">
                  <c:v>0.67043640673396121</c:v>
                </c:pt>
                <c:pt idx="11">
                  <c:v>1.5590308813971339</c:v>
                </c:pt>
                <c:pt idx="12">
                  <c:v>3.2021704628586258</c:v>
                </c:pt>
                <c:pt idx="13">
                  <c:v>5.9055400946509966</c:v>
                </c:pt>
                <c:pt idx="14">
                  <c:v>9.9179962521936691</c:v>
                </c:pt>
                <c:pt idx="15">
                  <c:v>15.355456814974005</c:v>
                </c:pt>
                <c:pt idx="16">
                  <c:v>22.154307603420246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5E-4729-AB30-5A9326BA51E6}"/>
            </c:ext>
          </c:extLst>
        </c:ser>
        <c:ser>
          <c:idx val="5"/>
          <c:order val="5"/>
          <c:tx>
            <c:strRef>
              <c:f>Foglio1!$L$61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Foglio1!$F$62:$F$78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Foglio1!$L$62:$L$78</c:f>
              <c:numCache>
                <c:formatCode>General</c:formatCode>
                <c:ptCount val="17"/>
                <c:pt idx="0">
                  <c:v>-2.5265360955699784E-10</c:v>
                </c:pt>
                <c:pt idx="1">
                  <c:v>4.1641796626361428E-9</c:v>
                </c:pt>
                <c:pt idx="2">
                  <c:v>2.3230509915247419E-7</c:v>
                </c:pt>
                <c:pt idx="3">
                  <c:v>4.2590399630716222E-6</c:v>
                </c:pt>
                <c:pt idx="4">
                  <c:v>4.6489698576994742E-5</c:v>
                </c:pt>
                <c:pt idx="5">
                  <c:v>3.5157783407426338E-4</c:v>
                </c:pt>
                <c:pt idx="6">
                  <c:v>1.9924745410760066E-3</c:v>
                </c:pt>
                <c:pt idx="7">
                  <c:v>8.9098072762283792E-3</c:v>
                </c:pt>
                <c:pt idx="8">
                  <c:v>3.2647286991548161E-2</c:v>
                </c:pt>
                <c:pt idx="9">
                  <c:v>0.10093654220801118</c:v>
                </c:pt>
                <c:pt idx="10">
                  <c:v>0.26958040292629504</c:v>
                </c:pt>
                <c:pt idx="11">
                  <c:v>0.63411541131937588</c:v>
                </c:pt>
                <c:pt idx="12">
                  <c:v>1.3351169393347109</c:v>
                </c:pt>
                <c:pt idx="13">
                  <c:v>2.550980704654938</c:v>
                </c:pt>
                <c:pt idx="14">
                  <c:v>4.4756177901464298</c:v>
                </c:pt>
                <c:pt idx="15">
                  <c:v>7.2844562654197986</c:v>
                </c:pt>
                <c:pt idx="16">
                  <c:v>11.097481245483397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5E-4729-AB30-5A9326BA51E6}"/>
            </c:ext>
          </c:extLst>
        </c:ser>
        <c:ser>
          <c:idx val="6"/>
          <c:order val="6"/>
          <c:tx>
            <c:strRef>
              <c:f>Foglio1!$M$61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Foglio1!$F$62:$F$78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Foglio1!$M$62:$M$78</c:f>
              <c:numCache>
                <c:formatCode>General</c:formatCode>
                <c:ptCount val="17"/>
                <c:pt idx="0">
                  <c:v>1.3386165866216718E-10</c:v>
                </c:pt>
                <c:pt idx="1">
                  <c:v>9.8622599380271217E-9</c:v>
                </c:pt>
                <c:pt idx="2">
                  <c:v>2.2441306365011989E-7</c:v>
                </c:pt>
                <c:pt idx="3">
                  <c:v>2.9611958737894655E-6</c:v>
                </c:pt>
                <c:pt idx="4">
                  <c:v>2.6584746347254976E-5</c:v>
                </c:pt>
                <c:pt idx="5">
                  <c:v>1.7647180608945431E-4</c:v>
                </c:pt>
                <c:pt idx="6">
                  <c:v>9.1485752455217496E-4</c:v>
                </c:pt>
                <c:pt idx="7">
                  <c:v>3.8548803003254982E-3</c:v>
                </c:pt>
                <c:pt idx="8">
                  <c:v>1.3615466461598552E-2</c:v>
                </c:pt>
                <c:pt idx="9">
                  <c:v>4.1314522392030123E-2</c:v>
                </c:pt>
                <c:pt idx="10">
                  <c:v>0.109887355946111</c:v>
                </c:pt>
                <c:pt idx="11">
                  <c:v>0.26050483106122324</c:v>
                </c:pt>
                <c:pt idx="12">
                  <c:v>0.55822374378116524</c:v>
                </c:pt>
                <c:pt idx="13">
                  <c:v>1.094254233883091</c:v>
                </c:pt>
                <c:pt idx="14">
                  <c:v>1.9824739243332912</c:v>
                </c:pt>
                <c:pt idx="15">
                  <c:v>3.349208534416567</c:v>
                </c:pt>
                <c:pt idx="16">
                  <c:v>5.3173811228644823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25E-4729-AB30-5A9326BA51E6}"/>
            </c:ext>
          </c:extLst>
        </c:ser>
        <c:ser>
          <c:idx val="7"/>
          <c:order val="7"/>
          <c:tx>
            <c:strRef>
              <c:f>Foglio1!$N$61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Foglio1!$F$62:$F$78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Foglio1!$N$62:$N$78</c:f>
              <c:numCache>
                <c:formatCode>General</c:formatCode>
                <c:ptCount val="17"/>
                <c:pt idx="0">
                  <c:v>3.2690007477990916E-10</c:v>
                </c:pt>
                <c:pt idx="1">
                  <c:v>9.832768095466276E-9</c:v>
                </c:pt>
                <c:pt idx="2">
                  <c:v>1.6263559932146198E-7</c:v>
                </c:pt>
                <c:pt idx="3">
                  <c:v>1.7734392131042144E-6</c:v>
                </c:pt>
                <c:pt idx="4">
                  <c:v>1.3985157014989847E-5</c:v>
                </c:pt>
                <c:pt idx="5">
                  <c:v>8.4713372795522547E-5</c:v>
                </c:pt>
                <c:pt idx="6">
                  <c:v>4.11756367969774E-4</c:v>
                </c:pt>
                <c:pt idx="7">
                  <c:v>1.6606005994279937E-3</c:v>
                </c:pt>
                <c:pt idx="8">
                  <c:v>5.7061544751578729E-3</c:v>
                </c:pt>
                <c:pt idx="9">
                  <c:v>1.7069259034455605E-2</c:v>
                </c:pt>
                <c:pt idx="10">
                  <c:v>4.5246187151504226E-2</c:v>
                </c:pt>
                <c:pt idx="11">
                  <c:v>0.10786613007011719</c:v>
                </c:pt>
                <c:pt idx="12">
                  <c:v>0.23418927273205636</c:v>
                </c:pt>
                <c:pt idx="13">
                  <c:v>0.46802811201334732</c:v>
                </c:pt>
                <c:pt idx="14">
                  <c:v>0.86895160068970312</c:v>
                </c:pt>
                <c:pt idx="15">
                  <c:v>1.5107797773932605</c:v>
                </c:pt>
                <c:pt idx="16">
                  <c:v>2.4769125662841218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25E-4729-AB30-5A9326BA51E6}"/>
            </c:ext>
          </c:extLst>
        </c:ser>
        <c:ser>
          <c:idx val="8"/>
          <c:order val="8"/>
          <c:tx>
            <c:strRef>
              <c:f>Foglio1!$O$61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Foglio1!$F$62:$F$78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Foglio1!$O$62:$O$78</c:f>
              <c:numCache>
                <c:formatCode>General</c:formatCode>
                <c:ptCount val="17"/>
                <c:pt idx="0">
                  <c:v>3.4364967451196121E-10</c:v>
                </c:pt>
                <c:pt idx="1">
                  <c:v>7.4612514775735608E-9</c:v>
                </c:pt>
                <c:pt idx="2">
                  <c:v>1.0188320771933467E-7</c:v>
                </c:pt>
                <c:pt idx="3">
                  <c:v>9.7448745719013505E-7</c:v>
                </c:pt>
                <c:pt idx="4">
                  <c:v>6.9937430562577716E-6</c:v>
                </c:pt>
                <c:pt idx="5">
                  <c:v>3.9561830070463743E-5</c:v>
                </c:pt>
                <c:pt idx="6">
                  <c:v>1.8309838500525733E-4</c:v>
                </c:pt>
                <c:pt idx="7">
                  <c:v>7.1394423208532816E-4</c:v>
                </c:pt>
                <c:pt idx="8">
                  <c:v>2.4013479717360005E-3</c:v>
                </c:pt>
                <c:pt idx="9">
                  <c:v>7.1029574136004386E-3</c:v>
                </c:pt>
                <c:pt idx="10">
                  <c:v>1.8774762304131293E-2</c:v>
                </c:pt>
                <c:pt idx="11">
                  <c:v>4.4947195709873905E-2</c:v>
                </c:pt>
                <c:pt idx="12">
                  <c:v>9.8577179859031944E-2</c:v>
                </c:pt>
                <c:pt idx="13">
                  <c:v>0.20000024951453443</c:v>
                </c:pt>
                <c:pt idx="14">
                  <c:v>0.37854129217616334</c:v>
                </c:pt>
                <c:pt idx="15">
                  <c:v>0.67326948201688164</c:v>
                </c:pt>
                <c:pt idx="16">
                  <c:v>1.1324507107643735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5E-4729-AB30-5A9326BA51E6}"/>
            </c:ext>
          </c:extLst>
        </c:ser>
        <c:ser>
          <c:idx val="9"/>
          <c:order val="9"/>
          <c:tx>
            <c:strRef>
              <c:f>Foglio1!$P$61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Foglio1!$F$62:$F$78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Foglio1!$P$62:$P$78</c:f>
              <c:numCache>
                <c:formatCode>General</c:formatCode>
                <c:ptCount val="17"/>
                <c:pt idx="0">
                  <c:v>2.7509498666678404E-10</c:v>
                </c:pt>
                <c:pt idx="1">
                  <c:v>4.8964517607583066E-9</c:v>
                </c:pt>
                <c:pt idx="2">
                  <c:v>5.8420454212768498E-8</c:v>
                </c:pt>
                <c:pt idx="3">
                  <c:v>5.0675941455933049E-7</c:v>
                </c:pt>
                <c:pt idx="4">
                  <c:v>3.3834302442512944E-6</c:v>
                </c:pt>
                <c:pt idx="5">
                  <c:v>1.8145097355946414E-5</c:v>
                </c:pt>
                <c:pt idx="6">
                  <c:v>8.0797903437633791E-5</c:v>
                </c:pt>
                <c:pt idx="7">
                  <c:v>3.067220552419416E-4</c:v>
                </c:pt>
                <c:pt idx="8">
                  <c:v>1.0141448254933538E-3</c:v>
                </c:pt>
                <c:pt idx="9">
                  <c:v>2.9725549677444927E-3</c:v>
                </c:pt>
                <c:pt idx="10">
                  <c:v>7.8383503305313185E-3</c:v>
                </c:pt>
                <c:pt idx="11">
                  <c:v>1.8826355013214727E-2</c:v>
                </c:pt>
                <c:pt idx="12">
                  <c:v>4.1622499256176657E-2</c:v>
                </c:pt>
                <c:pt idx="13">
                  <c:v>8.5472758508227401E-2</c:v>
                </c:pt>
                <c:pt idx="14">
                  <c:v>0.16430243183104273</c:v>
                </c:pt>
                <c:pt idx="15">
                  <c:v>0.29765311648857529</c:v>
                </c:pt>
                <c:pt idx="16">
                  <c:v>0.51119741271355679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25E-4729-AB30-5A9326BA51E6}"/>
            </c:ext>
          </c:extLst>
        </c:ser>
        <c:ser>
          <c:idx val="10"/>
          <c:order val="10"/>
          <c:tx>
            <c:strRef>
              <c:f>Foglio1!$Q$61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Foglio1!$F$62:$F$78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Foglio1!$Q$62:$Q$78</c:f>
              <c:numCache>
                <c:formatCode>General</c:formatCode>
                <c:ptCount val="17"/>
                <c:pt idx="0">
                  <c:v>6.7333400702683842E-13</c:v>
                </c:pt>
                <c:pt idx="1">
                  <c:v>6.0832417052529875E-12</c:v>
                </c:pt>
                <c:pt idx="2">
                  <c:v>4.3338806107394686E-11</c:v>
                </c:pt>
                <c:pt idx="3">
                  <c:v>2.5297424737620648E-10</c:v>
                </c:pt>
                <c:pt idx="4">
                  <c:v>1.2468087559402023E-9</c:v>
                </c:pt>
                <c:pt idx="5">
                  <c:v>5.3148558553553355E-9</c:v>
                </c:pt>
                <c:pt idx="6">
                  <c:v>1.9981076733430976E-8</c:v>
                </c:pt>
                <c:pt idx="7">
                  <c:v>6.7318358285789084E-8</c:v>
                </c:pt>
                <c:pt idx="8">
                  <c:v>2.0597066619406474E-7</c:v>
                </c:pt>
                <c:pt idx="9">
                  <c:v>5.7872328387941674E-7</c:v>
                </c:pt>
                <c:pt idx="10">
                  <c:v>1.507370648547455E-6</c:v>
                </c:pt>
                <c:pt idx="11">
                  <c:v>3.6689225832793701E-6</c:v>
                </c:pt>
                <c:pt idx="12">
                  <c:v>8.4027026465264324E-6</c:v>
                </c:pt>
                <c:pt idx="13">
                  <c:v>1.8215760917621366E-5</c:v>
                </c:pt>
                <c:pt idx="14">
                  <c:v>3.7572619710598435E-5</c:v>
                </c:pt>
                <c:pt idx="15">
                  <c:v>7.4072401380410034E-5</c:v>
                </c:pt>
                <c:pt idx="16">
                  <c:v>1.4012914322956402E-4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5E-4729-AB30-5A9326BA51E6}"/>
            </c:ext>
          </c:extLst>
        </c:ser>
        <c:ser>
          <c:idx val="11"/>
          <c:order val="11"/>
          <c:tx>
            <c:strRef>
              <c:f>Foglio1!$R$61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Foglio1!$F$62:$F$78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Foglio1!$R$62:$R$78</c:f>
              <c:numCache>
                <c:formatCode>General</c:formatCode>
                <c:ptCount val="17"/>
                <c:pt idx="0">
                  <c:v>3.2879886409696622E-16</c:v>
                </c:pt>
                <c:pt idx="1">
                  <c:v>2.4392438478550244E-15</c:v>
                </c:pt>
                <c:pt idx="2">
                  <c:v>1.4860658208338983E-14</c:v>
                </c:pt>
                <c:pt idx="3">
                  <c:v>7.6656020957023062E-14</c:v>
                </c:pt>
                <c:pt idx="4">
                  <c:v>3.4299521938192365E-13</c:v>
                </c:pt>
                <c:pt idx="5">
                  <c:v>1.3574275443431917E-12</c:v>
                </c:pt>
                <c:pt idx="6">
                  <c:v>4.8275318461569766E-12</c:v>
                </c:pt>
                <c:pt idx="7">
                  <c:v>1.5631550412796328E-11</c:v>
                </c:pt>
                <c:pt idx="8">
                  <c:v>4.6589912026044659E-11</c:v>
                </c:pt>
                <c:pt idx="9">
                  <c:v>1.2899993790973575E-10</c:v>
                </c:pt>
                <c:pt idx="10">
                  <c:v>3.3441620967048908E-10</c:v>
                </c:pt>
                <c:pt idx="11">
                  <c:v>8.171249803871374E-10</c:v>
                </c:pt>
                <c:pt idx="12">
                  <c:v>1.8927570545432741E-9</c:v>
                </c:pt>
                <c:pt idx="13">
                  <c:v>4.1771142801461143E-9</c:v>
                </c:pt>
                <c:pt idx="14">
                  <c:v>8.8211646163731183E-9</c:v>
                </c:pt>
                <c:pt idx="15">
                  <c:v>1.789385549521345E-8</c:v>
                </c:pt>
                <c:pt idx="16">
                  <c:v>3.4984356968916467E-8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25E-4729-AB30-5A9326BA51E6}"/>
            </c:ext>
          </c:extLst>
        </c:ser>
        <c:ser>
          <c:idx val="12"/>
          <c:order val="12"/>
          <c:tx>
            <c:strRef>
              <c:f>Foglio1!$S$61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Foglio1!$F$62:$F$78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Foglio1!$S$62:$S$78</c:f>
              <c:numCache>
                <c:formatCode>General</c:formatCode>
                <c:ptCount val="17"/>
                <c:pt idx="0">
                  <c:v>1.1430400270360369E-19</c:v>
                </c:pt>
                <c:pt idx="1">
                  <c:v>7.6991040928569673E-19</c:v>
                </c:pt>
                <c:pt idx="2">
                  <c:v>4.342697467958445E-18</c:v>
                </c:pt>
                <c:pt idx="3">
                  <c:v>2.1072957297153198E-17</c:v>
                </c:pt>
                <c:pt idx="4">
                  <c:v>8.9875191779600015E-17</c:v>
                </c:pt>
                <c:pt idx="5">
                  <c:v>3.4277447092014386E-16</c:v>
                </c:pt>
                <c:pt idx="6">
                  <c:v>1.1856860246590713E-15</c:v>
                </c:pt>
                <c:pt idx="7">
                  <c:v>3.7635962754084222E-15</c:v>
                </c:pt>
                <c:pt idx="8">
                  <c:v>1.1070215685885277E-14</c:v>
                </c:pt>
                <c:pt idx="9">
                  <c:v>3.0423857377652837E-14</c:v>
                </c:pt>
                <c:pt idx="10">
                  <c:v>7.8673716626558701E-14</c:v>
                </c:pt>
                <c:pt idx="11">
                  <c:v>1.9258397978851188E-13</c:v>
                </c:pt>
                <c:pt idx="12">
                  <c:v>4.4858717513588779E-13</c:v>
                </c:pt>
                <c:pt idx="13">
                  <c:v>9.9879203649521789E-13</c:v>
                </c:pt>
                <c:pt idx="14">
                  <c:v>2.1341402152813909E-12</c:v>
                </c:pt>
                <c:pt idx="15">
                  <c:v>4.3913753380147793E-12</c:v>
                </c:pt>
                <c:pt idx="16">
                  <c:v>8.7285405601101385E-12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25E-4729-AB30-5A9326BA51E6}"/>
            </c:ext>
          </c:extLst>
        </c:ser>
        <c:ser>
          <c:idx val="13"/>
          <c:order val="13"/>
          <c:tx>
            <c:strRef>
              <c:f>Foglio1!$T$61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Foglio1!$F$62:$F$78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Foglio1!$T$62:$T$78</c:f>
              <c:numCache>
                <c:formatCode>General</c:formatCode>
                <c:ptCount val="17"/>
                <c:pt idx="0">
                  <c:v>3.507792767983264E-23</c:v>
                </c:pt>
                <c:pt idx="1">
                  <c:v>2.2305619405937586E-22</c:v>
                </c:pt>
                <c:pt idx="2">
                  <c:v>1.2015972715704268E-21</c:v>
                </c:pt>
                <c:pt idx="3">
                  <c:v>5.6215776878072497E-21</c:v>
                </c:pt>
                <c:pt idx="4">
                  <c:v>2.3297252821546149E-20</c:v>
                </c:pt>
                <c:pt idx="5">
                  <c:v>8.6905212577726017E-20</c:v>
                </c:pt>
                <c:pt idx="6">
                  <c:v>2.956473412284713E-19</c:v>
                </c:pt>
                <c:pt idx="7">
                  <c:v>9.2727441013594027E-19</c:v>
                </c:pt>
                <c:pt idx="8">
                  <c:v>2.7058383437158802E-18</c:v>
                </c:pt>
                <c:pt idx="9">
                  <c:v>7.4028187261056529E-18</c:v>
                </c:pt>
                <c:pt idx="10">
                  <c:v>1.9113660846248165E-17</c:v>
                </c:pt>
                <c:pt idx="11">
                  <c:v>4.6837138360220632E-17</c:v>
                </c:pt>
                <c:pt idx="12">
                  <c:v>1.0945970884275743E-16</c:v>
                </c:pt>
                <c:pt idx="13">
                  <c:v>2.4500733168368861E-16</c:v>
                </c:pt>
                <c:pt idx="14">
                  <c:v>5.2720384809988342E-16</c:v>
                </c:pt>
                <c:pt idx="15">
                  <c:v>1.0941405787505092E-15</c:v>
                </c:pt>
                <c:pt idx="16">
                  <c:v>2.1964379327398013E-15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25E-4729-AB30-5A9326BA51E6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03710648"/>
        <c:axId val="603709568"/>
        <c:axId val="297832704"/>
      </c:surface3DChart>
      <c:catAx>
        <c:axId val="603710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03709568"/>
        <c:crosses val="autoZero"/>
        <c:auto val="1"/>
        <c:lblAlgn val="ctr"/>
        <c:lblOffset val="100"/>
        <c:noMultiLvlLbl val="0"/>
      </c:catAx>
      <c:valAx>
        <c:axId val="60370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03710648"/>
        <c:crosses val="autoZero"/>
        <c:crossBetween val="midCat"/>
      </c:valAx>
      <c:serAx>
        <c:axId val="2978327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0370956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>
                <a:latin typeface="Arial" panose="020B0604020202020204" pitchFamily="34" charset="0"/>
                <a:cs typeface="Arial" panose="020B0604020202020204" pitchFamily="34" charset="0"/>
              </a:rPr>
              <a:t>ρ parameter,</a:t>
            </a:r>
            <a:r>
              <a:rPr lang="it-IT" baseline="0">
                <a:latin typeface="Arial" panose="020B0604020202020204" pitchFamily="34" charset="0"/>
                <a:cs typeface="Arial" panose="020B0604020202020204" pitchFamily="34" charset="0"/>
              </a:rPr>
              <a:t> q=80%</a:t>
            </a:r>
            <a:endParaRPr lang="it-IT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0"/>
      <c:rotY val="6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Foglio1!$G$81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Foglio1!$F$82:$F$98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Foglio1!$G$82:$G$98</c:f>
              <c:numCache>
                <c:formatCode>General</c:formatCode>
                <c:ptCount val="17"/>
                <c:pt idx="0">
                  <c:v>4.0749315889236359E-20</c:v>
                </c:pt>
                <c:pt idx="1">
                  <c:v>2.9317505464831566E-15</c:v>
                </c:pt>
                <c:pt idx="2">
                  <c:v>2.2520073943671615E-11</c:v>
                </c:pt>
                <c:pt idx="3">
                  <c:v>2.7789804964705772E-8</c:v>
                </c:pt>
                <c:pt idx="4">
                  <c:v>7.579365284338607E-6</c:v>
                </c:pt>
                <c:pt idx="5">
                  <c:v>5.8910252847775427E-4</c:v>
                </c:pt>
                <c:pt idx="6">
                  <c:v>1.604741054624784E-2</c:v>
                </c:pt>
                <c:pt idx="7">
                  <c:v>0.18212639408080081</c:v>
                </c:pt>
                <c:pt idx="8">
                  <c:v>1.0004548976580219</c:v>
                </c:pt>
                <c:pt idx="9">
                  <c:v>3.0497208428683913</c:v>
                </c:pt>
                <c:pt idx="10">
                  <c:v>5.889126706196457</c:v>
                </c:pt>
                <c:pt idx="11">
                  <c:v>8.2276023980704824</c:v>
                </c:pt>
                <c:pt idx="12">
                  <c:v>9.4448105376798726</c:v>
                </c:pt>
                <c:pt idx="13">
                  <c:v>9.8670833421587503</c:v>
                </c:pt>
                <c:pt idx="14">
                  <c:v>9.9693471227433381</c:v>
                </c:pt>
                <c:pt idx="15">
                  <c:v>9.9873500604051415</c:v>
                </c:pt>
                <c:pt idx="16">
                  <c:v>9.9897372921961995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00-4948-8976-4421C0EA2E5B}"/>
            </c:ext>
          </c:extLst>
        </c:ser>
        <c:ser>
          <c:idx val="1"/>
          <c:order val="1"/>
          <c:tx>
            <c:strRef>
              <c:f>Foglio1!$H$81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Foglio1!$F$82:$F$98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Foglio1!$H$82:$H$98</c:f>
              <c:numCache>
                <c:formatCode>General</c:formatCode>
                <c:ptCount val="17"/>
                <c:pt idx="0">
                  <c:v>5.3664430006128082E-13</c:v>
                </c:pt>
                <c:pt idx="1">
                  <c:v>3.407040649581066E-10</c:v>
                </c:pt>
                <c:pt idx="2">
                  <c:v>6.6593263998987833E-8</c:v>
                </c:pt>
                <c:pt idx="3">
                  <c:v>4.9566828944378283E-6</c:v>
                </c:pt>
                <c:pt idx="4">
                  <c:v>1.6587408287144798E-4</c:v>
                </c:pt>
                <c:pt idx="5">
                  <c:v>2.8479867950099674E-3</c:v>
                </c:pt>
                <c:pt idx="6">
                  <c:v>2.791670775965386E-2</c:v>
                </c:pt>
                <c:pt idx="7">
                  <c:v>0.17059294942080999</c:v>
                </c:pt>
                <c:pt idx="8">
                  <c:v>0.69967492591508751</c:v>
                </c:pt>
                <c:pt idx="9">
                  <c:v>2.0520094146381589</c:v>
                </c:pt>
                <c:pt idx="10">
                  <c:v>4.5498921656381679</c:v>
                </c:pt>
                <c:pt idx="11">
                  <c:v>8.0204205172080449</c:v>
                </c:pt>
                <c:pt idx="12">
                  <c:v>11.773761503657013</c:v>
                </c:pt>
                <c:pt idx="13">
                  <c:v>15.027672644734654</c:v>
                </c:pt>
                <c:pt idx="14">
                  <c:v>17.347099857445755</c:v>
                </c:pt>
                <c:pt idx="15">
                  <c:v>18.736742035882088</c:v>
                </c:pt>
                <c:pt idx="16">
                  <c:v>19.450084556578457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00-4948-8976-4421C0EA2E5B}"/>
            </c:ext>
          </c:extLst>
        </c:ser>
        <c:ser>
          <c:idx val="2"/>
          <c:order val="2"/>
          <c:tx>
            <c:strRef>
              <c:f>Foglio1!$I$81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Foglio1!$F$82:$F$98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Foglio1!$I$82:$I$98</c:f>
              <c:numCache>
                <c:formatCode>General</c:formatCode>
                <c:ptCount val="17"/>
                <c:pt idx="0">
                  <c:v>8.8600250608134306E-11</c:v>
                </c:pt>
                <c:pt idx="1">
                  <c:v>1.1531622875158498E-8</c:v>
                </c:pt>
                <c:pt idx="2">
                  <c:v>6.5704790238192984E-7</c:v>
                </c:pt>
                <c:pt idx="3">
                  <c:v>1.8988115040182365E-5</c:v>
                </c:pt>
                <c:pt idx="4">
                  <c:v>3.1223070107064575E-4</c:v>
                </c:pt>
                <c:pt idx="5">
                  <c:v>3.2006982059366216E-3</c:v>
                </c:pt>
                <c:pt idx="6">
                  <c:v>2.2018861103185457E-2</c:v>
                </c:pt>
                <c:pt idx="7">
                  <c:v>0.10797719118723807</c:v>
                </c:pt>
                <c:pt idx="8">
                  <c:v>0.39684759693521132</c:v>
                </c:pt>
                <c:pt idx="9">
                  <c:v>1.1402901333398119</c:v>
                </c:pt>
                <c:pt idx="10">
                  <c:v>2.655847377734236</c:v>
                </c:pt>
                <c:pt idx="11">
                  <c:v>5.174040921843126</c:v>
                </c:pt>
                <c:pt idx="12">
                  <c:v>8.6685018177622855</c:v>
                </c:pt>
                <c:pt idx="13">
                  <c:v>12.803938905503166</c:v>
                </c:pt>
                <c:pt idx="14">
                  <c:v>17.053435789234584</c:v>
                </c:pt>
                <c:pt idx="15">
                  <c:v>20.904732928404183</c:v>
                </c:pt>
                <c:pt idx="16">
                  <c:v>24.025262541459711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00-4948-8976-4421C0EA2E5B}"/>
            </c:ext>
          </c:extLst>
        </c:ser>
        <c:ser>
          <c:idx val="3"/>
          <c:order val="3"/>
          <c:tx>
            <c:strRef>
              <c:f>Foglio1!$J$81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Foglio1!$F$82:$F$98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Foglio1!$J$82:$J$98</c:f>
              <c:numCache>
                <c:formatCode>General</c:formatCode>
                <c:ptCount val="17"/>
                <c:pt idx="0">
                  <c:v>8.1971792043873885E-10</c:v>
                </c:pt>
                <c:pt idx="1">
                  <c:v>4.8113706392534049E-8</c:v>
                </c:pt>
                <c:pt idx="2">
                  <c:v>1.4738463085671011E-6</c:v>
                </c:pt>
                <c:pt idx="3">
                  <c:v>2.6420165269040645E-5</c:v>
                </c:pt>
                <c:pt idx="4">
                  <c:v>3.0308930519031821E-4</c:v>
                </c:pt>
                <c:pt idx="5">
                  <c:v>2.3890182645093217E-3</c:v>
                </c:pt>
                <c:pt idx="6">
                  <c:v>1.370127167261178E-2</c:v>
                </c:pt>
                <c:pt idx="7">
                  <c:v>5.9913058156310518E-2</c:v>
                </c:pt>
                <c:pt idx="8">
                  <c:v>0.20764330958531174</c:v>
                </c:pt>
                <c:pt idx="9">
                  <c:v>0.58915556711313577</c:v>
                </c:pt>
                <c:pt idx="10">
                  <c:v>1.4066422973310506</c:v>
                </c:pt>
                <c:pt idx="11">
                  <c:v>2.8933282290397164</c:v>
                </c:pt>
                <c:pt idx="12">
                  <c:v>5.2327361504512737</c:v>
                </c:pt>
                <c:pt idx="13">
                  <c:v>8.4711168353225936</c:v>
                </c:pt>
                <c:pt idx="14">
                  <c:v>12.471308560022889</c:v>
                </c:pt>
                <c:pt idx="15">
                  <c:v>16.935393270360553</c:v>
                </c:pt>
                <c:pt idx="16">
                  <c:v>21.484798106877328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00-4948-8976-4421C0EA2E5B}"/>
            </c:ext>
          </c:extLst>
        </c:ser>
        <c:ser>
          <c:idx val="4"/>
          <c:order val="4"/>
          <c:tx>
            <c:strRef>
              <c:f>Foglio1!$K$81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Foglio1!$F$82:$F$98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Foglio1!$K$82:$K$98</c:f>
              <c:numCache>
                <c:formatCode>General</c:formatCode>
                <c:ptCount val="17"/>
                <c:pt idx="0">
                  <c:v>2.3450018894989651E-9</c:v>
                </c:pt>
                <c:pt idx="1">
                  <c:v>8.5163582995221533E-8</c:v>
                </c:pt>
                <c:pt idx="2">
                  <c:v>1.7935348955895399E-6</c:v>
                </c:pt>
                <c:pt idx="3">
                  <c:v>2.4083305905399667E-5</c:v>
                </c:pt>
                <c:pt idx="4">
                  <c:v>2.2207058889345271E-4</c:v>
                </c:pt>
                <c:pt idx="5">
                  <c:v>1.4915448144667629E-3</c:v>
                </c:pt>
                <c:pt idx="6">
                  <c:v>7.6522423913694777E-3</c:v>
                </c:pt>
                <c:pt idx="7">
                  <c:v>3.1174394735547423E-2</c:v>
                </c:pt>
                <c:pt idx="8">
                  <c:v>0.10413188481026556</c:v>
                </c:pt>
                <c:pt idx="9">
                  <c:v>0.29293392465360257</c:v>
                </c:pt>
                <c:pt idx="10">
                  <c:v>0.70984210463359165</c:v>
                </c:pt>
                <c:pt idx="11">
                  <c:v>1.5104719858578415</c:v>
                </c:pt>
                <c:pt idx="12">
                  <c:v>2.8694847032577262</c:v>
                </c:pt>
                <c:pt idx="13">
                  <c:v>4.9370338651236514</c:v>
                </c:pt>
                <c:pt idx="14">
                  <c:v>7.7902702204524443</c:v>
                </c:pt>
                <c:pt idx="15">
                  <c:v>11.399247543788718</c:v>
                </c:pt>
                <c:pt idx="16">
                  <c:v>15.621330949207824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00-4948-8976-4421C0EA2E5B}"/>
            </c:ext>
          </c:extLst>
        </c:ser>
        <c:ser>
          <c:idx val="5"/>
          <c:order val="5"/>
          <c:tx>
            <c:strRef>
              <c:f>Foglio1!$L$81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Foglio1!$F$82:$F$98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Foglio1!$L$82:$L$98</c:f>
              <c:numCache>
                <c:formatCode>General</c:formatCode>
                <c:ptCount val="17"/>
                <c:pt idx="0">
                  <c:v>3.6946257033821554E-9</c:v>
                </c:pt>
                <c:pt idx="1">
                  <c:v>9.7292478084711112E-8</c:v>
                </c:pt>
                <c:pt idx="2">
                  <c:v>1.5938270884195872E-6</c:v>
                </c:pt>
                <c:pt idx="3">
                  <c:v>1.7627486502344462E-5</c:v>
                </c:pt>
                <c:pt idx="4">
                  <c:v>1.403239532953684E-4</c:v>
                </c:pt>
                <c:pt idx="5">
                  <c:v>8.4600507856260102E-4</c:v>
                </c:pt>
                <c:pt idx="6">
                  <c:v>4.0247636508827511E-3</c:v>
                </c:pt>
                <c:pt idx="7">
                  <c:v>1.5623912071818423E-2</c:v>
                </c:pt>
                <c:pt idx="8">
                  <c:v>5.0879300016575743E-2</c:v>
                </c:pt>
                <c:pt idx="9">
                  <c:v>0.14224036448869493</c:v>
                </c:pt>
                <c:pt idx="10">
                  <c:v>0.34808190339796968</c:v>
                </c:pt>
                <c:pt idx="11">
                  <c:v>0.75804312345131053</c:v>
                </c:pt>
                <c:pt idx="12">
                  <c:v>1.4900792992751379</c:v>
                </c:pt>
                <c:pt idx="13">
                  <c:v>2.6763192293161784</c:v>
                </c:pt>
                <c:pt idx="14">
                  <c:v>4.4391477335595253</c:v>
                </c:pt>
                <c:pt idx="15">
                  <c:v>6.8634617711770893</c:v>
                </c:pt>
                <c:pt idx="16">
                  <c:v>9.9733560155965524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00-4948-8976-4421C0EA2E5B}"/>
            </c:ext>
          </c:extLst>
        </c:ser>
        <c:ser>
          <c:idx val="6"/>
          <c:order val="6"/>
          <c:tx>
            <c:strRef>
              <c:f>Foglio1!$M$81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Foglio1!$F$82:$F$98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Foglio1!$M$82:$M$98</c:f>
              <c:numCache>
                <c:formatCode>General</c:formatCode>
                <c:ptCount val="17"/>
                <c:pt idx="0">
                  <c:v>4.1186115929945145E-9</c:v>
                </c:pt>
                <c:pt idx="1">
                  <c:v>8.6128501325385834E-8</c:v>
                </c:pt>
                <c:pt idx="2">
                  <c:v>1.1781311863807138E-6</c:v>
                </c:pt>
                <c:pt idx="3">
                  <c:v>1.133387906792918E-5</c:v>
                </c:pt>
                <c:pt idx="4">
                  <c:v>8.1163324897425636E-5</c:v>
                </c:pt>
                <c:pt idx="5">
                  <c:v>4.5264368846221727E-4</c:v>
                </c:pt>
                <c:pt idx="6">
                  <c:v>2.0389060047468284E-3</c:v>
                </c:pt>
                <c:pt idx="7">
                  <c:v>7.6420775328775508E-3</c:v>
                </c:pt>
                <c:pt idx="8">
                  <c:v>2.4427430293743443E-2</c:v>
                </c:pt>
                <c:pt idx="9">
                  <c:v>6.7967994460000014E-2</c:v>
                </c:pt>
                <c:pt idx="10">
                  <c:v>0.16749074119790006</c:v>
                </c:pt>
                <c:pt idx="11">
                  <c:v>0.3709396204285364</c:v>
                </c:pt>
                <c:pt idx="12">
                  <c:v>0.74763296715139638</c:v>
                </c:pt>
                <c:pt idx="13">
                  <c:v>1.3862460534542853</c:v>
                </c:pt>
                <c:pt idx="14">
                  <c:v>2.3868857043250418</c:v>
                </c:pt>
                <c:pt idx="15">
                  <c:v>3.8478585672429881</c:v>
                </c:pt>
                <c:pt idx="16">
                  <c:v>5.849624520898657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00-4948-8976-4421C0EA2E5B}"/>
            </c:ext>
          </c:extLst>
        </c:ser>
        <c:ser>
          <c:idx val="7"/>
          <c:order val="7"/>
          <c:tx>
            <c:strRef>
              <c:f>Foglio1!$N$81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Foglio1!$F$82:$F$98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Foglio1!$N$82:$N$98</c:f>
              <c:numCache>
                <c:formatCode>General</c:formatCode>
                <c:ptCount val="17"/>
                <c:pt idx="0">
                  <c:v>3.6874438556637419E-9</c:v>
                </c:pt>
                <c:pt idx="1">
                  <c:v>6.4828269722777462E-8</c:v>
                </c:pt>
                <c:pt idx="2">
                  <c:v>7.7412486986950519E-7</c:v>
                </c:pt>
                <c:pt idx="3">
                  <c:v>6.7037875670929623E-6</c:v>
                </c:pt>
                <c:pt idx="4">
                  <c:v>4.4319370182589267E-5</c:v>
                </c:pt>
                <c:pt idx="5">
                  <c:v>2.3301725192151262E-4</c:v>
                </c:pt>
                <c:pt idx="6">
                  <c:v>1.0070232653777104E-3</c:v>
                </c:pt>
                <c:pt idx="7">
                  <c:v>3.6750578300067567E-3</c:v>
                </c:pt>
                <c:pt idx="8">
                  <c:v>1.1580913611922814E-2</c:v>
                </c:pt>
                <c:pt idx="9">
                  <c:v>3.2103566673176584E-2</c:v>
                </c:pt>
                <c:pt idx="10">
                  <c:v>7.9523646187840455E-2</c:v>
                </c:pt>
                <c:pt idx="11">
                  <c:v>0.17837916411548813</c:v>
                </c:pt>
                <c:pt idx="12">
                  <c:v>0.36646543561123646</c:v>
                </c:pt>
                <c:pt idx="13">
                  <c:v>0.69632748730214933</c:v>
                </c:pt>
                <c:pt idx="14">
                  <c:v>1.2341545239173966</c:v>
                </c:pt>
                <c:pt idx="15">
                  <c:v>2.055479106641525</c:v>
                </c:pt>
                <c:pt idx="16">
                  <c:v>3.2378800619173105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00-4948-8976-4421C0EA2E5B}"/>
            </c:ext>
          </c:extLst>
        </c:ser>
        <c:ser>
          <c:idx val="8"/>
          <c:order val="8"/>
          <c:tx>
            <c:strRef>
              <c:f>Foglio1!$O$81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Foglio1!$F$82:$F$98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Foglio1!$O$82:$O$98</c:f>
              <c:numCache>
                <c:formatCode>General</c:formatCode>
                <c:ptCount val="17"/>
                <c:pt idx="0">
                  <c:v>2.8471355623779956E-9</c:v>
                </c:pt>
                <c:pt idx="1">
                  <c:v>4.3716183749446256E-8</c:v>
                </c:pt>
                <c:pt idx="2">
                  <c:v>4.6947738770654172E-7</c:v>
                </c:pt>
                <c:pt idx="3">
                  <c:v>3.744756972744004E-6</c:v>
                </c:pt>
                <c:pt idx="4">
                  <c:v>2.3256251694188605E-5</c:v>
                </c:pt>
                <c:pt idx="5">
                  <c:v>1.167546945975809E-4</c:v>
                </c:pt>
                <c:pt idx="6">
                  <c:v>4.8843334161429786E-4</c:v>
                </c:pt>
                <c:pt idx="7">
                  <c:v>1.7454570478605159E-3</c:v>
                </c:pt>
                <c:pt idx="8">
                  <c:v>5.4386992498154547E-3</c:v>
                </c:pt>
                <c:pt idx="9">
                  <c:v>1.5031427766533828E-2</c:v>
                </c:pt>
                <c:pt idx="10">
                  <c:v>3.7384214687102235E-2</c:v>
                </c:pt>
                <c:pt idx="11">
                  <c:v>8.4698656688041149E-2</c:v>
                </c:pt>
                <c:pt idx="12">
                  <c:v>0.17664949073961941</c:v>
                </c:pt>
                <c:pt idx="13">
                  <c:v>0.34222445149467723</c:v>
                </c:pt>
                <c:pt idx="14">
                  <c:v>0.62067524602006929</c:v>
                </c:pt>
                <c:pt idx="15">
                  <c:v>1.0610316477313579</c:v>
                </c:pt>
                <c:pt idx="16">
                  <c:v>1.719857535718039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00-4948-8976-4421C0EA2E5B}"/>
            </c:ext>
          </c:extLst>
        </c:ser>
        <c:ser>
          <c:idx val="9"/>
          <c:order val="9"/>
          <c:tx>
            <c:strRef>
              <c:f>Foglio1!$P$81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Foglio1!$F$82:$F$98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Foglio1!$P$82:$P$98</c:f>
              <c:numCache>
                <c:formatCode>General</c:formatCode>
                <c:ptCount val="17"/>
                <c:pt idx="0">
                  <c:v>1.9794245098120859E-9</c:v>
                </c:pt>
                <c:pt idx="1">
                  <c:v>2.7263837572520424E-8</c:v>
                </c:pt>
                <c:pt idx="2">
                  <c:v>2.6888463556890236E-7</c:v>
                </c:pt>
                <c:pt idx="3">
                  <c:v>2.0076576533341866E-6</c:v>
                </c:pt>
                <c:pt idx="4">
                  <c:v>1.1856737447549233E-5</c:v>
                </c:pt>
                <c:pt idx="5">
                  <c:v>5.7352076827878853E-5</c:v>
                </c:pt>
                <c:pt idx="6">
                  <c:v>2.3371939764865005E-4</c:v>
                </c:pt>
                <c:pt idx="7">
                  <c:v>8.2116247367891126E-4</c:v>
                </c:pt>
                <c:pt idx="8">
                  <c:v>2.535400449263773E-3</c:v>
                </c:pt>
                <c:pt idx="9">
                  <c:v>6.9899655268315184E-3</c:v>
                </c:pt>
                <c:pt idx="10">
                  <c:v>1.744021052539238E-2</c:v>
                </c:pt>
                <c:pt idx="11">
                  <c:v>3.9832174932675955E-2</c:v>
                </c:pt>
                <c:pt idx="12">
                  <c:v>8.4093545221136698E-2</c:v>
                </c:pt>
                <c:pt idx="13">
                  <c:v>0.16549675374233488</c:v>
                </c:pt>
                <c:pt idx="14">
                  <c:v>0.30582886854977587</c:v>
                </c:pt>
                <c:pt idx="15">
                  <c:v>0.53405572756888109</c:v>
                </c:pt>
                <c:pt idx="16">
                  <c:v>0.88619374628886749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200-4948-8976-4421C0EA2E5B}"/>
            </c:ext>
          </c:extLst>
        </c:ser>
        <c:ser>
          <c:idx val="10"/>
          <c:order val="10"/>
          <c:tx>
            <c:strRef>
              <c:f>Foglio1!$Q$81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Foglio1!$F$82:$F$98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Foglio1!$Q$82:$Q$98</c:f>
              <c:numCache>
                <c:formatCode>General</c:formatCode>
                <c:ptCount val="17"/>
                <c:pt idx="0">
                  <c:v>4.8380468162143699E-12</c:v>
                </c:pt>
                <c:pt idx="1">
                  <c:v>4.0667560632800594E-11</c:v>
                </c:pt>
                <c:pt idx="2">
                  <c:v>2.7214256144430898E-10</c:v>
                </c:pt>
                <c:pt idx="3">
                  <c:v>1.5033336978957861E-9</c:v>
                </c:pt>
                <c:pt idx="4">
                  <c:v>7.0543407620870403E-9</c:v>
                </c:pt>
                <c:pt idx="5">
                  <c:v>2.8772093698288004E-8</c:v>
                </c:pt>
                <c:pt idx="6">
                  <c:v>1.0392225595745478E-7</c:v>
                </c:pt>
                <c:pt idx="7">
                  <c:v>3.3755119955355499E-7</c:v>
                </c:pt>
                <c:pt idx="8">
                  <c:v>9.9865041671811198E-7</c:v>
                </c:pt>
                <c:pt idx="9">
                  <c:v>2.7201243026635845E-6</c:v>
                </c:pt>
                <c:pt idx="10">
                  <c:v>6.8835172147044165E-6</c:v>
                </c:pt>
                <c:pt idx="11">
                  <c:v>1.6309660961999287E-5</c:v>
                </c:pt>
                <c:pt idx="12">
                  <c:v>3.6423815422439742E-5</c:v>
                </c:pt>
                <c:pt idx="13">
                  <c:v>7.711416823227881E-5</c:v>
                </c:pt>
                <c:pt idx="14">
                  <c:v>1.5554933348993724E-4</c:v>
                </c:pt>
                <c:pt idx="15">
                  <c:v>3.0025596506637223E-4</c:v>
                </c:pt>
                <c:pt idx="16">
                  <c:v>5.5677370206278604E-4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00-4948-8976-4421C0EA2E5B}"/>
            </c:ext>
          </c:extLst>
        </c:ser>
        <c:ser>
          <c:idx val="11"/>
          <c:order val="11"/>
          <c:tx>
            <c:strRef>
              <c:f>Foglio1!$R$81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Foglio1!$F$82:$F$98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Foglio1!$R$82:$R$98</c:f>
              <c:numCache>
                <c:formatCode>General</c:formatCode>
                <c:ptCount val="17"/>
                <c:pt idx="0">
                  <c:v>3.0226790486933109E-15</c:v>
                </c:pt>
                <c:pt idx="1">
                  <c:v>2.1496800333779616E-14</c:v>
                </c:pt>
                <c:pt idx="2">
                  <c:v>1.2612254063469062E-13</c:v>
                </c:pt>
                <c:pt idx="3">
                  <c:v>6.2887020185598967E-13</c:v>
                </c:pt>
                <c:pt idx="4">
                  <c:v>2.7284525355251984E-12</c:v>
                </c:pt>
                <c:pt idx="5">
                  <c:v>1.0497883943439531E-11</c:v>
                </c:pt>
                <c:pt idx="6">
                  <c:v>3.6378412447674589E-11</c:v>
                </c:pt>
                <c:pt idx="7">
                  <c:v>1.1499978928408715E-10</c:v>
                </c:pt>
                <c:pt idx="8">
                  <c:v>3.3519472179254003E-10</c:v>
                </c:pt>
                <c:pt idx="9">
                  <c:v>9.089690441425056E-10</c:v>
                </c:pt>
                <c:pt idx="10">
                  <c:v>2.3108424894079467E-9</c:v>
                </c:pt>
                <c:pt idx="11">
                  <c:v>5.5437170228488757E-9</c:v>
                </c:pt>
                <c:pt idx="12">
                  <c:v>1.262087957555747E-8</c:v>
                </c:pt>
                <c:pt idx="13">
                  <c:v>2.7400608318321132E-8</c:v>
                </c:pt>
                <c:pt idx="14">
                  <c:v>5.6972648001916105E-8</c:v>
                </c:pt>
                <c:pt idx="15">
                  <c:v>1.1387658350769126E-7</c:v>
                </c:pt>
                <c:pt idx="16">
                  <c:v>2.1953210788954339E-7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200-4948-8976-4421C0EA2E5B}"/>
            </c:ext>
          </c:extLst>
        </c:ser>
        <c:ser>
          <c:idx val="12"/>
          <c:order val="12"/>
          <c:tx>
            <c:strRef>
              <c:f>Foglio1!$S$81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Foglio1!$F$82:$F$98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Foglio1!$S$82:$S$98</c:f>
              <c:numCache>
                <c:formatCode>General</c:formatCode>
                <c:ptCount val="17"/>
                <c:pt idx="0">
                  <c:v>1.3035086150797953E-18</c:v>
                </c:pt>
                <c:pt idx="1">
                  <c:v>8.5211278388889254E-18</c:v>
                </c:pt>
                <c:pt idx="2">
                  <c:v>4.6783418315307788E-17</c:v>
                </c:pt>
                <c:pt idx="3">
                  <c:v>2.2151007806845086E-16</c:v>
                </c:pt>
                <c:pt idx="4">
                  <c:v>9.2371861562853933E-16</c:v>
                </c:pt>
                <c:pt idx="5">
                  <c:v>3.4506963243957879E-15</c:v>
                </c:pt>
                <c:pt idx="6">
                  <c:v>1.1709239325410251E-14</c:v>
                </c:pt>
                <c:pt idx="7">
                  <c:v>3.6509012454843524E-14</c:v>
                </c:pt>
                <c:pt idx="8">
                  <c:v>1.0560841453742579E-13</c:v>
                </c:pt>
                <c:pt idx="9">
                  <c:v>2.8572682155014998E-13</c:v>
                </c:pt>
                <c:pt idx="10">
                  <c:v>7.2804872264963282E-13</c:v>
                </c:pt>
                <c:pt idx="11">
                  <c:v>1.7575309829985777E-12</c:v>
                </c:pt>
                <c:pt idx="12">
                  <c:v>4.0402109057581177E-12</c:v>
                </c:pt>
                <c:pt idx="13">
                  <c:v>8.883786613486646E-12</c:v>
                </c:pt>
                <c:pt idx="14">
                  <c:v>1.8757574116582978E-11</c:v>
                </c:pt>
                <c:pt idx="15">
                  <c:v>3.8161590061622604E-11</c:v>
                </c:pt>
                <c:pt idx="16">
                  <c:v>7.5034463268188714E-11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200-4948-8976-4421C0EA2E5B}"/>
            </c:ext>
          </c:extLst>
        </c:ser>
        <c:ser>
          <c:idx val="13"/>
          <c:order val="13"/>
          <c:tx>
            <c:strRef>
              <c:f>Foglio1!$T$81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Foglio1!$F$82:$F$98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Foglio1!$T$82:$T$98</c:f>
              <c:numCache>
                <c:formatCode>General</c:formatCode>
                <c:ptCount val="17"/>
                <c:pt idx="0">
                  <c:v>4.7975196597816112E-22</c:v>
                </c:pt>
                <c:pt idx="1">
                  <c:v>2.9807536158032913E-21</c:v>
                </c:pt>
                <c:pt idx="2">
                  <c:v>1.5722775044855453E-20</c:v>
                </c:pt>
                <c:pt idx="3">
                  <c:v>7.2155403703352413E-20</c:v>
                </c:pt>
                <c:pt idx="4">
                  <c:v>2.9377968295030388E-19</c:v>
                </c:pt>
                <c:pt idx="5">
                  <c:v>1.0780596285193917E-18</c:v>
                </c:pt>
                <c:pt idx="6">
                  <c:v>3.6120137916171255E-18</c:v>
                </c:pt>
                <c:pt idx="7">
                  <c:v>1.1168611824923962E-17</c:v>
                </c:pt>
                <c:pt idx="8">
                  <c:v>3.2158385025342837E-17</c:v>
                </c:pt>
                <c:pt idx="9">
                  <c:v>8.6882856098416134E-17</c:v>
                </c:pt>
                <c:pt idx="10">
                  <c:v>2.2168296219929899E-16</c:v>
                </c:pt>
                <c:pt idx="11">
                  <c:v>5.3716313372780418E-16</c:v>
                </c:pt>
                <c:pt idx="12">
                  <c:v>1.2420723140917811E-15</c:v>
                </c:pt>
                <c:pt idx="13">
                  <c:v>2.7521667137399928E-15</c:v>
                </c:pt>
                <c:pt idx="14">
                  <c:v>5.8652098790450071E-15</c:v>
                </c:pt>
                <c:pt idx="15">
                  <c:v>1.206080057029406E-14</c:v>
                </c:pt>
                <c:pt idx="16">
                  <c:v>2.3999002948581754E-14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200-4948-8976-4421C0EA2E5B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03798488"/>
        <c:axId val="603799208"/>
        <c:axId val="606327432"/>
      </c:surface3DChart>
      <c:catAx>
        <c:axId val="603798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03799208"/>
        <c:crosses val="autoZero"/>
        <c:auto val="1"/>
        <c:lblAlgn val="ctr"/>
        <c:lblOffset val="100"/>
        <c:noMultiLvlLbl val="0"/>
      </c:catAx>
      <c:valAx>
        <c:axId val="603799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03798488"/>
        <c:crosses val="autoZero"/>
        <c:crossBetween val="midCat"/>
      </c:valAx>
      <c:serAx>
        <c:axId val="6063274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0379920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l-GR">
                <a:cs typeface="Dubai" panose="020B0503030403030204" pitchFamily="34" charset="-78"/>
              </a:rPr>
              <a:t>Δ</a:t>
            </a:r>
            <a:r>
              <a:rPr lang="it-IT">
                <a:cs typeface="Dubai" panose="020B0503030403030204" pitchFamily="34" charset="-78"/>
              </a:rPr>
              <a:t> parameter, </a:t>
            </a:r>
            <a:r>
              <a:rPr lang="el-GR">
                <a:latin typeface="Arial" panose="020B0604020202020204" pitchFamily="34" charset="0"/>
                <a:cs typeface="Arial" panose="020B0604020202020204" pitchFamily="34" charset="0"/>
              </a:rPr>
              <a:t>σ</a:t>
            </a:r>
            <a:r>
              <a:rPr lang="it-IT">
                <a:latin typeface="Arial" panose="020B0604020202020204" pitchFamily="34" charset="0"/>
                <a:cs typeface="Arial" panose="020B0604020202020204" pitchFamily="34" charset="0"/>
              </a:rPr>
              <a:t> = 5%</a:t>
            </a:r>
            <a:endParaRPr lang="it-IT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Foglio1!$AE$1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Foglio1!$AD$2:$AD$18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Foglio1!$AE$2:$AE$18</c:f>
              <c:numCache>
                <c:formatCode>General</c:formatCode>
                <c:ptCount val="17"/>
                <c:pt idx="0">
                  <c:v>2.7372611994809412E-228</c:v>
                </c:pt>
                <c:pt idx="1">
                  <c:v>6.5993643403355037E-163</c:v>
                </c:pt>
                <c:pt idx="2">
                  <c:v>2.7847648196726985E-112</c:v>
                </c:pt>
                <c:pt idx="3">
                  <c:v>1.0404286248480753E-73</c:v>
                </c:pt>
                <c:pt idx="4">
                  <c:v>4.3313396156152889E-45</c:v>
                </c:pt>
                <c:pt idx="5">
                  <c:v>9.1815180581363897E-25</c:v>
                </c:pt>
                <c:pt idx="6">
                  <c:v>2.1633845029987181E-11</c:v>
                </c:pt>
                <c:pt idx="7">
                  <c:v>7.5456653050280415E-4</c:v>
                </c:pt>
                <c:pt idx="8">
                  <c:v>0.52836130900185174</c:v>
                </c:pt>
                <c:pt idx="9">
                  <c:v>0.99920275317662521</c:v>
                </c:pt>
                <c:pt idx="10">
                  <c:v>0.99999999946665097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16-4B81-98D1-8611C8453AB6}"/>
            </c:ext>
          </c:extLst>
        </c:ser>
        <c:ser>
          <c:idx val="1"/>
          <c:order val="1"/>
          <c:tx>
            <c:strRef>
              <c:f>Foglio1!$AF$1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Foglio1!$AD$2:$AD$18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Foglio1!$AF$2:$AF$18</c:f>
              <c:numCache>
                <c:formatCode>General</c:formatCode>
                <c:ptCount val="17"/>
                <c:pt idx="0">
                  <c:v>8.1902820174346134E-115</c:v>
                </c:pt>
                <c:pt idx="1">
                  <c:v>3.6576138888253611E-82</c:v>
                </c:pt>
                <c:pt idx="2">
                  <c:v>6.9882965666836128E-57</c:v>
                </c:pt>
                <c:pt idx="3">
                  <c:v>1.2872346138313609E-37</c:v>
                </c:pt>
                <c:pt idx="4">
                  <c:v>2.5758605861917426E-23</c:v>
                </c:pt>
                <c:pt idx="5">
                  <c:v>3.8205336062112562E-13</c:v>
                </c:pt>
                <c:pt idx="6">
                  <c:v>2.0013468567857179E-6</c:v>
                </c:pt>
                <c:pt idx="7">
                  <c:v>1.4143504981578929E-2</c:v>
                </c:pt>
                <c:pt idx="8">
                  <c:v>0.54007515440860199</c:v>
                </c:pt>
                <c:pt idx="9">
                  <c:v>0.98877260304276526</c:v>
                </c:pt>
                <c:pt idx="10">
                  <c:v>0.99999358615320744</c:v>
                </c:pt>
                <c:pt idx="11">
                  <c:v>0.99999999989301724</c:v>
                </c:pt>
                <c:pt idx="12">
                  <c:v>0.99999999999999989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16-4B81-98D1-8611C8453AB6}"/>
            </c:ext>
          </c:extLst>
        </c:ser>
        <c:ser>
          <c:idx val="2"/>
          <c:order val="2"/>
          <c:tx>
            <c:strRef>
              <c:f>Foglio1!$AG$1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Foglio1!$AD$2:$AD$18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Foglio1!$AG$2:$AG$18</c:f>
              <c:numCache>
                <c:formatCode>General</c:formatCode>
                <c:ptCount val="17"/>
                <c:pt idx="0">
                  <c:v>5.9721209604231371E-77</c:v>
                </c:pt>
                <c:pt idx="1">
                  <c:v>3.2754563731460695E-55</c:v>
                </c:pt>
                <c:pt idx="2">
                  <c:v>2.2304269635784272E-38</c:v>
                </c:pt>
                <c:pt idx="3">
                  <c:v>1.5062003876924661E-25</c:v>
                </c:pt>
                <c:pt idx="4">
                  <c:v>5.0840412868022928E-16</c:v>
                </c:pt>
                <c:pt idx="5">
                  <c:v>3.1029117353354449E-9</c:v>
                </c:pt>
                <c:pt idx="6">
                  <c:v>9.8051486444414724E-5</c:v>
                </c:pt>
                <c:pt idx="7">
                  <c:v>4.0082568000292799E-2</c:v>
                </c:pt>
                <c:pt idx="8">
                  <c:v>0.54904051427844991</c:v>
                </c:pt>
                <c:pt idx="9">
                  <c:v>0.9715971240018757</c:v>
                </c:pt>
                <c:pt idx="10">
                  <c:v>0.99984300347511301</c:v>
                </c:pt>
                <c:pt idx="11">
                  <c:v>0.99999991368260444</c:v>
                </c:pt>
                <c:pt idx="12">
                  <c:v>0.99999999999401945</c:v>
                </c:pt>
                <c:pt idx="13">
                  <c:v>0.99999999999999989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816-4B81-98D1-8611C8453AB6}"/>
            </c:ext>
          </c:extLst>
        </c:ser>
        <c:ser>
          <c:idx val="3"/>
          <c:order val="3"/>
          <c:tx>
            <c:strRef>
              <c:f>Foglio1!$AH$1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Foglio1!$AD$2:$AD$18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Foglio1!$AH$2:$AH$18</c:f>
              <c:numCache>
                <c:formatCode>General</c:formatCode>
                <c:ptCount val="17"/>
                <c:pt idx="0">
                  <c:v>5.3175491897567991E-58</c:v>
                </c:pt>
                <c:pt idx="1">
                  <c:v>1.0220731523919236E-41</c:v>
                </c:pt>
                <c:pt idx="2">
                  <c:v>4.1548521194767605E-29</c:v>
                </c:pt>
                <c:pt idx="3">
                  <c:v>1.6986255720667232E-19</c:v>
                </c:pt>
                <c:pt idx="4">
                  <c:v>2.3539461757859681E-12</c:v>
                </c:pt>
                <c:pt idx="5">
                  <c:v>2.9114940797298593E-7</c:v>
                </c:pt>
                <c:pt idx="6">
                  <c:v>7.1262144826417587E-4</c:v>
                </c:pt>
                <c:pt idx="7">
                  <c:v>6.9472138144277717E-2</c:v>
                </c:pt>
                <c:pt idx="8">
                  <c:v>0.55657946195545982</c:v>
                </c:pt>
                <c:pt idx="9">
                  <c:v>0.95402336086086736</c:v>
                </c:pt>
                <c:pt idx="10">
                  <c:v>0.99920100944181667</c:v>
                </c:pt>
                <c:pt idx="11">
                  <c:v>0.99999746612316398</c:v>
                </c:pt>
                <c:pt idx="12">
                  <c:v>0.99999999826663921</c:v>
                </c:pt>
                <c:pt idx="13">
                  <c:v>0.99999999999969613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816-4B81-98D1-8611C8453AB6}"/>
            </c:ext>
          </c:extLst>
        </c:ser>
        <c:ser>
          <c:idx val="4"/>
          <c:order val="4"/>
          <c:tx>
            <c:strRef>
              <c:f>Foglio1!$AI$1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Foglio1!$AD$2:$AD$18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Foglio1!$AI$2:$AI$18</c:f>
              <c:numCache>
                <c:formatCode>General</c:formatCode>
                <c:ptCount val="17"/>
                <c:pt idx="0">
                  <c:v>1.2770623620175451E-46</c:v>
                </c:pt>
                <c:pt idx="1">
                  <c:v>1.3084683120232934E-33</c:v>
                </c:pt>
                <c:pt idx="2">
                  <c:v>1.5538198510188316E-23</c:v>
                </c:pt>
                <c:pt idx="3">
                  <c:v>7.4495078851635179E-16</c:v>
                </c:pt>
                <c:pt idx="4">
                  <c:v>3.8170690486470643E-10</c:v>
                </c:pt>
                <c:pt idx="5">
                  <c:v>4.5477298152321564E-6</c:v>
                </c:pt>
                <c:pt idx="6">
                  <c:v>2.3941102915395981E-3</c:v>
                </c:pt>
                <c:pt idx="7">
                  <c:v>9.8231494302977507E-2</c:v>
                </c:pt>
                <c:pt idx="8">
                  <c:v>0.56320457211528641</c:v>
                </c:pt>
                <c:pt idx="9">
                  <c:v>0.93810923527972589</c:v>
                </c:pt>
                <c:pt idx="10">
                  <c:v>0.99784733183292618</c:v>
                </c:pt>
                <c:pt idx="11">
                  <c:v>0.99998040159115298</c:v>
                </c:pt>
                <c:pt idx="12">
                  <c:v>0.99999994694343552</c:v>
                </c:pt>
                <c:pt idx="13">
                  <c:v>0.99999999995117717</c:v>
                </c:pt>
                <c:pt idx="14">
                  <c:v>0.99999999999998268</c:v>
                </c:pt>
                <c:pt idx="15">
                  <c:v>1</c:v>
                </c:pt>
                <c:pt idx="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816-4B81-98D1-8611C8453AB6}"/>
            </c:ext>
          </c:extLst>
        </c:ser>
        <c:ser>
          <c:idx val="5"/>
          <c:order val="5"/>
          <c:tx>
            <c:strRef>
              <c:f>Foglio1!$AJ$1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Foglio1!$AD$2:$AD$18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Foglio1!$AJ$2:$AJ$18</c:f>
              <c:numCache>
                <c:formatCode>General</c:formatCode>
                <c:ptCount val="17"/>
                <c:pt idx="0">
                  <c:v>5.0155034842789398E-39</c:v>
                </c:pt>
                <c:pt idx="1">
                  <c:v>3.3784938655284349E-28</c:v>
                </c:pt>
                <c:pt idx="2">
                  <c:v>8.1983821402824304E-20</c:v>
                </c:pt>
                <c:pt idx="3">
                  <c:v>2.0286641184193698E-13</c:v>
                </c:pt>
                <c:pt idx="4">
                  <c:v>1.1534179525057225E-8</c:v>
                </c:pt>
                <c:pt idx="5">
                  <c:v>2.8860814657643429E-5</c:v>
                </c:pt>
                <c:pt idx="6">
                  <c:v>5.446502782428436E-3</c:v>
                </c:pt>
                <c:pt idx="7">
                  <c:v>0.12505074282541714</c:v>
                </c:pt>
                <c:pt idx="8">
                  <c:v>0.56917896198055484</c:v>
                </c:pt>
                <c:pt idx="9">
                  <c:v>0.92421970029170719</c:v>
                </c:pt>
                <c:pt idx="10">
                  <c:v>0.99579539732471112</c:v>
                </c:pt>
                <c:pt idx="11">
                  <c:v>0.99992250102787705</c:v>
                </c:pt>
                <c:pt idx="12">
                  <c:v>0.99999947440838299</c:v>
                </c:pt>
                <c:pt idx="13">
                  <c:v>0.99999999853815102</c:v>
                </c:pt>
                <c:pt idx="14">
                  <c:v>0.99999999999815403</c:v>
                </c:pt>
                <c:pt idx="15">
                  <c:v>0.99999999999999889</c:v>
                </c:pt>
                <c:pt idx="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816-4B81-98D1-8611C8453AB6}"/>
            </c:ext>
          </c:extLst>
        </c:ser>
        <c:ser>
          <c:idx val="6"/>
          <c:order val="6"/>
          <c:tx>
            <c:strRef>
              <c:f>Foglio1!$AK$1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Foglio1!$AD$2:$AD$18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Foglio1!$AK$2:$AK$18</c:f>
              <c:numCache>
                <c:formatCode>General</c:formatCode>
                <c:ptCount val="17"/>
                <c:pt idx="0">
                  <c:v>1.3480598973761932E-33</c:v>
                </c:pt>
                <c:pt idx="1">
                  <c:v>2.5086952002318079E-24</c:v>
                </c:pt>
                <c:pt idx="2">
                  <c:v>3.7806445496917786E-17</c:v>
                </c:pt>
                <c:pt idx="3">
                  <c:v>1.1260522409817834E-11</c:v>
                </c:pt>
                <c:pt idx="4">
                  <c:v>1.3311875426994638E-7</c:v>
                </c:pt>
                <c:pt idx="5">
                  <c:v>1.0921139892888408E-4</c:v>
                </c:pt>
                <c:pt idx="6">
                  <c:v>9.8938420423891529E-3</c:v>
                </c:pt>
                <c:pt idx="7">
                  <c:v>0.14965929563304667</c:v>
                </c:pt>
                <c:pt idx="8">
                  <c:v>0.57465907506793834</c:v>
                </c:pt>
                <c:pt idx="9">
                  <c:v>0.91222055081627429</c:v>
                </c:pt>
                <c:pt idx="10">
                  <c:v>0.99317982212385825</c:v>
                </c:pt>
                <c:pt idx="11">
                  <c:v>0.99979158938598267</c:v>
                </c:pt>
                <c:pt idx="12">
                  <c:v>0.9999972736033107</c:v>
                </c:pt>
                <c:pt idx="13">
                  <c:v>0.99999998327995909</c:v>
                </c:pt>
                <c:pt idx="14">
                  <c:v>0.99999999994763256</c:v>
                </c:pt>
                <c:pt idx="15">
                  <c:v>0.99999999999990952</c:v>
                </c:pt>
                <c:pt idx="16">
                  <c:v>0.99999999999999989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816-4B81-98D1-8611C8453AB6}"/>
            </c:ext>
          </c:extLst>
        </c:ser>
        <c:ser>
          <c:idx val="7"/>
          <c:order val="7"/>
          <c:tx>
            <c:strRef>
              <c:f>Foglio1!$AL$1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Foglio1!$AD$2:$AD$18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Foglio1!$AL$2:$AL$18</c:f>
              <c:numCache>
                <c:formatCode>General</c:formatCode>
                <c:ptCount val="17"/>
                <c:pt idx="0">
                  <c:v>1.6051199119236356E-29</c:v>
                </c:pt>
                <c:pt idx="1">
                  <c:v>2.0241691357535165E-21</c:v>
                </c:pt>
                <c:pt idx="2">
                  <c:v>3.7948432977961287E-15</c:v>
                </c:pt>
                <c:pt idx="3">
                  <c:v>2.3096464603363748E-10</c:v>
                </c:pt>
                <c:pt idx="4">
                  <c:v>8.4060086366252122E-7</c:v>
                </c:pt>
                <c:pt idx="5">
                  <c:v>2.9870492824258458E-4</c:v>
                </c:pt>
                <c:pt idx="6">
                  <c:v>1.5593182233513327E-2</c:v>
                </c:pt>
                <c:pt idx="7">
                  <c:v>0.17214907343060046</c:v>
                </c:pt>
                <c:pt idx="8">
                  <c:v>0.57974693392650745</c:v>
                </c:pt>
                <c:pt idx="9">
                  <c:v>0.9018607895069084</c:v>
                </c:pt>
                <c:pt idx="10">
                  <c:v>0.99016139358503918</c:v>
                </c:pt>
                <c:pt idx="11">
                  <c:v>0.99956015075205285</c:v>
                </c:pt>
                <c:pt idx="12">
                  <c:v>0.99999057438900363</c:v>
                </c:pt>
                <c:pt idx="13">
                  <c:v>0.99999989535303313</c:v>
                </c:pt>
                <c:pt idx="14">
                  <c:v>0.99999999935198958</c:v>
                </c:pt>
                <c:pt idx="15">
                  <c:v>0.99999999999760714</c:v>
                </c:pt>
                <c:pt idx="16">
                  <c:v>0.99999999999999445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816-4B81-98D1-8611C8453AB6}"/>
            </c:ext>
          </c:extLst>
        </c:ser>
        <c:ser>
          <c:idx val="8"/>
          <c:order val="8"/>
          <c:tx>
            <c:strRef>
              <c:f>Foglio1!$AM$1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Foglio1!$AD$2:$AD$18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Foglio1!$AM$2:$AM$18</c:f>
              <c:numCache>
                <c:formatCode>General</c:formatCode>
                <c:ptCount val="17"/>
                <c:pt idx="0">
                  <c:v>2.3904164804358909E-26</c:v>
                </c:pt>
                <c:pt idx="1">
                  <c:v>3.7153002940879218E-19</c:v>
                </c:pt>
                <c:pt idx="2">
                  <c:v>1.3769382490806032E-13</c:v>
                </c:pt>
                <c:pt idx="3">
                  <c:v>2.4370144841640087E-9</c:v>
                </c:pt>
                <c:pt idx="4">
                  <c:v>3.5473851276060835E-6</c:v>
                </c:pt>
                <c:pt idx="5">
                  <c:v>6.5736223302578041E-4</c:v>
                </c:pt>
                <c:pt idx="6">
                  <c:v>2.2335412936725696E-2</c:v>
                </c:pt>
                <c:pt idx="7">
                  <c:v>0.19272348530140992</c:v>
                </c:pt>
                <c:pt idx="8">
                  <c:v>0.58451346694099515</c:v>
                </c:pt>
                <c:pt idx="9">
                  <c:v>0.89288923014673138</c:v>
                </c:pt>
                <c:pt idx="10">
                  <c:v>0.98688430161007179</c:v>
                </c:pt>
                <c:pt idx="11">
                  <c:v>0.99921086779639845</c:v>
                </c:pt>
                <c:pt idx="12">
                  <c:v>0.99997516024645405</c:v>
                </c:pt>
                <c:pt idx="13">
                  <c:v>0.99999956223859732</c:v>
                </c:pt>
                <c:pt idx="14">
                  <c:v>0.99999999539247697</c:v>
                </c:pt>
                <c:pt idx="15">
                  <c:v>0.99999999996928457</c:v>
                </c:pt>
                <c:pt idx="16">
                  <c:v>0.99999999999986333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816-4B81-98D1-8611C8453AB6}"/>
            </c:ext>
          </c:extLst>
        </c:ser>
        <c:ser>
          <c:idx val="9"/>
          <c:order val="9"/>
          <c:tx>
            <c:strRef>
              <c:f>Foglio1!$AN$1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Foglio1!$AD$2:$AD$18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Foglio1!$AN$2:$AN$18</c:f>
              <c:numCache>
                <c:formatCode>General</c:formatCode>
                <c:ptCount val="17"/>
                <c:pt idx="0">
                  <c:v>8.3014418638275393E-24</c:v>
                </c:pt>
                <c:pt idx="1">
                  <c:v>2.4171371314849195E-17</c:v>
                </c:pt>
                <c:pt idx="2">
                  <c:v>2.4490443034698E-12</c:v>
                </c:pt>
                <c:pt idx="3">
                  <c:v>1.6136008103825268E-8</c:v>
                </c:pt>
                <c:pt idx="4">
                  <c:v>1.1282466239244101E-5</c:v>
                </c:pt>
                <c:pt idx="5">
                  <c:v>1.2416103963112843E-3</c:v>
                </c:pt>
                <c:pt idx="6">
                  <c:v>2.9903732969221199E-2</c:v>
                </c:pt>
                <c:pt idx="7">
                  <c:v>0.21160464510740096</c:v>
                </c:pt>
                <c:pt idx="8">
                  <c:v>0.58901036286872965</c:v>
                </c:pt>
                <c:pt idx="9">
                  <c:v>0.88508624103716704</c:v>
                </c:pt>
                <c:pt idx="10">
                  <c:v>0.98346381355380319</c:v>
                </c:pt>
                <c:pt idx="11">
                  <c:v>0.99873712290517369</c:v>
                </c:pt>
                <c:pt idx="12">
                  <c:v>0.99994590088697366</c:v>
                </c:pt>
                <c:pt idx="13">
                  <c:v>0.99999861969050008</c:v>
                </c:pt>
                <c:pt idx="14">
                  <c:v>0.99999997778655669</c:v>
                </c:pt>
                <c:pt idx="15">
                  <c:v>0.99999999976241372</c:v>
                </c:pt>
                <c:pt idx="16">
                  <c:v>0.99999999999823019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816-4B81-98D1-8611C8453AB6}"/>
            </c:ext>
          </c:extLst>
        </c:ser>
        <c:ser>
          <c:idx val="10"/>
          <c:order val="10"/>
          <c:tx>
            <c:strRef>
              <c:f>Foglio1!$AO$1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Foglio1!$AD$2:$AD$18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Foglio1!$AO$2:$AO$18</c:f>
              <c:numCache>
                <c:formatCode>General</c:formatCode>
                <c:ptCount val="17"/>
                <c:pt idx="0">
                  <c:v>2.4931259545159182E-12</c:v>
                </c:pt>
                <c:pt idx="1">
                  <c:v>3.8707471358265481E-9</c:v>
                </c:pt>
                <c:pt idx="2">
                  <c:v>1.1452248035051856E-6</c:v>
                </c:pt>
                <c:pt idx="3">
                  <c:v>8.8332406649593482E-5</c:v>
                </c:pt>
                <c:pt idx="4">
                  <c:v>2.2732157059208715E-3</c:v>
                </c:pt>
                <c:pt idx="5">
                  <c:v>2.3842400671346822E-2</c:v>
                </c:pt>
                <c:pt idx="6">
                  <c:v>0.12063373189490968</c:v>
                </c:pt>
                <c:pt idx="7">
                  <c:v>0.34193103760672594</c:v>
                </c:pt>
                <c:pt idx="8">
                  <c:v>0.62483264466500543</c:v>
                </c:pt>
                <c:pt idx="9">
                  <c:v>0.8433196119840275</c:v>
                </c:pt>
                <c:pt idx="10">
                  <c:v>0.95215201011943384</c:v>
                </c:pt>
                <c:pt idx="11">
                  <c:v>0.98912571013143469</c:v>
                </c:pt>
                <c:pt idx="12">
                  <c:v>0.99811393359429523</c:v>
                </c:pt>
                <c:pt idx="13">
                  <c:v>0.99974354725487879</c:v>
                </c:pt>
                <c:pt idx="14">
                  <c:v>0.99997194369841946</c:v>
                </c:pt>
                <c:pt idx="15">
                  <c:v>0.99999747040161946</c:v>
                </c:pt>
                <c:pt idx="16">
                  <c:v>0.99999980791011267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816-4B81-98D1-8611C8453AB6}"/>
            </c:ext>
          </c:extLst>
        </c:ser>
        <c:ser>
          <c:idx val="11"/>
          <c:order val="11"/>
          <c:tx>
            <c:strRef>
              <c:f>Foglio1!$AP$1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Foglio1!$AD$2:$AD$18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Foglio1!$AP$2:$AP$18</c:f>
              <c:numCache>
                <c:formatCode>General</c:formatCode>
                <c:ptCount val="17"/>
                <c:pt idx="0">
                  <c:v>1.8064939025971066E-8</c:v>
                </c:pt>
                <c:pt idx="1">
                  <c:v>2.2749216395115086E-6</c:v>
                </c:pt>
                <c:pt idx="2">
                  <c:v>9.6190752651606593E-5</c:v>
                </c:pt>
                <c:pt idx="3">
                  <c:v>1.6830934402108488E-3</c:v>
                </c:pt>
                <c:pt idx="4">
                  <c:v>1.4373877236313285E-2</c:v>
                </c:pt>
                <c:pt idx="5">
                  <c:v>6.8521203553902801E-2</c:v>
                </c:pt>
                <c:pt idx="6">
                  <c:v>0.20415055342200186</c:v>
                </c:pt>
                <c:pt idx="7">
                  <c:v>0.41973458731592983</c:v>
                </c:pt>
                <c:pt idx="8">
                  <c:v>0.6516250288454507</c:v>
                </c:pt>
                <c:pt idx="9">
                  <c:v>0.82972819951931209</c:v>
                </c:pt>
                <c:pt idx="10">
                  <c:v>0.93192187204147803</c:v>
                </c:pt>
                <c:pt idx="11">
                  <c:v>0.9774404993445992</c:v>
                </c:pt>
                <c:pt idx="12">
                  <c:v>0.99370177838692031</c:v>
                </c:pt>
                <c:pt idx="13">
                  <c:v>0.99849321936174029</c:v>
                </c:pt>
                <c:pt idx="14">
                  <c:v>0.99968601036528271</c:v>
                </c:pt>
                <c:pt idx="15">
                  <c:v>0.99994214009939286</c:v>
                </c:pt>
                <c:pt idx="16">
                  <c:v>0.99999044134034476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816-4B81-98D1-8611C8453AB6}"/>
            </c:ext>
          </c:extLst>
        </c:ser>
        <c:ser>
          <c:idx val="12"/>
          <c:order val="12"/>
          <c:tx>
            <c:strRef>
              <c:f>Foglio1!$AQ$1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Foglio1!$AD$2:$AD$18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Foglio1!$AQ$2:$AQ$18</c:f>
              <c:numCache>
                <c:formatCode>General</c:formatCode>
                <c:ptCount val="17"/>
                <c:pt idx="0">
                  <c:v>1.5944956166935844E-6</c:v>
                </c:pt>
                <c:pt idx="1">
                  <c:v>5.7199280321904821E-5</c:v>
                </c:pt>
                <c:pt idx="2">
                  <c:v>9.1428456811440135E-4</c:v>
                </c:pt>
                <c:pt idx="3">
                  <c:v>7.6158902561765133E-3</c:v>
                </c:pt>
                <c:pt idx="4">
                  <c:v>3.7420665487091699E-2</c:v>
                </c:pt>
                <c:pt idx="5">
                  <c:v>0.11995949603877155</c:v>
                </c:pt>
                <c:pt idx="6">
                  <c:v>0.27305309183411719</c:v>
                </c:pt>
                <c:pt idx="7">
                  <c:v>0.47490995070516628</c:v>
                </c:pt>
                <c:pt idx="8">
                  <c:v>0.67364477971207992</c:v>
                </c:pt>
                <c:pt idx="9">
                  <c:v>0.8258525202797028</c:v>
                </c:pt>
                <c:pt idx="10">
                  <c:v>0.91970675745652564</c:v>
                </c:pt>
                <c:pt idx="11">
                  <c:v>0.96767129111176242</c:v>
                </c:pt>
                <c:pt idx="12">
                  <c:v>0.98849340370177485</c:v>
                </c:pt>
                <c:pt idx="13">
                  <c:v>0.99633464790514792</c:v>
                </c:pt>
                <c:pt idx="14">
                  <c:v>0.99894268716503409</c:v>
                </c:pt>
                <c:pt idx="15">
                  <c:v>0.99972079072987197</c:v>
                </c:pt>
                <c:pt idx="16">
                  <c:v>0.99993183193784485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816-4B81-98D1-8611C8453AB6}"/>
            </c:ext>
          </c:extLst>
        </c:ser>
        <c:ser>
          <c:idx val="13"/>
          <c:order val="13"/>
          <c:tx>
            <c:strRef>
              <c:f>Foglio1!$AR$1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Foglio1!$AD$2:$AD$18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Foglio1!$AR$2:$AR$18</c:f>
              <c:numCache>
                <c:formatCode>General</c:formatCode>
                <c:ptCount val="17"/>
                <c:pt idx="0">
                  <c:v>2.3929062648690307E-5</c:v>
                </c:pt>
                <c:pt idx="1">
                  <c:v>4.0416832820281291E-4</c:v>
                </c:pt>
                <c:pt idx="2">
                  <c:v>3.6039585896636157E-3</c:v>
                </c:pt>
                <c:pt idx="3">
                  <c:v>1.9226575622006935E-2</c:v>
                </c:pt>
                <c:pt idx="4">
                  <c:v>6.7752458640840257E-2</c:v>
                </c:pt>
                <c:pt idx="5">
                  <c:v>0.17092958378259568</c:v>
                </c:pt>
                <c:pt idx="6">
                  <c:v>0.33023737197832048</c:v>
                </c:pt>
                <c:pt idx="7">
                  <c:v>0.51768096381841744</c:v>
                </c:pt>
                <c:pt idx="8">
                  <c:v>0.69255839307148281</c:v>
                </c:pt>
                <c:pt idx="9">
                  <c:v>0.82626495267175237</c:v>
                </c:pt>
                <c:pt idx="10">
                  <c:v>0.91238604125034095</c:v>
                </c:pt>
                <c:pt idx="11">
                  <c:v>0.96021479519873587</c:v>
                </c:pt>
                <c:pt idx="12">
                  <c:v>0.98357242315619375</c:v>
                </c:pt>
                <c:pt idx="13">
                  <c:v>0.9937722905272045</c:v>
                </c:pt>
                <c:pt idx="14">
                  <c:v>0.99781247528007733</c:v>
                </c:pt>
                <c:pt idx="15">
                  <c:v>0.99928204168011003</c:v>
                </c:pt>
                <c:pt idx="16">
                  <c:v>0.99977813959038175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816-4B81-98D1-8611C8453AB6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03690488"/>
        <c:axId val="603684728"/>
        <c:axId val="504132760"/>
      </c:surface3DChart>
      <c:catAx>
        <c:axId val="603690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03684728"/>
        <c:crosses val="autoZero"/>
        <c:auto val="1"/>
        <c:lblAlgn val="ctr"/>
        <c:lblOffset val="100"/>
        <c:noMultiLvlLbl val="0"/>
      </c:catAx>
      <c:valAx>
        <c:axId val="603684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03690488"/>
        <c:crosses val="autoZero"/>
        <c:crossBetween val="midCat"/>
      </c:valAx>
      <c:serAx>
        <c:axId val="50413276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0368472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>
                <a:latin typeface="Arial" panose="020B0604020202020204" pitchFamily="34" charset="0"/>
                <a:cs typeface="Arial" panose="020B0604020202020204" pitchFamily="34" charset="0"/>
              </a:rPr>
              <a:t>Γ parameter, </a:t>
            </a:r>
            <a:r>
              <a:rPr lang="el-GR">
                <a:latin typeface="Arial" panose="020B0604020202020204" pitchFamily="34" charset="0"/>
                <a:cs typeface="Arial" panose="020B0604020202020204" pitchFamily="34" charset="0"/>
              </a:rPr>
              <a:t>σ</a:t>
            </a:r>
            <a:r>
              <a:rPr lang="it-IT">
                <a:latin typeface="Arial" panose="020B0604020202020204" pitchFamily="34" charset="0"/>
                <a:cs typeface="Arial" panose="020B0604020202020204" pitchFamily="34" charset="0"/>
              </a:rPr>
              <a:t> = 5%</a:t>
            </a:r>
            <a:endParaRPr lang="it-IT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10"/>
      <c:rAngAx val="0"/>
    </c:view3D>
    <c:floor>
      <c:thickness val="0"/>
      <c:spPr>
        <a:noFill/>
        <a:ln>
          <a:noFill/>
        </a:ln>
        <a:effectLst/>
        <a:scene3d>
          <a:camera prst="orthographicFront"/>
          <a:lightRig rig="threePt" dir="t"/>
        </a:scene3d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Foglio1!$AE$21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Foglio1!$AD$22:$AD$38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Foglio1!$AE$22:$AE$38</c:f>
              <c:numCache>
                <c:formatCode>General</c:formatCode>
                <c:ptCount val="17"/>
                <c:pt idx="0">
                  <c:v>9.3101583467928755E-227</c:v>
                </c:pt>
                <c:pt idx="1">
                  <c:v>1.747260734780941E-161</c:v>
                </c:pt>
                <c:pt idx="2">
                  <c:v>5.6689907148791594E-111</c:v>
                </c:pt>
                <c:pt idx="3">
                  <c:v>1.594903646367211E-72</c:v>
                </c:pt>
                <c:pt idx="4">
                  <c:v>4.8323335546016243E-44</c:v>
                </c:pt>
                <c:pt idx="5">
                  <c:v>7.0390717286317978E-24</c:v>
                </c:pt>
                <c:pt idx="6">
                  <c:v>1.0243334389117949E-10</c:v>
                </c:pt>
                <c:pt idx="7">
                  <c:v>1.7302210081327572E-3</c:v>
                </c:pt>
                <c:pt idx="8">
                  <c:v>0.25167539191488181</c:v>
                </c:pt>
                <c:pt idx="9">
                  <c:v>1.6467999615219216E-3</c:v>
                </c:pt>
                <c:pt idx="10">
                  <c:v>1.9181936774384374E-9</c:v>
                </c:pt>
                <c:pt idx="11">
                  <c:v>1.2603945019359544E-18</c:v>
                </c:pt>
                <c:pt idx="12">
                  <c:v>1.2372224837677597E-30</c:v>
                </c:pt>
                <c:pt idx="13">
                  <c:v>4.1509429160752225E-45</c:v>
                </c:pt>
                <c:pt idx="14">
                  <c:v>9.6566096893110887E-62</c:v>
                </c:pt>
                <c:pt idx="15">
                  <c:v>2.8607510988780266E-80</c:v>
                </c:pt>
                <c:pt idx="16">
                  <c:v>1.8242424684528806E-100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E1-4B27-B9FE-B2E1FF372135}"/>
            </c:ext>
          </c:extLst>
        </c:ser>
        <c:ser>
          <c:idx val="1"/>
          <c:order val="1"/>
          <c:tx>
            <c:strRef>
              <c:f>Foglio1!$AF$21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Foglio1!$AD$22:$AD$38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Foglio1!$AF$22:$AF$38</c:f>
              <c:numCache>
                <c:formatCode>General</c:formatCode>
                <c:ptCount val="17"/>
                <c:pt idx="0">
                  <c:v>1.3911330426641347E-113</c:v>
                </c:pt>
                <c:pt idx="1">
                  <c:v>4.8358542051806851E-81</c:v>
                </c:pt>
                <c:pt idx="2">
                  <c:v>7.104595130701376E-56</c:v>
                </c:pt>
                <c:pt idx="3">
                  <c:v>9.8572284584128059E-37</c:v>
                </c:pt>
                <c:pt idx="4">
                  <c:v>1.4367693634291653E-22</c:v>
                </c:pt>
                <c:pt idx="5">
                  <c:v>1.4677825516503268E-12</c:v>
                </c:pt>
                <c:pt idx="6">
                  <c:v>4.7847565457410146E-6</c:v>
                </c:pt>
                <c:pt idx="7">
                  <c:v>1.6947941136303581E-2</c:v>
                </c:pt>
                <c:pt idx="8">
                  <c:v>0.17751148118577875</c:v>
                </c:pt>
                <c:pt idx="9">
                  <c:v>1.2556133445484124E-2</c:v>
                </c:pt>
                <c:pt idx="10">
                  <c:v>1.1924012275408867E-5</c:v>
                </c:pt>
                <c:pt idx="11">
                  <c:v>2.7048317777097782E-10</c:v>
                </c:pt>
                <c:pt idx="12">
                  <c:v>2.3838643903555184E-16</c:v>
                </c:pt>
                <c:pt idx="13">
                  <c:v>1.2341754855645672E-23</c:v>
                </c:pt>
                <c:pt idx="14">
                  <c:v>5.344095263071139E-32</c:v>
                </c:pt>
                <c:pt idx="15">
                  <c:v>2.6219731763750563E-41</c:v>
                </c:pt>
                <c:pt idx="16">
                  <c:v>1.8945028104927025E-51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E1-4B27-B9FE-B2E1FF372135}"/>
            </c:ext>
          </c:extLst>
        </c:ser>
        <c:ser>
          <c:idx val="2"/>
          <c:order val="2"/>
          <c:tx>
            <c:strRef>
              <c:f>Foglio1!$AG$21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Foglio1!$AD$22:$AD$38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Foglio1!$AG$22:$AG$38</c:f>
              <c:numCache>
                <c:formatCode>General</c:formatCode>
                <c:ptCount val="17"/>
                <c:pt idx="0">
                  <c:v>6.7540721705607701E-76</c:v>
                </c:pt>
                <c:pt idx="1">
                  <c:v>2.8833997555930231E-54</c:v>
                </c:pt>
                <c:pt idx="2">
                  <c:v>1.509884387261748E-37</c:v>
                </c:pt>
                <c:pt idx="3">
                  <c:v>7.6822442390037691E-25</c:v>
                </c:pt>
                <c:pt idx="4">
                  <c:v>1.8902689834889985E-15</c:v>
                </c:pt>
                <c:pt idx="5">
                  <c:v>7.9634940852201505E-9</c:v>
                </c:pt>
                <c:pt idx="6">
                  <c:v>1.5766156796582912E-4</c:v>
                </c:pt>
                <c:pt idx="7">
                  <c:v>3.3177875014810738E-2</c:v>
                </c:pt>
                <c:pt idx="8">
                  <c:v>0.14457110830475553</c:v>
                </c:pt>
                <c:pt idx="9">
                  <c:v>2.2611052516179491E-2</c:v>
                </c:pt>
                <c:pt idx="10">
                  <c:v>2.0059752270192165E-4</c:v>
                </c:pt>
                <c:pt idx="11">
                  <c:v>1.4816467677254767E-7</c:v>
                </c:pt>
                <c:pt idx="12">
                  <c:v>1.2597546157314941E-11</c:v>
                </c:pt>
                <c:pt idx="13">
                  <c:v>1.6237286929456729E-16</c:v>
                </c:pt>
                <c:pt idx="14">
                  <c:v>4.0143681049703798E-22</c:v>
                </c:pt>
                <c:pt idx="15">
                  <c:v>2.3302586702529361E-28</c:v>
                </c:pt>
                <c:pt idx="16">
                  <c:v>3.7817485497671273E-35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E1-4B27-B9FE-B2E1FF372135}"/>
            </c:ext>
          </c:extLst>
        </c:ser>
        <c:ser>
          <c:idx val="3"/>
          <c:order val="3"/>
          <c:tx>
            <c:strRef>
              <c:f>Foglio1!$AH$21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Foglio1!$AD$22:$AD$38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Foglio1!$AH$22:$AH$38</c:f>
              <c:numCache>
                <c:formatCode>General</c:formatCode>
                <c:ptCount val="17"/>
                <c:pt idx="0">
                  <c:v>4.5047221070814994E-57</c:v>
                </c:pt>
                <c:pt idx="1">
                  <c:v>6.7394503624664835E-41</c:v>
                </c:pt>
                <c:pt idx="2">
                  <c:v>2.1069278662432505E-28</c:v>
                </c:pt>
                <c:pt idx="3">
                  <c:v>6.4917015757331346E-19</c:v>
                </c:pt>
                <c:pt idx="4">
                  <c:v>6.5628983163221472E-12</c:v>
                </c:pt>
                <c:pt idx="5">
                  <c:v>5.6147241572816821E-7</c:v>
                </c:pt>
                <c:pt idx="6">
                  <c:v>8.6628866509568772E-4</c:v>
                </c:pt>
                <c:pt idx="7">
                  <c:v>4.443428223202623E-2</c:v>
                </c:pt>
                <c:pt idx="8">
                  <c:v>0.12488573500507283</c:v>
                </c:pt>
                <c:pt idx="9">
                  <c:v>2.9044038192609183E-2</c:v>
                </c:pt>
                <c:pt idx="10">
                  <c:v>7.8755507296034036E-4</c:v>
                </c:pt>
                <c:pt idx="11">
                  <c:v>3.3193318974190836E-6</c:v>
                </c:pt>
                <c:pt idx="12">
                  <c:v>2.7719918992984113E-9</c:v>
                </c:pt>
                <c:pt idx="13">
                  <c:v>5.6374867271153429E-13</c:v>
                </c:pt>
                <c:pt idx="14">
                  <c:v>3.3303700096947886E-17</c:v>
                </c:pt>
                <c:pt idx="15">
                  <c:v>6.6496053217831917E-22</c:v>
                </c:pt>
                <c:pt idx="16">
                  <c:v>5.1144052719762048E-27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4E1-4B27-B9FE-B2E1FF372135}"/>
            </c:ext>
          </c:extLst>
        </c:ser>
        <c:ser>
          <c:idx val="4"/>
          <c:order val="4"/>
          <c:tx>
            <c:strRef>
              <c:f>Foglio1!$AI$21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Foglio1!$AD$22:$AD$38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Foglio1!$AI$22:$AI$38</c:f>
              <c:numCache>
                <c:formatCode>General</c:formatCode>
                <c:ptCount val="17"/>
                <c:pt idx="0">
                  <c:v>8.6440303065243816E-46</c:v>
                </c:pt>
                <c:pt idx="1">
                  <c:v>6.8935533867542682E-33</c:v>
                </c:pt>
                <c:pt idx="2">
                  <c:v>6.2959336441174637E-23</c:v>
                </c:pt>
                <c:pt idx="3">
                  <c:v>2.2754521137474166E-15</c:v>
                </c:pt>
                <c:pt idx="4">
                  <c:v>8.5118861694752196E-10</c:v>
                </c:pt>
                <c:pt idx="5">
                  <c:v>7.0282981093247269E-6</c:v>
                </c:pt>
                <c:pt idx="6">
                  <c:v>2.3453712521940293E-3</c:v>
                </c:pt>
                <c:pt idx="7">
                  <c:v>5.1573525705671544E-2</c:v>
                </c:pt>
                <c:pt idx="8">
                  <c:v>0.11141881104694058</c:v>
                </c:pt>
                <c:pt idx="9">
                  <c:v>3.287650348444731E-2</c:v>
                </c:pt>
                <c:pt idx="10">
                  <c:v>1.7427738925379489E-3</c:v>
                </c:pt>
                <c:pt idx="11">
                  <c:v>2.0884360030794242E-5</c:v>
                </c:pt>
                <c:pt idx="12">
                  <c:v>6.8688249271277048E-8</c:v>
                </c:pt>
                <c:pt idx="13">
                  <c:v>7.3116545450341144E-11</c:v>
                </c:pt>
                <c:pt idx="14">
                  <c:v>2.9000437821153298E-14</c:v>
                </c:pt>
                <c:pt idx="15">
                  <c:v>4.8374646273030467E-18</c:v>
                </c:pt>
                <c:pt idx="16">
                  <c:v>3.7674155366953325E-22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4E1-4B27-B9FE-B2E1FF372135}"/>
            </c:ext>
          </c:extLst>
        </c:ser>
        <c:ser>
          <c:idx val="5"/>
          <c:order val="5"/>
          <c:tx>
            <c:strRef>
              <c:f>Foglio1!$AJ$21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Foglio1!$AD$22:$AD$38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Foglio1!$AJ$22:$AJ$38</c:f>
              <c:numCache>
                <c:formatCode>General</c:formatCode>
                <c:ptCount val="17"/>
                <c:pt idx="0">
                  <c:v>2.8254963042635182E-38</c:v>
                </c:pt>
                <c:pt idx="1">
                  <c:v>1.4813870081129759E-27</c:v>
                </c:pt>
                <c:pt idx="2">
                  <c:v>2.7649040891237604E-19</c:v>
                </c:pt>
                <c:pt idx="3">
                  <c:v>5.1588561072055873E-13</c:v>
                </c:pt>
                <c:pt idx="4">
                  <c:v>2.1428519843035006E-8</c:v>
                </c:pt>
                <c:pt idx="5">
                  <c:v>3.7228678365683759E-5</c:v>
                </c:pt>
                <c:pt idx="6">
                  <c:v>4.4763481165341866E-3</c:v>
                </c:pt>
                <c:pt idx="7">
                  <c:v>5.5964445164286031E-2</c:v>
                </c:pt>
                <c:pt idx="8">
                  <c:v>0.10145386318349017</c:v>
                </c:pt>
                <c:pt idx="9">
                  <c:v>3.5084690564418708E-2</c:v>
                </c:pt>
                <c:pt idx="10">
                  <c:v>2.9077745568898135E-3</c:v>
                </c:pt>
                <c:pt idx="11">
                  <c:v>6.9932831332127887E-5</c:v>
                </c:pt>
                <c:pt idx="12">
                  <c:v>5.7361749178651353E-7</c:v>
                </c:pt>
                <c:pt idx="13">
                  <c:v>1.8406958385504246E-9</c:v>
                </c:pt>
                <c:pt idx="14">
                  <c:v>2.5983174590481587E-12</c:v>
                </c:pt>
                <c:pt idx="15">
                  <c:v>1.784481445107195E-15</c:v>
                </c:pt>
                <c:pt idx="16">
                  <c:v>6.5046219455217613E-19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4E1-4B27-B9FE-B2E1FF372135}"/>
            </c:ext>
          </c:extLst>
        </c:ser>
        <c:ser>
          <c:idx val="6"/>
          <c:order val="6"/>
          <c:tx>
            <c:strRef>
              <c:f>Foglio1!$AK$21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Foglio1!$AD$22:$AD$38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Foglio1!$AK$22:$AK$38</c:f>
              <c:numCache>
                <c:formatCode>General</c:formatCode>
                <c:ptCount val="17"/>
                <c:pt idx="0">
                  <c:v>6.5012888927917462E-33</c:v>
                </c:pt>
                <c:pt idx="1">
                  <c:v>9.4165644966110279E-24</c:v>
                </c:pt>
                <c:pt idx="2">
                  <c:v>1.0915483615128318E-16</c:v>
                </c:pt>
                <c:pt idx="3">
                  <c:v>2.4520806151785752E-11</c:v>
                </c:pt>
                <c:pt idx="4">
                  <c:v>2.1192098747547336E-7</c:v>
                </c:pt>
                <c:pt idx="5">
                  <c:v>1.2092932063345321E-4</c:v>
                </c:pt>
                <c:pt idx="6">
                  <c:v>7.0133278491487849E-3</c:v>
                </c:pt>
                <c:pt idx="7">
                  <c:v>5.8580144216244641E-2</c:v>
                </c:pt>
                <c:pt idx="8">
                  <c:v>9.3690571075047593E-2</c:v>
                </c:pt>
                <c:pt idx="9">
                  <c:v>3.6288993115417535E-2</c:v>
                </c:pt>
                <c:pt idx="10">
                  <c:v>4.1385865503333411E-3</c:v>
                </c:pt>
                <c:pt idx="11">
                  <c:v>1.6370901766348724E-4</c:v>
                </c:pt>
                <c:pt idx="12">
                  <c:v>2.5792865323747171E-6</c:v>
                </c:pt>
                <c:pt idx="13">
                  <c:v>1.8203874210863437E-8</c:v>
                </c:pt>
                <c:pt idx="14">
                  <c:v>6.3631905510395873E-11</c:v>
                </c:pt>
                <c:pt idx="15">
                  <c:v>1.2008795570947284E-13</c:v>
                </c:pt>
                <c:pt idx="16">
                  <c:v>1.3182081010252938E-16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4E1-4B27-B9FE-B2E1FF372135}"/>
            </c:ext>
          </c:extLst>
        </c:ser>
        <c:ser>
          <c:idx val="7"/>
          <c:order val="7"/>
          <c:tx>
            <c:strRef>
              <c:f>Foglio1!$AL$21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Foglio1!$AD$22:$AD$38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Foglio1!$AL$22:$AL$38</c:f>
              <c:numCache>
                <c:formatCode>General</c:formatCode>
                <c:ptCount val="17"/>
                <c:pt idx="0">
                  <c:v>6.7649135570946765E-29</c:v>
                </c:pt>
                <c:pt idx="1">
                  <c:v>6.6396425029528092E-21</c:v>
                </c:pt>
                <c:pt idx="2">
                  <c:v>9.575234332808135E-15</c:v>
                </c:pt>
                <c:pt idx="3">
                  <c:v>4.3964788356021523E-10</c:v>
                </c:pt>
                <c:pt idx="4">
                  <c:v>1.1705623764161017E-6</c:v>
                </c:pt>
                <c:pt idx="5">
                  <c:v>2.8980532050387742E-4</c:v>
                </c:pt>
                <c:pt idx="6">
                  <c:v>9.7276649245573495E-3</c:v>
                </c:pt>
                <c:pt idx="7">
                  <c:v>6.0043134715278217E-2</c:v>
                </c:pt>
                <c:pt idx="8">
                  <c:v>8.741794736449704E-2</c:v>
                </c:pt>
                <c:pt idx="9">
                  <c:v>3.6863970917085209E-2</c:v>
                </c:pt>
                <c:pt idx="10">
                  <c:v>5.3413959170241524E-3</c:v>
                </c:pt>
                <c:pt idx="11">
                  <c:v>3.0686719695878099E-4</c:v>
                </c:pt>
                <c:pt idx="12">
                  <c:v>7.8884511305600306E-6</c:v>
                </c:pt>
                <c:pt idx="13">
                  <c:v>1.0055054249270303E-7</c:v>
                </c:pt>
                <c:pt idx="14">
                  <c:v>6.9381903775030267E-10</c:v>
                </c:pt>
                <c:pt idx="15">
                  <c:v>2.794629626717462E-12</c:v>
                </c:pt>
                <c:pt idx="16">
                  <c:v>7.0127710274450392E-15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4E1-4B27-B9FE-B2E1FF372135}"/>
            </c:ext>
          </c:extLst>
        </c:ser>
        <c:ser>
          <c:idx val="8"/>
          <c:order val="8"/>
          <c:tx>
            <c:strRef>
              <c:f>Foglio1!$AM$21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Foglio1!$AD$22:$AD$38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Foglio1!$AM$22:$AM$38</c:f>
              <c:numCache>
                <c:formatCode>General</c:formatCode>
                <c:ptCount val="17"/>
                <c:pt idx="0">
                  <c:v>8.9440011499926398E-26</c:v>
                </c:pt>
                <c:pt idx="1">
                  <c:v>1.0818918358551828E-18</c:v>
                </c:pt>
                <c:pt idx="2">
                  <c:v>3.0845107171406205E-13</c:v>
                </c:pt>
                <c:pt idx="3">
                  <c:v>4.119418703534871E-9</c:v>
                </c:pt>
                <c:pt idx="4">
                  <c:v>4.3894399894835474E-6</c:v>
                </c:pt>
                <c:pt idx="5">
                  <c:v>5.6762697386015246E-4</c:v>
                </c:pt>
                <c:pt idx="6">
                  <c:v>1.2452329709849587E-2</c:v>
                </c:pt>
                <c:pt idx="7">
                  <c:v>6.0747372987125799E-2</c:v>
                </c:pt>
                <c:pt idx="8">
                  <c:v>8.2210073332029704E-2</c:v>
                </c:pt>
                <c:pt idx="9">
                  <c:v>3.7037701602682646E-2</c:v>
                </c:pt>
                <c:pt idx="10">
                  <c:v>6.4649704130358083E-3</c:v>
                </c:pt>
                <c:pt idx="11">
                  <c:v>4.9650162794330922E-4</c:v>
                </c:pt>
                <c:pt idx="12">
                  <c:v>1.8677924521023835E-5</c:v>
                </c:pt>
                <c:pt idx="13">
                  <c:v>3.7705002405172358E-7</c:v>
                </c:pt>
                <c:pt idx="14">
                  <c:v>4.4154805034579883E-9</c:v>
                </c:pt>
                <c:pt idx="15">
                  <c:v>3.2073185186166751E-11</c:v>
                </c:pt>
                <c:pt idx="16">
                  <c:v>1.5310614357413416E-13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E1-4B27-B9FE-B2E1FF372135}"/>
            </c:ext>
          </c:extLst>
        </c:ser>
        <c:ser>
          <c:idx val="9"/>
          <c:order val="9"/>
          <c:tx>
            <c:strRef>
              <c:f>Foglio1!$AN$21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Foglio1!$AD$22:$AD$38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Foglio1!$AN$22:$AN$38</c:f>
              <c:numCache>
                <c:formatCode>General</c:formatCode>
                <c:ptCount val="17"/>
                <c:pt idx="0">
                  <c:v>2.7919647089365428E-23</c:v>
                </c:pt>
                <c:pt idx="1">
                  <c:v>6.3267046889793476E-17</c:v>
                </c:pt>
                <c:pt idx="2">
                  <c:v>4.9314903037006907E-12</c:v>
                </c:pt>
                <c:pt idx="3">
                  <c:v>2.4523536448340282E-8</c:v>
                </c:pt>
                <c:pt idx="4">
                  <c:v>1.2559812667617155E-5</c:v>
                </c:pt>
                <c:pt idx="5">
                  <c:v>9.6603033416123535E-4</c:v>
                </c:pt>
                <c:pt idx="6">
                  <c:v>1.5080183297684386E-2</c:v>
                </c:pt>
                <c:pt idx="7">
                  <c:v>6.0945440301272628E-2</c:v>
                </c:pt>
                <c:pt idx="8">
                  <c:v>7.7794157607349895E-2</c:v>
                </c:pt>
                <c:pt idx="9">
                  <c:v>3.6952171211840808E-2</c:v>
                </c:pt>
                <c:pt idx="10">
                  <c:v>7.4861471767366855E-3</c:v>
                </c:pt>
                <c:pt idx="11">
                  <c:v>7.2520242441002014E-4</c:v>
                </c:pt>
                <c:pt idx="12">
                  <c:v>3.6996489716055837E-5</c:v>
                </c:pt>
                <c:pt idx="13">
                  <c:v>1.0788796930260339E-6</c:v>
                </c:pt>
                <c:pt idx="14">
                  <c:v>1.9289713659538069E-8</c:v>
                </c:pt>
                <c:pt idx="15">
                  <c:v>2.2457363071221918E-10</c:v>
                </c:pt>
                <c:pt idx="16">
                  <c:v>1.7932357427730639E-12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4E1-4B27-B9FE-B2E1FF372135}"/>
            </c:ext>
          </c:extLst>
        </c:ser>
        <c:ser>
          <c:idx val="10"/>
          <c:order val="10"/>
          <c:tx>
            <c:strRef>
              <c:f>Foglio1!$AO$21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Foglio1!$AD$22:$AD$38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Foglio1!$AO$22:$AO$38</c:f>
              <c:numCache>
                <c:formatCode>General</c:formatCode>
                <c:ptCount val="17"/>
                <c:pt idx="0">
                  <c:v>4.1400390540221403E-12</c:v>
                </c:pt>
                <c:pt idx="1">
                  <c:v>5.0008343065501171E-9</c:v>
                </c:pt>
                <c:pt idx="2">
                  <c:v>1.1387670594531286E-6</c:v>
                </c:pt>
                <c:pt idx="3">
                  <c:v>6.6426059345663912E-5</c:v>
                </c:pt>
                <c:pt idx="4">
                  <c:v>1.2588081064107146E-3</c:v>
                </c:pt>
                <c:pt idx="5">
                  <c:v>9.3445577105268299E-3</c:v>
                </c:pt>
                <c:pt idx="6">
                  <c:v>3.155017870683352E-2</c:v>
                </c:pt>
                <c:pt idx="7">
                  <c:v>5.4663333092534912E-2</c:v>
                </c:pt>
                <c:pt idx="8">
                  <c:v>5.3633841658164212E-2</c:v>
                </c:pt>
                <c:pt idx="9">
                  <c:v>3.2323235216493842E-2</c:v>
                </c:pt>
                <c:pt idx="10">
                  <c:v>1.2801613487678228E-2</c:v>
                </c:pt>
                <c:pt idx="11">
                  <c:v>3.525948599674633E-3</c:v>
                </c:pt>
                <c:pt idx="12">
                  <c:v>7.0843049486281329E-4</c:v>
                </c:pt>
                <c:pt idx="13">
                  <c:v>1.0813079297947399E-4</c:v>
                </c:pt>
                <c:pt idx="14">
                  <c:v>1.2980280750592524E-5</c:v>
                </c:pt>
                <c:pt idx="15">
                  <c:v>1.2624870473504024E-6</c:v>
                </c:pt>
                <c:pt idx="16">
                  <c:v>1.02077966415812E-7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4E1-4B27-B9FE-B2E1FF372135}"/>
            </c:ext>
          </c:extLst>
        </c:ser>
        <c:ser>
          <c:idx val="11"/>
          <c:order val="11"/>
          <c:tx>
            <c:strRef>
              <c:f>Foglio1!$AP$21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Foglio1!$AD$22:$AD$38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Foglio1!$AP$22:$AP$38</c:f>
              <c:numCache>
                <c:formatCode>General</c:formatCode>
                <c:ptCount val="17"/>
                <c:pt idx="0">
                  <c:v>1.9746945436819669E-8</c:v>
                </c:pt>
                <c:pt idx="1">
                  <c:v>1.9340220277297138E-6</c:v>
                </c:pt>
                <c:pt idx="2">
                  <c:v>6.2958028121505588E-5</c:v>
                </c:pt>
                <c:pt idx="3">
                  <c:v>8.3442556817073222E-4</c:v>
                </c:pt>
                <c:pt idx="4">
                  <c:v>5.2692520247691792E-3</c:v>
                </c:pt>
                <c:pt idx="5">
                  <c:v>1.7942325442778528E-2</c:v>
                </c:pt>
                <c:pt idx="6">
                  <c:v>3.6363376976884097E-2</c:v>
                </c:pt>
                <c:pt idx="7">
                  <c:v>4.7505627206650643E-2</c:v>
                </c:pt>
                <c:pt idx="8">
                  <c:v>4.2697278763395782E-2</c:v>
                </c:pt>
                <c:pt idx="9">
                  <c:v>2.7857176339322005E-2</c:v>
                </c:pt>
                <c:pt idx="10">
                  <c:v>1.3795289249153533E-2</c:v>
                </c:pt>
                <c:pt idx="11">
                  <c:v>5.3828490839793056E-3</c:v>
                </c:pt>
                <c:pt idx="12">
                  <c:v>1.7079433975186139E-3</c:v>
                </c:pt>
                <c:pt idx="13">
                  <c:v>4.5262530241530716E-4</c:v>
                </c:pt>
                <c:pt idx="14">
                  <c:v>1.0250243237476428E-4</c:v>
                </c:pt>
                <c:pt idx="15">
                  <c:v>2.022927438346784E-5</c:v>
                </c:pt>
                <c:pt idx="16">
                  <c:v>3.5385679053475662E-6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4E1-4B27-B9FE-B2E1FF372135}"/>
            </c:ext>
          </c:extLst>
        </c:ser>
        <c:ser>
          <c:idx val="12"/>
          <c:order val="12"/>
          <c:tx>
            <c:strRef>
              <c:f>Foglio1!$AQ$21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Foglio1!$AD$22:$AD$38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Foglio1!$AQ$22:$AQ$38</c:f>
              <c:numCache>
                <c:formatCode>General</c:formatCode>
                <c:ptCount val="17"/>
                <c:pt idx="0">
                  <c:v>1.2906383845160562E-6</c:v>
                </c:pt>
                <c:pt idx="1">
                  <c:v>3.5993808243163999E-5</c:v>
                </c:pt>
                <c:pt idx="2">
                  <c:v>4.4301265744327967E-4</c:v>
                </c:pt>
                <c:pt idx="3">
                  <c:v>2.7987819670287147E-3</c:v>
                </c:pt>
                <c:pt idx="4">
                  <c:v>1.0202358921395954E-2</c:v>
                </c:pt>
                <c:pt idx="5">
                  <c:v>2.3528575066977357E-2</c:v>
                </c:pt>
                <c:pt idx="6">
                  <c:v>3.694471388708355E-2</c:v>
                </c:pt>
                <c:pt idx="7">
                  <c:v>4.191084690578592E-2</c:v>
                </c:pt>
                <c:pt idx="8">
                  <c:v>3.6052696246164792E-2</c:v>
                </c:pt>
                <c:pt idx="9">
                  <c:v>2.4474010139679654E-2</c:v>
                </c:pt>
                <c:pt idx="10">
                  <c:v>1.3552542188871287E-2</c:v>
                </c:pt>
                <c:pt idx="11">
                  <c:v>6.2941519657690485E-3</c:v>
                </c:pt>
                <c:pt idx="12">
                  <c:v>2.5096808328419697E-3</c:v>
                </c:pt>
                <c:pt idx="13">
                  <c:v>8.7637595818898875E-4</c:v>
                </c:pt>
                <c:pt idx="14">
                  <c:v>2.7259389231645972E-4</c:v>
                </c:pt>
                <c:pt idx="15">
                  <c:v>7.663265970618857E-5</c:v>
                </c:pt>
                <c:pt idx="16">
                  <c:v>1.9716608063862224E-5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4E1-4B27-B9FE-B2E1FF372135}"/>
            </c:ext>
          </c:extLst>
        </c:ser>
        <c:ser>
          <c:idx val="13"/>
          <c:order val="13"/>
          <c:tx>
            <c:strRef>
              <c:f>Foglio1!$AR$21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Foglio1!$AD$22:$AD$38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Foglio1!$AR$22:$AR$38</c:f>
              <c:numCache>
                <c:formatCode>General</c:formatCode>
                <c:ptCount val="17"/>
                <c:pt idx="0">
                  <c:v>1.5297369277765619E-5</c:v>
                </c:pt>
                <c:pt idx="1">
                  <c:v>2.0077841012360655E-4</c:v>
                </c:pt>
                <c:pt idx="2">
                  <c:v>1.3786833416076696E-3</c:v>
                </c:pt>
                <c:pt idx="3">
                  <c:v>5.5840246687423965E-3</c:v>
                </c:pt>
                <c:pt idx="4">
                  <c:v>1.4638647635320289E-2</c:v>
                </c:pt>
                <c:pt idx="5">
                  <c:v>2.6721150130813758E-2</c:v>
                </c:pt>
                <c:pt idx="6">
                  <c:v>3.6000998812288999E-2</c:v>
                </c:pt>
                <c:pt idx="7">
                  <c:v>3.7523612980548814E-2</c:v>
                </c:pt>
                <c:pt idx="8">
                  <c:v>3.1440515920966292E-2</c:v>
                </c:pt>
                <c:pt idx="9">
                  <c:v>2.1857241150467711E-2</c:v>
                </c:pt>
                <c:pt idx="10">
                  <c:v>1.2942677357926544E-2</c:v>
                </c:pt>
                <c:pt idx="11">
                  <c:v>6.6730075984318847E-3</c:v>
                </c:pt>
                <c:pt idx="12">
                  <c:v>3.0516511716559593E-3</c:v>
                </c:pt>
                <c:pt idx="13">
                  <c:v>1.2574502570273684E-3</c:v>
                </c:pt>
                <c:pt idx="14">
                  <c:v>4.7316724559099516E-4</c:v>
                </c:pt>
                <c:pt idx="15">
                  <c:v>1.644763418366338E-4</c:v>
                </c:pt>
                <c:pt idx="16">
                  <c:v>5.3341397273610855E-5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4E1-4B27-B9FE-B2E1FF372135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03704528"/>
        <c:axId val="603695168"/>
        <c:axId val="504142160"/>
      </c:surface3DChart>
      <c:catAx>
        <c:axId val="603704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03695168"/>
        <c:crosses val="autoZero"/>
        <c:auto val="1"/>
        <c:lblAlgn val="ctr"/>
        <c:lblOffset val="100"/>
        <c:noMultiLvlLbl val="0"/>
      </c:catAx>
      <c:valAx>
        <c:axId val="60369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03704528"/>
        <c:crosses val="autoZero"/>
        <c:crossBetween val="midCat"/>
      </c:valAx>
      <c:serAx>
        <c:axId val="50414216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0369516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 parameter, </a:t>
            </a:r>
            <a:r>
              <a:rPr lang="el-GR">
                <a:latin typeface="Arial" panose="020B0604020202020204" pitchFamily="34" charset="0"/>
                <a:cs typeface="Arial" panose="020B0604020202020204" pitchFamily="34" charset="0"/>
              </a:rPr>
              <a:t>σ</a:t>
            </a:r>
            <a:r>
              <a:rPr lang="it-IT">
                <a:latin typeface="Arial" panose="020B0604020202020204" pitchFamily="34" charset="0"/>
                <a:cs typeface="Arial" panose="020B0604020202020204" pitchFamily="34" charset="0"/>
              </a:rPr>
              <a:t>=5%</a:t>
            </a:r>
            <a:endParaRPr lang="it-IT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1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Foglio1!$AE$41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Foglio1!$AD$42:$AD$58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Foglio1!$AE$42:$AE$58</c:f>
              <c:numCache>
                <c:formatCode>General</c:formatCode>
                <c:ptCount val="17"/>
                <c:pt idx="0">
                  <c:v>1.6758285024227175E-225</c:v>
                </c:pt>
                <c:pt idx="1">
                  <c:v>3.6910883022247379E-160</c:v>
                </c:pt>
                <c:pt idx="2">
                  <c:v>1.3889027251453938E-109</c:v>
                </c:pt>
                <c:pt idx="3">
                  <c:v>4.4856665054077815E-71</c:v>
                </c:pt>
                <c:pt idx="4">
                  <c:v>1.5463467374725201E-42</c:v>
                </c:pt>
                <c:pt idx="5">
                  <c:v>2.5428646619682372E-22</c:v>
                </c:pt>
                <c:pt idx="6">
                  <c:v>4.1485504275927693E-9</c:v>
                </c:pt>
                <c:pt idx="7">
                  <c:v>7.8076222991990671E-2</c:v>
                </c:pt>
                <c:pt idx="8">
                  <c:v>12.583769595744091</c:v>
                </c:pt>
                <c:pt idx="9">
                  <c:v>9.0779847878895939E-2</c:v>
                </c:pt>
                <c:pt idx="10">
                  <c:v>1.1605071748502548E-7</c:v>
                </c:pt>
                <c:pt idx="11">
                  <c:v>8.3343586440514984E-17</c:v>
                </c:pt>
                <c:pt idx="12">
                  <c:v>8.9080018831278691E-29</c:v>
                </c:pt>
                <c:pt idx="13">
                  <c:v>3.2429241531837676E-43</c:v>
                </c:pt>
                <c:pt idx="14">
                  <c:v>8.1598351874678694E-60</c:v>
                </c:pt>
                <c:pt idx="15">
                  <c:v>2.6068594388526021E-78</c:v>
                </c:pt>
                <c:pt idx="16">
                  <c:v>1.7877576190838229E-98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BE-4C7E-8598-BA41840326D5}"/>
            </c:ext>
          </c:extLst>
        </c:ser>
        <c:ser>
          <c:idx val="1"/>
          <c:order val="1"/>
          <c:tx>
            <c:strRef>
              <c:f>Foglio1!$AF$41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Foglio1!$AD$42:$AD$58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Foglio1!$AF$42:$AF$58</c:f>
              <c:numCache>
                <c:formatCode>General</c:formatCode>
                <c:ptCount val="17"/>
                <c:pt idx="0">
                  <c:v>5.0080789535908853E-112</c:v>
                </c:pt>
                <c:pt idx="1">
                  <c:v>2.0431484016888389E-79</c:v>
                </c:pt>
                <c:pt idx="2">
                  <c:v>3.4812516140436745E-54</c:v>
                </c:pt>
                <c:pt idx="3">
                  <c:v>5.5446910078572016E-35</c:v>
                </c:pt>
                <c:pt idx="4">
                  <c:v>9.1953239259466592E-21</c:v>
                </c:pt>
                <c:pt idx="5">
                  <c:v>1.0604728935673611E-10</c:v>
                </c:pt>
                <c:pt idx="6">
                  <c:v>3.875652802050222E-4</c:v>
                </c:pt>
                <c:pt idx="7">
                  <c:v>1.5295516875513984</c:v>
                </c:pt>
                <c:pt idx="8">
                  <c:v>17.751148118577877</c:v>
                </c:pt>
                <c:pt idx="9">
                  <c:v>1.3843137123646245</c:v>
                </c:pt>
                <c:pt idx="10">
                  <c:v>1.4428054853244728E-3</c:v>
                </c:pt>
                <c:pt idx="11">
                  <c:v>3.5771400260211815E-8</c:v>
                </c:pt>
                <c:pt idx="12">
                  <c:v>3.4327647221119464E-14</c:v>
                </c:pt>
                <c:pt idx="13">
                  <c:v>1.9283991961946362E-21</c:v>
                </c:pt>
                <c:pt idx="14">
                  <c:v>9.0315209945902246E-30</c:v>
                </c:pt>
                <c:pt idx="15">
                  <c:v>4.7785461139435402E-39</c:v>
                </c:pt>
                <c:pt idx="16">
                  <c:v>3.7132255085656971E-49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BE-4C7E-8598-BA41840326D5}"/>
            </c:ext>
          </c:extLst>
        </c:ser>
        <c:ser>
          <c:idx val="2"/>
          <c:order val="2"/>
          <c:tx>
            <c:strRef>
              <c:f>Foglio1!$AG$41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Foglio1!$AD$42:$AD$58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Foglio1!$AG$42:$AG$58</c:f>
              <c:numCache>
                <c:formatCode>General</c:formatCode>
                <c:ptCount val="17"/>
                <c:pt idx="0">
                  <c:v>3.6471989721028159E-74</c:v>
                </c:pt>
                <c:pt idx="1">
                  <c:v>1.8273545951070782E-52</c:v>
                </c:pt>
                <c:pt idx="2">
                  <c:v>1.1097650246373847E-35</c:v>
                </c:pt>
                <c:pt idx="3">
                  <c:v>6.481893576659429E-23</c:v>
                </c:pt>
                <c:pt idx="4">
                  <c:v>1.8146582241494381E-13</c:v>
                </c:pt>
                <c:pt idx="5">
                  <c:v>8.6304367148573354E-7</c:v>
                </c:pt>
                <c:pt idx="6">
                  <c:v>1.9155880507848232E-2</c:v>
                </c:pt>
                <c:pt idx="7">
                  <c:v>4.491454830130003</c:v>
                </c:pt>
                <c:pt idx="8">
                  <c:v>21.685666245713325</c:v>
                </c:pt>
                <c:pt idx="9">
                  <c:v>3.7393028098631831</c:v>
                </c:pt>
                <c:pt idx="10">
                  <c:v>3.6408450370398776E-2</c:v>
                </c:pt>
                <c:pt idx="11">
                  <c:v>2.9392167754754138E-5</c:v>
                </c:pt>
                <c:pt idx="12">
                  <c:v>2.721069969980027E-9</c:v>
                </c:pt>
                <c:pt idx="13">
                  <c:v>3.80561412409142E-14</c:v>
                </c:pt>
                <c:pt idx="14">
                  <c:v>1.0176423146099912E-19</c:v>
                </c:pt>
                <c:pt idx="15">
                  <c:v>6.3703446398039623E-26</c:v>
                </c:pt>
                <c:pt idx="16">
                  <c:v>1.1118340736315355E-32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BE-4C7E-8598-BA41840326D5}"/>
            </c:ext>
          </c:extLst>
        </c:ser>
        <c:ser>
          <c:idx val="3"/>
          <c:order val="3"/>
          <c:tx>
            <c:strRef>
              <c:f>Foglio1!$AH$41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Foglio1!$AD$42:$AD$58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Foglio1!$AH$42:$AH$58</c:f>
              <c:numCache>
                <c:formatCode>General</c:formatCode>
                <c:ptCount val="17"/>
                <c:pt idx="0">
                  <c:v>3.2433999170986793E-55</c:v>
                </c:pt>
                <c:pt idx="1">
                  <c:v>5.6948355562841784E-39</c:v>
                </c:pt>
                <c:pt idx="2">
                  <c:v>2.0647893089183854E-26</c:v>
                </c:pt>
                <c:pt idx="3">
                  <c:v>7.3031642726997771E-17</c:v>
                </c:pt>
                <c:pt idx="4">
                  <c:v>8.4005098448923495E-10</c:v>
                </c:pt>
                <c:pt idx="5">
                  <c:v>8.1132764072720318E-5</c:v>
                </c:pt>
                <c:pt idx="6">
                  <c:v>0.14033876374550142</c:v>
                </c:pt>
                <c:pt idx="7">
                  <c:v>8.0203879428807348</c:v>
                </c:pt>
                <c:pt idx="8">
                  <c:v>24.977147001014568</c:v>
                </c:pt>
                <c:pt idx="9">
                  <c:v>6.4042104214703253</c:v>
                </c:pt>
                <c:pt idx="10">
                  <c:v>0.19058832765640238</c:v>
                </c:pt>
                <c:pt idx="11">
                  <c:v>8.7796328686734764E-4</c:v>
                </c:pt>
                <c:pt idx="12">
                  <c:v>7.9833366699794244E-7</c:v>
                </c:pt>
                <c:pt idx="13">
                  <c:v>1.7617146022235449E-10</c:v>
                </c:pt>
                <c:pt idx="14">
                  <c:v>1.1256650632768385E-14</c:v>
                </c:pt>
                <c:pt idx="15">
                  <c:v>2.4237811397899738E-19</c:v>
                </c:pt>
                <c:pt idx="16">
                  <c:v>2.0048468666146725E-24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BE-4C7E-8598-BA41840326D5}"/>
            </c:ext>
          </c:extLst>
        </c:ser>
        <c:ser>
          <c:idx val="4"/>
          <c:order val="4"/>
          <c:tx>
            <c:strRef>
              <c:f>Foglio1!$AI$41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Foglio1!$AD$42:$AD$58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Foglio1!$AI$42:$AI$58</c:f>
              <c:numCache>
                <c:formatCode>General</c:formatCode>
                <c:ptCount val="17"/>
                <c:pt idx="0">
                  <c:v>7.7796272758719443E-44</c:v>
                </c:pt>
                <c:pt idx="1">
                  <c:v>7.2813157647591965E-31</c:v>
                </c:pt>
                <c:pt idx="2">
                  <c:v>7.7125187140438926E-21</c:v>
                </c:pt>
                <c:pt idx="3">
                  <c:v>3.1998545349573048E-13</c:v>
                </c:pt>
                <c:pt idx="4">
                  <c:v>1.3619017871160354E-7</c:v>
                </c:pt>
                <c:pt idx="5">
                  <c:v>1.269486345996779E-3</c:v>
                </c:pt>
                <c:pt idx="6">
                  <c:v>0.47493767856929103</c:v>
                </c:pt>
                <c:pt idx="7">
                  <c:v>11.636276737342142</c:v>
                </c:pt>
                <c:pt idx="8">
                  <c:v>27.854702761735147</c:v>
                </c:pt>
                <c:pt idx="9">
                  <c:v>9.0615862729007901</c:v>
                </c:pt>
                <c:pt idx="10">
                  <c:v>0.52718910249272966</c:v>
                </c:pt>
                <c:pt idx="11">
                  <c:v>6.904891535181347E-3</c:v>
                </c:pt>
                <c:pt idx="12">
                  <c:v>2.4727769737659739E-5</c:v>
                </c:pt>
                <c:pt idx="13">
                  <c:v>2.856115056653951E-8</c:v>
                </c:pt>
                <c:pt idx="14">
                  <c:v>1.2252684979437271E-11</c:v>
                </c:pt>
                <c:pt idx="15">
                  <c:v>2.2040698208149509E-15</c:v>
                </c:pt>
                <c:pt idx="16">
                  <c:v>1.846033612980713E-19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BE-4C7E-8598-BA41840326D5}"/>
            </c:ext>
          </c:extLst>
        </c:ser>
        <c:ser>
          <c:idx val="5"/>
          <c:order val="5"/>
          <c:tx>
            <c:strRef>
              <c:f>Foglio1!$AJ$41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Foglio1!$AD$42:$AD$58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Foglio1!$AJ$42:$AJ$58</c:f>
              <c:numCache>
                <c:formatCode>General</c:formatCode>
                <c:ptCount val="17"/>
                <c:pt idx="0">
                  <c:v>3.0515360086045999E-36</c:v>
                </c:pt>
                <c:pt idx="1">
                  <c:v>1.8776580327831969E-25</c:v>
                </c:pt>
                <c:pt idx="2">
                  <c:v>4.0644090110119284E-17</c:v>
                </c:pt>
                <c:pt idx="3">
                  <c:v>8.7055696809094287E-11</c:v>
                </c:pt>
                <c:pt idx="4">
                  <c:v>4.1142758098627221E-6</c:v>
                </c:pt>
                <c:pt idx="5">
                  <c:v>8.0693160357619559E-3</c:v>
                </c:pt>
                <c:pt idx="6">
                  <c:v>1.0877525923178075</c:v>
                </c:pt>
                <c:pt idx="7">
                  <c:v>15.152373528230443</c:v>
                </c:pt>
                <c:pt idx="8">
                  <c:v>30.436158955047052</c:v>
                </c:pt>
                <c:pt idx="9">
                  <c:v>11.604261404181488</c:v>
                </c:pt>
                <c:pt idx="10">
                  <c:v>1.0555221641510024</c:v>
                </c:pt>
                <c:pt idx="11">
                  <c:v>2.7745850831021743E-2</c:v>
                </c:pt>
                <c:pt idx="12">
                  <c:v>2.4780275645177387E-4</c:v>
                </c:pt>
                <c:pt idx="13">
                  <c:v>8.6282617432051155E-7</c:v>
                </c:pt>
                <c:pt idx="14">
                  <c:v>1.3173469517374164E-9</c:v>
                </c:pt>
                <c:pt idx="15">
                  <c:v>9.7566523011235897E-13</c:v>
                </c:pt>
                <c:pt idx="16">
                  <c:v>3.824717703966796E-16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BE-4C7E-8598-BA41840326D5}"/>
            </c:ext>
          </c:extLst>
        </c:ser>
        <c:ser>
          <c:idx val="6"/>
          <c:order val="6"/>
          <c:tx>
            <c:strRef>
              <c:f>Foglio1!$AK$41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Foglio1!$AD$42:$AD$58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Foglio1!$AK$42:$AK$58</c:f>
              <c:numCache>
                <c:formatCode>General</c:formatCode>
                <c:ptCount val="17"/>
                <c:pt idx="0">
                  <c:v>8.1916240049176006E-31</c:v>
                </c:pt>
                <c:pt idx="1">
                  <c:v>1.3924744749363558E-21</c:v>
                </c:pt>
                <c:pt idx="2">
                  <c:v>1.8720054399945065E-14</c:v>
                </c:pt>
                <c:pt idx="3">
                  <c:v>4.8275337111328201E-9</c:v>
                </c:pt>
                <c:pt idx="4">
                  <c:v>4.7470301194506034E-5</c:v>
                </c:pt>
                <c:pt idx="5">
                  <c:v>3.0580001955184486E-2</c:v>
                </c:pt>
                <c:pt idx="6">
                  <c:v>1.9882784452336804</c:v>
                </c:pt>
                <c:pt idx="7">
                  <c:v>18.504003054306274</c:v>
                </c:pt>
                <c:pt idx="8">
                  <c:v>32.791699876266655</c:v>
                </c:pt>
                <c:pt idx="9">
                  <c:v>14.003015218411742</c:v>
                </c:pt>
                <c:pt idx="10">
                  <c:v>1.7526914040661699</c:v>
                </c:pt>
                <c:pt idx="11">
                  <c:v>7.5776811550986659E-2</c:v>
                </c:pt>
                <c:pt idx="12">
                  <c:v>1.2999604123168573E-3</c:v>
                </c:pt>
                <c:pt idx="13">
                  <c:v>9.9552437090659424E-6</c:v>
                </c:pt>
                <c:pt idx="14">
                  <c:v>3.7638272109399166E-8</c:v>
                </c:pt>
                <c:pt idx="15">
                  <c:v>7.6601104748179995E-11</c:v>
                </c:pt>
                <c:pt idx="16">
                  <c:v>9.0429075730335159E-14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BE-4C7E-8598-BA41840326D5}"/>
            </c:ext>
          </c:extLst>
        </c:ser>
        <c:ser>
          <c:idx val="7"/>
          <c:order val="7"/>
          <c:tx>
            <c:strRef>
              <c:f>Foglio1!$AL$41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Foglio1!$AD$42:$AD$58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Foglio1!$AL$42:$AL$58</c:f>
              <c:numCache>
                <c:formatCode>General</c:formatCode>
                <c:ptCount val="17"/>
                <c:pt idx="0">
                  <c:v>9.741475522216334E-27</c:v>
                </c:pt>
                <c:pt idx="1">
                  <c:v>1.1220995829990245E-18</c:v>
                </c:pt>
                <c:pt idx="2">
                  <c:v>1.876745929230394E-12</c:v>
                </c:pt>
                <c:pt idx="3">
                  <c:v>9.8920773801048415E-8</c:v>
                </c:pt>
                <c:pt idx="4">
                  <c:v>2.9966396836252204E-4</c:v>
                </c:pt>
                <c:pt idx="5">
                  <c:v>8.3753737625620578E-2</c:v>
                </c:pt>
                <c:pt idx="6">
                  <c:v>3.1517634355565813</c:v>
                </c:pt>
                <c:pt idx="7">
                  <c:v>21.675571632215437</c:v>
                </c:pt>
                <c:pt idx="8">
                  <c:v>34.967178945798814</c:v>
                </c:pt>
                <c:pt idx="9">
                  <c:v>16.257011174434577</c:v>
                </c:pt>
                <c:pt idx="10">
                  <c:v>2.5852356238396892</c:v>
                </c:pt>
                <c:pt idx="11">
                  <c:v>0.16233274719119511</c:v>
                </c:pt>
                <c:pt idx="12">
                  <c:v>4.5437478512025771E-3</c:v>
                </c:pt>
                <c:pt idx="13">
                  <c:v>6.2844089057939392E-5</c:v>
                </c:pt>
                <c:pt idx="14">
                  <c:v>4.6902166951920453E-7</c:v>
                </c:pt>
                <c:pt idx="15">
                  <c:v>2.0372849978770295E-9</c:v>
                </c:pt>
                <c:pt idx="16">
                  <c:v>5.498012485516911E-12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BE-4C7E-8598-BA41840326D5}"/>
            </c:ext>
          </c:extLst>
        </c:ser>
        <c:ser>
          <c:idx val="8"/>
          <c:order val="8"/>
          <c:tx>
            <c:strRef>
              <c:f>Foglio1!$AM$41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Foglio1!$AD$42:$AD$58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Foglio1!$AM$42:$AM$58</c:f>
              <c:numCache>
                <c:formatCode>General</c:formatCode>
                <c:ptCount val="17"/>
                <c:pt idx="0">
                  <c:v>1.4489281862988075E-23</c:v>
                </c:pt>
                <c:pt idx="1">
                  <c:v>2.0569468529196661E-16</c:v>
                </c:pt>
                <c:pt idx="2">
                  <c:v>6.8013461312950673E-11</c:v>
                </c:pt>
                <c:pt idx="3">
                  <c:v>1.0427278593322643E-6</c:v>
                </c:pt>
                <c:pt idx="4">
                  <c:v>1.2641587169712617E-3</c:v>
                </c:pt>
                <c:pt idx="5">
                  <c:v>0.18454971987628208</c:v>
                </c:pt>
                <c:pt idx="6">
                  <c:v>4.5388741792401737</c:v>
                </c:pt>
                <c:pt idx="7">
                  <c:v>24.671026854396459</c:v>
                </c:pt>
                <c:pt idx="8">
                  <c:v>36.994532999413366</c:v>
                </c:pt>
                <c:pt idx="9">
                  <c:v>18.375329707630925</c:v>
                </c:pt>
                <c:pt idx="10">
                  <c:v>3.5201763898979972</c:v>
                </c:pt>
                <c:pt idx="11">
                  <c:v>0.29548053132976188</c:v>
                </c:pt>
                <c:pt idx="12">
                  <c:v>1.2103295089623444E-2</c:v>
                </c:pt>
                <c:pt idx="13">
                  <c:v>2.6511329816136808E-4</c:v>
                </c:pt>
                <c:pt idx="14">
                  <c:v>3.3579729228797997E-6</c:v>
                </c:pt>
                <c:pt idx="15">
                  <c:v>2.6304021000805004E-8</c:v>
                </c:pt>
                <c:pt idx="16">
                  <c:v>1.350396186323863E-10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BE-4C7E-8598-BA41840326D5}"/>
            </c:ext>
          </c:extLst>
        </c:ser>
        <c:ser>
          <c:idx val="9"/>
          <c:order val="9"/>
          <c:tx>
            <c:strRef>
              <c:f>Foglio1!$AN$41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Foglio1!$AD$42:$AD$58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Foglio1!$AN$42:$AN$58</c:f>
              <c:numCache>
                <c:formatCode>General</c:formatCode>
                <c:ptCount val="17"/>
                <c:pt idx="0">
                  <c:v>5.0255364760857769E-21</c:v>
                </c:pt>
                <c:pt idx="1">
                  <c:v>1.3365163655468872E-14</c:v>
                </c:pt>
                <c:pt idx="2">
                  <c:v>1.2082151244066692E-9</c:v>
                </c:pt>
                <c:pt idx="3">
                  <c:v>6.8972446260957042E-6</c:v>
                </c:pt>
                <c:pt idx="4">
                  <c:v>4.0191400536374895E-3</c:v>
                </c:pt>
                <c:pt idx="5">
                  <c:v>0.34897845821574625</c:v>
                </c:pt>
                <c:pt idx="6">
                  <c:v>6.1074742355621767</c:v>
                </c:pt>
                <c:pt idx="7">
                  <c:v>27.501629935949271</c:v>
                </c:pt>
                <c:pt idx="8">
                  <c:v>38.897078803674944</c:v>
                </c:pt>
                <c:pt idx="9">
                  <c:v>20.369884380527246</c:v>
                </c:pt>
                <c:pt idx="10">
                  <c:v>4.5291190419256946</c:v>
                </c:pt>
                <c:pt idx="11">
                  <c:v>0.47954010314112577</c:v>
                </c:pt>
                <c:pt idx="12">
                  <c:v>2.6637472595560204E-2</c:v>
                </c:pt>
                <c:pt idx="13">
                  <c:v>8.4287476017658896E-4</c:v>
                </c:pt>
                <c:pt idx="14">
                  <c:v>1.629980804230967E-5</c:v>
                </c:pt>
                <c:pt idx="15">
                  <c:v>2.0464272098650974E-7</c:v>
                </c:pt>
                <c:pt idx="16">
                  <c:v>1.7573710279176027E-9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BE-4C7E-8598-BA41840326D5}"/>
            </c:ext>
          </c:extLst>
        </c:ser>
        <c:ser>
          <c:idx val="10"/>
          <c:order val="10"/>
          <c:tx>
            <c:strRef>
              <c:f>Foglio1!$AO$41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Foglio1!$AD$42:$AD$58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Foglio1!$AO$42:$AO$58</c:f>
              <c:numCache>
                <c:formatCode>General</c:formatCode>
                <c:ptCount val="17"/>
                <c:pt idx="0">
                  <c:v>1.4904140594479708E-9</c:v>
                </c:pt>
                <c:pt idx="1">
                  <c:v>2.1128524945174249E-6</c:v>
                </c:pt>
                <c:pt idx="2">
                  <c:v>5.5799585913203303E-4</c:v>
                </c:pt>
                <c:pt idx="3">
                  <c:v>3.7364658381935957E-2</c:v>
                </c:pt>
                <c:pt idx="4">
                  <c:v>0.80563718810285745</c:v>
                </c:pt>
                <c:pt idx="5">
                  <c:v>6.7514429458556355</c:v>
                </c:pt>
                <c:pt idx="6">
                  <c:v>25.555644752535155</c:v>
                </c:pt>
                <c:pt idx="7">
                  <c:v>49.333658116012764</c:v>
                </c:pt>
                <c:pt idx="8">
                  <c:v>53.633841658164215</c:v>
                </c:pt>
                <c:pt idx="9">
                  <c:v>35.636366826184464</c:v>
                </c:pt>
                <c:pt idx="10">
                  <c:v>15.489952320090657</c:v>
                </c:pt>
                <c:pt idx="11">
                  <c:v>4.6630670230697024</c:v>
                </c:pt>
                <c:pt idx="12">
                  <c:v>1.0201399126024513</c:v>
                </c:pt>
                <c:pt idx="13">
                  <c:v>0.16895436403042813</c:v>
                </c:pt>
                <c:pt idx="14">
                  <c:v>2.1936674468501369E-2</c:v>
                </c:pt>
                <c:pt idx="15">
                  <c:v>2.3008826437961086E-3</c:v>
                </c:pt>
                <c:pt idx="16">
                  <c:v>2.0007281417499151E-4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BE-4C7E-8598-BA41840326D5}"/>
            </c:ext>
          </c:extLst>
        </c:ser>
        <c:ser>
          <c:idx val="11"/>
          <c:order val="11"/>
          <c:tx>
            <c:strRef>
              <c:f>Foglio1!$AP$41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Foglio1!$AD$42:$AD$58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Foglio1!$AP$42:$AP$58</c:f>
              <c:numCache>
                <c:formatCode>General</c:formatCode>
                <c:ptCount val="17"/>
                <c:pt idx="0">
                  <c:v>1.0663350535882621E-5</c:v>
                </c:pt>
                <c:pt idx="1">
                  <c:v>1.225686460073706E-3</c:v>
                </c:pt>
                <c:pt idx="2">
                  <c:v>4.6274150669306603E-2</c:v>
                </c:pt>
                <c:pt idx="3">
                  <c:v>0.70404657314405528</c:v>
                </c:pt>
                <c:pt idx="4">
                  <c:v>5.0584819437784114</c:v>
                </c:pt>
                <c:pt idx="5">
                  <c:v>19.444995198611231</c:v>
                </c:pt>
                <c:pt idx="6">
                  <c:v>44.181503026914179</c:v>
                </c:pt>
                <c:pt idx="7">
                  <c:v>64.310742831003296</c:v>
                </c:pt>
                <c:pt idx="8">
                  <c:v>64.045918145093665</c:v>
                </c:pt>
                <c:pt idx="9">
                  <c:v>46.068805371153758</c:v>
                </c:pt>
                <c:pt idx="10">
                  <c:v>25.03844998721366</c:v>
                </c:pt>
                <c:pt idx="11">
                  <c:v>10.678226870343947</c:v>
                </c:pt>
                <c:pt idx="12">
                  <c:v>3.6891577386402061</c:v>
                </c:pt>
                <c:pt idx="13">
                  <c:v>1.0608405525358762</c:v>
                </c:pt>
                <c:pt idx="14">
                  <c:v>0.2598436660700274</c:v>
                </c:pt>
                <c:pt idx="15">
                  <c:v>5.5301778845805193E-2</c:v>
                </c:pt>
                <c:pt idx="16">
                  <c:v>1.0403389641721843E-2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BE-4C7E-8598-BA41840326D5}"/>
            </c:ext>
          </c:extLst>
        </c:ser>
        <c:ser>
          <c:idx val="12"/>
          <c:order val="12"/>
          <c:tx>
            <c:strRef>
              <c:f>Foglio1!$AQ$41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Foglio1!$AD$42:$AD$58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Foglio1!$AQ$42:$AQ$58</c:f>
              <c:numCache>
                <c:formatCode>General</c:formatCode>
                <c:ptCount val="17"/>
                <c:pt idx="0">
                  <c:v>9.2925963685156052E-4</c:v>
                </c:pt>
                <c:pt idx="1">
                  <c:v>3.0414767965473582E-2</c:v>
                </c:pt>
                <c:pt idx="2">
                  <c:v>0.4341524042944141</c:v>
                </c:pt>
                <c:pt idx="3">
                  <c:v>3.148629712907304</c:v>
                </c:pt>
                <c:pt idx="4">
                  <c:v>13.059019419386821</c:v>
                </c:pt>
                <c:pt idx="5">
                  <c:v>33.998790971782284</c:v>
                </c:pt>
                <c:pt idx="6">
                  <c:v>59.85043649707535</c:v>
                </c:pt>
                <c:pt idx="7">
                  <c:v>75.649078664943588</c:v>
                </c:pt>
                <c:pt idx="8">
                  <c:v>72.105392492329585</c:v>
                </c:pt>
                <c:pt idx="9">
                  <c:v>53.965192357993637</c:v>
                </c:pt>
                <c:pt idx="10">
                  <c:v>32.797152097068519</c:v>
                </c:pt>
                <c:pt idx="11">
                  <c:v>16.648031949459131</c:v>
                </c:pt>
                <c:pt idx="12">
                  <c:v>7.2278807985848728</c:v>
                </c:pt>
                <c:pt idx="13">
                  <c:v>2.7386748693405898</c:v>
                </c:pt>
                <c:pt idx="14">
                  <c:v>0.92136735602963382</c:v>
                </c:pt>
                <c:pt idx="15">
                  <c:v>0.27932604462905736</c:v>
                </c:pt>
                <c:pt idx="16">
                  <c:v>7.7289103610339915E-2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BE-4C7E-8598-BA41840326D5}"/>
            </c:ext>
          </c:extLst>
        </c:ser>
        <c:ser>
          <c:idx val="13"/>
          <c:order val="13"/>
          <c:tx>
            <c:strRef>
              <c:f>Foglio1!$AR$41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Foglio1!$AD$42:$AD$58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Foglio1!$AR$42:$AR$58</c:f>
              <c:numCache>
                <c:formatCode>General</c:formatCode>
                <c:ptCount val="17"/>
                <c:pt idx="0">
                  <c:v>1.3767632349989062E-2</c:v>
                </c:pt>
                <c:pt idx="1">
                  <c:v>0.21207219569305943</c:v>
                </c:pt>
                <c:pt idx="2">
                  <c:v>1.6888870934693954</c:v>
                </c:pt>
                <c:pt idx="3">
                  <c:v>7.852534690418997</c:v>
                </c:pt>
                <c:pt idx="4">
                  <c:v>23.421836216512464</c:v>
                </c:pt>
                <c:pt idx="5">
                  <c:v>48.265077423782351</c:v>
                </c:pt>
                <c:pt idx="6">
                  <c:v>72.902022594885224</c:v>
                </c:pt>
                <c:pt idx="7">
                  <c:v>84.662651787363259</c:v>
                </c:pt>
                <c:pt idx="8">
                  <c:v>78.601289802415735</c:v>
                </c:pt>
                <c:pt idx="9">
                  <c:v>60.244020920976638</c:v>
                </c:pt>
                <c:pt idx="10">
                  <c:v>39.151599007727796</c:v>
                </c:pt>
                <c:pt idx="11">
                  <c:v>22.062631372315423</c:v>
                </c:pt>
                <c:pt idx="12">
                  <c:v>10.985944217961457</c:v>
                </c:pt>
                <c:pt idx="13">
                  <c:v>4.9119150665131581</c:v>
                </c:pt>
                <c:pt idx="14">
                  <c:v>1.9991316126219549</c:v>
                </c:pt>
                <c:pt idx="15">
                  <c:v>0.74939533249316281</c:v>
                </c:pt>
                <c:pt idx="16">
                  <c:v>0.26137284664069321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BE-4C7E-8598-BA41840326D5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03741248"/>
        <c:axId val="603745928"/>
        <c:axId val="599705608"/>
      </c:surface3DChart>
      <c:catAx>
        <c:axId val="603741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03745928"/>
        <c:crosses val="autoZero"/>
        <c:auto val="1"/>
        <c:lblAlgn val="ctr"/>
        <c:lblOffset val="100"/>
        <c:noMultiLvlLbl val="0"/>
      </c:catAx>
      <c:valAx>
        <c:axId val="603745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03741248"/>
        <c:crosses val="autoZero"/>
        <c:crossBetween val="midCat"/>
      </c:valAx>
      <c:serAx>
        <c:axId val="59970560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0374592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l-GR">
                <a:latin typeface="Arial" panose="020B0604020202020204" pitchFamily="34" charset="0"/>
                <a:cs typeface="Arial" panose="020B0604020202020204" pitchFamily="34" charset="0"/>
              </a:rPr>
              <a:t>Θ</a:t>
            </a:r>
            <a:r>
              <a:rPr lang="it-IT">
                <a:latin typeface="Arial" panose="020B0604020202020204" pitchFamily="34" charset="0"/>
                <a:cs typeface="Arial" panose="020B0604020202020204" pitchFamily="34" charset="0"/>
              </a:rPr>
              <a:t> parameter, </a:t>
            </a:r>
            <a:r>
              <a:rPr lang="el-GR">
                <a:latin typeface="Arial" panose="020B0604020202020204" pitchFamily="34" charset="0"/>
                <a:cs typeface="Arial" panose="020B0604020202020204" pitchFamily="34" charset="0"/>
              </a:rPr>
              <a:t>σ</a:t>
            </a:r>
            <a:r>
              <a:rPr lang="it-IT">
                <a:latin typeface="Arial" panose="020B0604020202020204" pitchFamily="34" charset="0"/>
                <a:cs typeface="Arial" panose="020B0604020202020204" pitchFamily="34" charset="0"/>
              </a:rPr>
              <a:t>=5%</a:t>
            </a:r>
            <a:endParaRPr lang="it-IT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1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Foglio1!$AE$61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Foglio1!$AD$62:$AD$78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Foglio1!$AE$62:$AE$78</c:f>
              <c:numCache>
                <c:formatCode>General</c:formatCode>
                <c:ptCount val="17"/>
                <c:pt idx="0">
                  <c:v>-4.2059867871165789E-226</c:v>
                </c:pt>
                <c:pt idx="1">
                  <c:v>-9.2705917460249925E-161</c:v>
                </c:pt>
                <c:pt idx="2">
                  <c:v>-3.4917365233410273E-110</c:v>
                </c:pt>
                <c:pt idx="3">
                  <c:v>-1.1292130799876139E-71</c:v>
                </c:pt>
                <c:pt idx="4">
                  <c:v>-3.9004789717063164E-43</c:v>
                </c:pt>
                <c:pt idx="5">
                  <c:v>-6.4350860645591941E-23</c:v>
                </c:pt>
                <c:pt idx="6">
                  <c:v>-1.0565634064086277E-9</c:v>
                </c:pt>
                <c:pt idx="7">
                  <c:v>-2.0232830799657913E-2</c:v>
                </c:pt>
                <c:pt idx="8">
                  <c:v>-3.6674867398005797</c:v>
                </c:pt>
                <c:pt idx="9">
                  <c:v>-1.0208547324446342</c:v>
                </c:pt>
                <c:pt idx="10">
                  <c:v>-0.99900052825791863</c:v>
                </c:pt>
                <c:pt idx="11">
                  <c:v>-0.99900049983337502</c:v>
                </c:pt>
                <c:pt idx="12">
                  <c:v>-0.99900049983337502</c:v>
                </c:pt>
                <c:pt idx="13">
                  <c:v>-0.99900049983337502</c:v>
                </c:pt>
                <c:pt idx="14">
                  <c:v>-0.99900049983337502</c:v>
                </c:pt>
                <c:pt idx="15">
                  <c:v>-0.99900049983337502</c:v>
                </c:pt>
                <c:pt idx="16">
                  <c:v>-0.99900049983337502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6B-4EB4-AB3A-25F8B4865462}"/>
            </c:ext>
          </c:extLst>
        </c:ser>
        <c:ser>
          <c:idx val="1"/>
          <c:order val="1"/>
          <c:tx>
            <c:strRef>
              <c:f>Foglio1!$AF$61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Foglio1!$AD$62:$AD$78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Foglio1!$AF$62:$AF$78</c:f>
              <c:numCache>
                <c:formatCode>General</c:formatCode>
                <c:ptCount val="17"/>
                <c:pt idx="0">
                  <c:v>-6.3091923030401704E-113</c:v>
                </c:pt>
                <c:pt idx="1">
                  <c:v>-2.5776824339239043E-80</c:v>
                </c:pt>
                <c:pt idx="2">
                  <c:v>-4.4004142171238688E-55</c:v>
                </c:pt>
                <c:pt idx="3">
                  <c:v>-7.027239541141646E-36</c:v>
                </c:pt>
                <c:pt idx="4">
                  <c:v>-1.1699767417377953E-21</c:v>
                </c:pt>
                <c:pt idx="5">
                  <c:v>-1.3579682354337443E-11</c:v>
                </c:pt>
                <c:pt idx="6">
                  <c:v>-5.0238848160538048E-5</c:v>
                </c:pt>
                <c:pt idx="7">
                  <c:v>-0.20452523594889224</c:v>
                </c:pt>
                <c:pt idx="8">
                  <c:v>-2.7490225244980384</c:v>
                </c:pt>
                <c:pt idx="9">
                  <c:v>-1.1591613466690811</c:v>
                </c:pt>
                <c:pt idx="10">
                  <c:v>-0.99817526087825548</c:v>
                </c:pt>
                <c:pt idx="11">
                  <c:v>-0.99800200301531261</c:v>
                </c:pt>
                <c:pt idx="12">
                  <c:v>-0.9980019986673373</c:v>
                </c:pt>
                <c:pt idx="13">
                  <c:v>-0.99800199866733308</c:v>
                </c:pt>
                <c:pt idx="14">
                  <c:v>-0.99800199866733308</c:v>
                </c:pt>
                <c:pt idx="15">
                  <c:v>-0.99800199866733308</c:v>
                </c:pt>
                <c:pt idx="16">
                  <c:v>-0.99800199866733308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6B-4EB4-AB3A-25F8B4865462}"/>
            </c:ext>
          </c:extLst>
        </c:ser>
        <c:ser>
          <c:idx val="2"/>
          <c:order val="2"/>
          <c:tx>
            <c:strRef>
              <c:f>Foglio1!$AG$61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Foglio1!$AD$62:$AD$78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Foglio1!$AG$62:$AG$78</c:f>
              <c:numCache>
                <c:formatCode>General</c:formatCode>
                <c:ptCount val="17"/>
                <c:pt idx="0">
                  <c:v>-3.0751126237387673E-75</c:v>
                </c:pt>
                <c:pt idx="1">
                  <c:v>-1.5440489674003712E-53</c:v>
                </c:pt>
                <c:pt idx="2">
                  <c:v>-9.4038448706099073E-37</c:v>
                </c:pt>
                <c:pt idx="3">
                  <c:v>-5.5142510484957223E-24</c:v>
                </c:pt>
                <c:pt idx="4">
                  <c:v>-1.5527531642566181E-14</c:v>
                </c:pt>
                <c:pt idx="5">
                  <c:v>-7.4546048410215502E-8</c:v>
                </c:pt>
                <c:pt idx="6">
                  <c:v>-1.6839952137930477E-3</c:v>
                </c:pt>
                <c:pt idx="7">
                  <c:v>-0.41194942142177254</c:v>
                </c:pt>
                <c:pt idx="8">
                  <c:v>-2.3437074529464668</c:v>
                </c:pt>
                <c:pt idx="9">
                  <c:v>-1.2784730923376368</c:v>
                </c:pt>
                <c:pt idx="10">
                  <c:v>-0.99986466769791571</c:v>
                </c:pt>
                <c:pt idx="11">
                  <c:v>-0.99700684509574744</c:v>
                </c:pt>
                <c:pt idx="12">
                  <c:v>-0.99700449572292416</c:v>
                </c:pt>
                <c:pt idx="13">
                  <c:v>-0.99700449550337611</c:v>
                </c:pt>
                <c:pt idx="14">
                  <c:v>-0.997004495503373</c:v>
                </c:pt>
                <c:pt idx="15">
                  <c:v>-0.997004495503373</c:v>
                </c:pt>
                <c:pt idx="16">
                  <c:v>-0.997004495503373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6B-4EB4-AB3A-25F8B4865462}"/>
            </c:ext>
          </c:extLst>
        </c:ser>
        <c:ser>
          <c:idx val="3"/>
          <c:order val="3"/>
          <c:tx>
            <c:strRef>
              <c:f>Foglio1!$AH$61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Foglio1!$AD$62:$AD$78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Foglio1!$AH$62:$AH$78</c:f>
              <c:numCache>
                <c:formatCode>General</c:formatCode>
                <c:ptCount val="17"/>
                <c:pt idx="0">
                  <c:v>-2.0589678340577772E-56</c:v>
                </c:pt>
                <c:pt idx="1">
                  <c:v>-3.625553155961432E-40</c:v>
                </c:pt>
                <c:pt idx="2">
                  <c:v>-1.3194962049995175E-27</c:v>
                </c:pt>
                <c:pt idx="3">
                  <c:v>-4.6914367829628369E-18</c:v>
                </c:pt>
                <c:pt idx="4">
                  <c:v>-5.4378093755635159E-11</c:v>
                </c:pt>
                <c:pt idx="5">
                  <c:v>-5.3168227315841165E-6</c:v>
                </c:pt>
                <c:pt idx="6">
                  <c:v>-9.4070943920768618E-3</c:v>
                </c:pt>
                <c:pt idx="7">
                  <c:v>-0.56636217448244208</c:v>
                </c:pt>
                <c:pt idx="8">
                  <c:v>-2.1029646100652775</c:v>
                </c:pt>
                <c:pt idx="9">
                  <c:v>-1.3473587276282515</c:v>
                </c:pt>
                <c:pt idx="10">
                  <c:v>-1.0070332361339018</c:v>
                </c:pt>
                <c:pt idx="11">
                  <c:v>-0.99605992936727905</c:v>
                </c:pt>
                <c:pt idx="12">
                  <c:v>-0.99600803714918817</c:v>
                </c:pt>
                <c:pt idx="13">
                  <c:v>-0.99600798935462076</c:v>
                </c:pt>
                <c:pt idx="14">
                  <c:v>-0.99600798934399215</c:v>
                </c:pt>
                <c:pt idx="15">
                  <c:v>-0.99600798934399148</c:v>
                </c:pt>
                <c:pt idx="16">
                  <c:v>-0.99600798934399148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56B-4EB4-AB3A-25F8B4865462}"/>
            </c:ext>
          </c:extLst>
        </c:ser>
        <c:ser>
          <c:idx val="4"/>
          <c:order val="4"/>
          <c:tx>
            <c:strRef>
              <c:f>Foglio1!$AI$61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Foglio1!$AD$62:$AD$78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Foglio1!$AI$62:$AI$78</c:f>
              <c:numCache>
                <c:formatCode>General</c:formatCode>
                <c:ptCount val="17"/>
                <c:pt idx="0">
                  <c:v>-3.9662500622814378E-45</c:v>
                </c:pt>
                <c:pt idx="1">
                  <c:v>-3.7254623207453593E-32</c:v>
                </c:pt>
                <c:pt idx="2">
                  <c:v>-3.964648248452918E-22</c:v>
                </c:pt>
                <c:pt idx="3">
                  <c:v>-1.6555592174444793E-14</c:v>
                </c:pt>
                <c:pt idx="4">
                  <c:v>-7.1132109516294027E-9</c:v>
                </c:pt>
                <c:pt idx="5">
                  <c:v>-6.7311826817602943E-5</c:v>
                </c:pt>
                <c:pt idx="6">
                  <c:v>-2.5879233594430819E-2</c:v>
                </c:pt>
                <c:pt idx="7">
                  <c:v>-0.67359986807647232</c:v>
                </c:pt>
                <c:pt idx="8">
                  <c:v>-1.9392366774845227</c:v>
                </c:pt>
                <c:pt idx="9">
                  <c:v>-1.3820981571980919</c:v>
                </c:pt>
                <c:pt idx="10">
                  <c:v>-1.0189791713749241</c:v>
                </c:pt>
                <c:pt idx="11">
                  <c:v>-0.99533500858476542</c:v>
                </c:pt>
                <c:pt idx="12">
                  <c:v>-0.99501365151313415</c:v>
                </c:pt>
                <c:pt idx="13">
                  <c:v>-0.99501248055939051</c:v>
                </c:pt>
                <c:pt idx="14">
                  <c:v>-0.9950124791932724</c:v>
                </c:pt>
                <c:pt idx="15">
                  <c:v>-0.99501247919268243</c:v>
                </c:pt>
                <c:pt idx="16">
                  <c:v>-0.99501247919268232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6B-4EB4-AB3A-25F8B4865462}"/>
            </c:ext>
          </c:extLst>
        </c:ser>
        <c:ser>
          <c:idx val="5"/>
          <c:order val="5"/>
          <c:tx>
            <c:strRef>
              <c:f>Foglio1!$AJ$61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Foglio1!$AD$62:$AD$78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Foglio1!$AJ$62:$AJ$78</c:f>
              <c:numCache>
                <c:formatCode>General</c:formatCode>
                <c:ptCount val="17"/>
                <c:pt idx="0">
                  <c:v>-1.3014780942494441E-37</c:v>
                </c:pt>
                <c:pt idx="1">
                  <c:v>-8.042415486532321E-27</c:v>
                </c:pt>
                <c:pt idx="2">
                  <c:v>-1.7506531045238424E-18</c:v>
                </c:pt>
                <c:pt idx="3">
                  <c:v>-3.7786903769761811E-12</c:v>
                </c:pt>
                <c:pt idx="4">
                  <c:v>-1.8059548512341664E-7</c:v>
                </c:pt>
                <c:pt idx="5">
                  <c:v>-3.6054157680842403E-4</c:v>
                </c:pt>
                <c:pt idx="6">
                  <c:v>-5.0165061022886467E-2</c:v>
                </c:pt>
                <c:pt idx="7">
                  <c:v>-0.74790023096409197</c:v>
                </c:pt>
                <c:pt idx="8">
                  <c:v>-1.8187729896474378</c:v>
                </c:pt>
                <c:pt idx="9">
                  <c:v>-1.396555126403908</c:v>
                </c:pt>
                <c:pt idx="10">
                  <c:v>-1.0333166332151222</c:v>
                </c:pt>
                <c:pt idx="11">
                  <c:v>-0.99508409494898353</c:v>
                </c:pt>
                <c:pt idx="12">
                  <c:v>-0.99402765377330116</c:v>
                </c:pt>
                <c:pt idx="13">
                  <c:v>-0.99401799816631953</c:v>
                </c:pt>
                <c:pt idx="14">
                  <c:v>-0.99401796410641208</c:v>
                </c:pt>
                <c:pt idx="15">
                  <c:v>-0.99401796405397436</c:v>
                </c:pt>
                <c:pt idx="16">
                  <c:v>-0.99401796405393528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56B-4EB4-AB3A-25F8B4865462}"/>
            </c:ext>
          </c:extLst>
        </c:ser>
        <c:ser>
          <c:idx val="6"/>
          <c:order val="6"/>
          <c:tx>
            <c:strRef>
              <c:f>Foglio1!$AK$61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Foglio1!$AD$62:$AD$78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Foglio1!$AK$62:$AK$78</c:f>
              <c:numCache>
                <c:formatCode>General</c:formatCode>
                <c:ptCount val="17"/>
                <c:pt idx="0">
                  <c:v>-3.0061868733398582E-32</c:v>
                </c:pt>
                <c:pt idx="1">
                  <c:v>-5.1355288019560332E-23</c:v>
                </c:pt>
                <c:pt idx="2">
                  <c:v>-6.9490929613187894E-16</c:v>
                </c:pt>
                <c:pt idx="3">
                  <c:v>-1.8080692034456397E-10</c:v>
                </c:pt>
                <c:pt idx="4">
                  <c:v>-1.8010587208367459E-6</c:v>
                </c:pt>
                <c:pt idx="5">
                  <c:v>-1.1840470533358207E-3</c:v>
                </c:pt>
                <c:pt idx="6">
                  <c:v>-7.978994465066222E-2</c:v>
                </c:pt>
                <c:pt idx="7">
                  <c:v>-0.80001124957868486</c:v>
                </c:pt>
                <c:pt idx="8">
                  <c:v>-1.7254416652863869</c:v>
                </c:pt>
                <c:pt idx="9">
                  <c:v>-1.3991542155871135</c:v>
                </c:pt>
                <c:pt idx="10">
                  <c:v>-1.048014833020146</c:v>
                </c:pt>
                <c:pt idx="11">
                  <c:v>-0.99548855637610834</c:v>
                </c:pt>
                <c:pt idx="12">
                  <c:v>-0.99306757046757355</c:v>
                </c:pt>
                <c:pt idx="13">
                  <c:v>-0.99302477742723316</c:v>
                </c:pt>
                <c:pt idx="14">
                  <c:v>-0.99302444420895697</c:v>
                </c:pt>
                <c:pt idx="15">
                  <c:v>-0.99302444293584802</c:v>
                </c:pt>
                <c:pt idx="16">
                  <c:v>-0.99302444293323822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56B-4EB4-AB3A-25F8B4865462}"/>
            </c:ext>
          </c:extLst>
        </c:ser>
        <c:ser>
          <c:idx val="7"/>
          <c:order val="7"/>
          <c:tx>
            <c:strRef>
              <c:f>Foglio1!$AL$61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Foglio1!$AD$62:$AD$78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Foglio1!$AL$62:$AL$78</c:f>
              <c:numCache>
                <c:formatCode>General</c:formatCode>
                <c:ptCount val="17"/>
                <c:pt idx="0">
                  <c:v>-3.1401418024876873E-28</c:v>
                </c:pt>
                <c:pt idx="1">
                  <c:v>-3.6375244008261898E-20</c:v>
                </c:pt>
                <c:pt idx="2">
                  <c:v>-6.1289968948178751E-14</c:v>
                </c:pt>
                <c:pt idx="3">
                  <c:v>-3.2633194567560958E-9</c:v>
                </c:pt>
                <c:pt idx="4">
                  <c:v>-1.0031203559688773E-5</c:v>
                </c:pt>
                <c:pt idx="5">
                  <c:v>-2.868336039855591E-3</c:v>
                </c:pt>
                <c:pt idx="6">
                  <c:v>-0.11230611845600198</c:v>
                </c:pt>
                <c:pt idx="7">
                  <c:v>-0.83706133229907453</c:v>
                </c:pt>
                <c:pt idx="8">
                  <c:v>-1.6504350592119721</c:v>
                </c:pt>
                <c:pt idx="9">
                  <c:v>-1.3948029641631166</c:v>
                </c:pt>
                <c:pt idx="10">
                  <c:v>-1.0618320231628859</c:v>
                </c:pt>
                <c:pt idx="11">
                  <c:v>-0.99659300163671871</c:v>
                </c:pt>
                <c:pt idx="12">
                  <c:v>-0.99216248733832701</c:v>
                </c:pt>
                <c:pt idx="13">
                  <c:v>-0.99203374684214718</c:v>
                </c:pt>
                <c:pt idx="14">
                  <c:v>-0.99203192864562362</c:v>
                </c:pt>
                <c:pt idx="15">
                  <c:v>-0.99203191489747522</c:v>
                </c:pt>
                <c:pt idx="16">
                  <c:v>-0.99203191483722475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56B-4EB4-AB3A-25F8B4865462}"/>
            </c:ext>
          </c:extLst>
        </c:ser>
        <c:ser>
          <c:idx val="8"/>
          <c:order val="8"/>
          <c:tx>
            <c:strRef>
              <c:f>Foglio1!$AM$61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Foglio1!$AD$62:$AD$78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Foglio1!$AM$62:$AM$78</c:f>
              <c:numCache>
                <c:formatCode>General</c:formatCode>
                <c:ptCount val="17"/>
                <c:pt idx="0">
                  <c:v>-4.1675948406054471E-25</c:v>
                </c:pt>
                <c:pt idx="1">
                  <c:v>-5.9539814893814182E-18</c:v>
                </c:pt>
                <c:pt idx="2">
                  <c:v>-1.9850479170033812E-12</c:v>
                </c:pt>
                <c:pt idx="3">
                  <c:v>-3.077847244045138E-8</c:v>
                </c:pt>
                <c:pt idx="4">
                  <c:v>-3.7926131485687202E-5</c:v>
                </c:pt>
                <c:pt idx="5">
                  <c:v>-5.678100294402133E-3</c:v>
                </c:pt>
                <c:pt idx="6">
                  <c:v>-0.14583231022885529</c:v>
                </c:pt>
                <c:pt idx="7">
                  <c:v>-0.86370060981046226</c:v>
                </c:pt>
                <c:pt idx="8">
                  <c:v>-1.5884846333118041</c:v>
                </c:pt>
                <c:pt idx="9">
                  <c:v>-1.3863862046118149</c:v>
                </c:pt>
                <c:pt idx="10">
                  <c:v>-1.0741531552880021</c:v>
                </c:pt>
                <c:pt idx="11">
                  <c:v>-0.99832880725716644</c:v>
                </c:pt>
                <c:pt idx="12">
                  <c:v>-0.99134645522239717</c:v>
                </c:pt>
                <c:pt idx="13">
                  <c:v>-0.99104719087462889</c:v>
                </c:pt>
                <c:pt idx="14">
                  <c:v>-0.9910404660129335</c:v>
                </c:pt>
                <c:pt idx="15">
                  <c:v>-0.99104037946179502</c:v>
                </c:pt>
                <c:pt idx="16">
                  <c:v>-0.99104037877644224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6B-4EB4-AB3A-25F8B4865462}"/>
            </c:ext>
          </c:extLst>
        </c:ser>
        <c:ser>
          <c:idx val="9"/>
          <c:order val="9"/>
          <c:tx>
            <c:strRef>
              <c:f>Foglio1!$AN$61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Foglio1!$AD$62:$AD$78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Foglio1!$AN$62:$AN$78</c:f>
              <c:numCache>
                <c:formatCode>General</c:formatCode>
                <c:ptCount val="17"/>
                <c:pt idx="0">
                  <c:v>-1.3059494591972286E-22</c:v>
                </c:pt>
                <c:pt idx="1">
                  <c:v>-3.4974986577189861E-16</c:v>
                </c:pt>
                <c:pt idx="2">
                  <c:v>-3.190785532235883E-11</c:v>
                </c:pt>
                <c:pt idx="3">
                  <c:v>-1.8443073325765811E-7</c:v>
                </c:pt>
                <c:pt idx="4">
                  <c:v>-1.0940844289115166E-4</c:v>
                </c:pt>
                <c:pt idx="5">
                  <c:v>-9.7651795799466173E-3</c:v>
                </c:pt>
                <c:pt idx="6">
                  <c:v>-0.17908829341893112</c:v>
                </c:pt>
                <c:pt idx="7">
                  <c:v>-0.88299829539622154</c:v>
                </c:pt>
                <c:pt idx="8">
                  <c:v>-1.5362209298034017</c:v>
                </c:pt>
                <c:pt idx="9">
                  <c:v>-1.3756331977118625</c:v>
                </c:pt>
                <c:pt idx="10">
                  <c:v>-1.0847563166258312</c:v>
                </c:pt>
                <c:pt idx="11">
                  <c:v>-1.0005652991434515</c:v>
                </c:pt>
                <c:pt idx="12">
                  <c:v>-0.99065009092283829</c:v>
                </c:pt>
                <c:pt idx="13">
                  <c:v>-0.99006916304966053</c:v>
                </c:pt>
                <c:pt idx="14">
                  <c:v>-0.9900502121161765</c:v>
                </c:pt>
                <c:pt idx="15">
                  <c:v>-0.99004983854201911</c:v>
                </c:pt>
                <c:pt idx="16">
                  <c:v>-0.99004983379060751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56B-4EB4-AB3A-25F8B4865462}"/>
            </c:ext>
          </c:extLst>
        </c:ser>
        <c:ser>
          <c:idx val="10"/>
          <c:order val="10"/>
          <c:tx>
            <c:strRef>
              <c:f>Foglio1!$AO$61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Foglio1!$AD$62:$AD$78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Foglio1!$AO$62:$AO$78</c:f>
              <c:numCache>
                <c:formatCode>General</c:formatCode>
                <c:ptCount val="17"/>
                <c:pt idx="0">
                  <c:v>-2.011145983718598E-11</c:v>
                </c:pt>
                <c:pt idx="1">
                  <c:v>-2.8897776511479912E-8</c:v>
                </c:pt>
                <c:pt idx="2">
                  <c:v>-7.7656483498184733E-6</c:v>
                </c:pt>
                <c:pt idx="3">
                  <c:v>-5.3221095215161848E-4</c:v>
                </c:pt>
                <c:pt idx="4">
                  <c:v>-1.185183109364667E-2</c:v>
                </c:pt>
                <c:pt idx="5">
                  <c:v>-0.10413369437087423</c:v>
                </c:pt>
                <c:pt idx="6">
                  <c:v>-0.42434598728579076</c:v>
                </c:pt>
                <c:pt idx="7">
                  <c:v>-0.92676379324537561</c:v>
                </c:pt>
                <c:pt idx="8">
                  <c:v>-1.2563215541408219</c:v>
                </c:pt>
                <c:pt idx="9">
                  <c:v>-1.2548490342887044</c:v>
                </c:pt>
                <c:pt idx="10">
                  <c:v>-1.1196043743432571</c:v>
                </c:pt>
                <c:pt idx="11">
                  <c:v>-1.0256723260741785</c:v>
                </c:pt>
                <c:pt idx="12">
                  <c:v>-0.99063972847315052</c:v>
                </c:pt>
                <c:pt idx="13">
                  <c:v>-0.98198420571939193</c:v>
                </c:pt>
                <c:pt idx="14">
                  <c:v>-0.98043582119048067</c:v>
                </c:pt>
                <c:pt idx="15">
                  <c:v>-0.98022396994039218</c:v>
                </c:pt>
                <c:pt idx="16">
                  <c:v>-0.98020090174684071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56B-4EB4-AB3A-25F8B4865462}"/>
            </c:ext>
          </c:extLst>
        </c:ser>
        <c:ser>
          <c:idx val="11"/>
          <c:order val="11"/>
          <c:tx>
            <c:strRef>
              <c:f>Foglio1!$AP$61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Foglio1!$AD$62:$AD$78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Foglio1!$AP$62:$AP$78</c:f>
              <c:numCache>
                <c:formatCode>General</c:formatCode>
                <c:ptCount val="17"/>
                <c:pt idx="0">
                  <c:v>-9.9541835824956942E-8</c:v>
                </c:pt>
                <c:pt idx="1">
                  <c:v>-1.1667428043472263E-5</c:v>
                </c:pt>
                <c:pt idx="2">
                  <c:v>-4.5158505610546875E-4</c:v>
                </c:pt>
                <c:pt idx="3">
                  <c:v>-7.0986159754051923E-3</c:v>
                </c:pt>
                <c:pt idx="4">
                  <c:v>-5.3311328643261525E-2</c:v>
                </c:pt>
                <c:pt idx="5">
                  <c:v>-0.21813509452498117</c:v>
                </c:pt>
                <c:pt idx="6">
                  <c:v>-0.54333739399136316</c:v>
                </c:pt>
                <c:pt idx="7">
                  <c:v>-0.91073193119666063</c:v>
                </c:pt>
                <c:pt idx="8">
                  <c:v>-1.1345154768004237</c:v>
                </c:pt>
                <c:pt idx="9">
                  <c:v>-1.1669485581254064</c:v>
                </c:pt>
                <c:pt idx="10">
                  <c:v>-1.1012592185251955</c:v>
                </c:pt>
                <c:pt idx="11">
                  <c:v>-1.0326244054539988</c:v>
                </c:pt>
                <c:pt idx="12">
                  <c:v>-0.99341348483251712</c:v>
                </c:pt>
                <c:pt idx="13">
                  <c:v>-0.97735472229788523</c:v>
                </c:pt>
                <c:pt idx="14">
                  <c:v>-0.9721934645347402</c:v>
                </c:pt>
                <c:pt idx="15">
                  <c:v>-0.97082666674789342</c:v>
                </c:pt>
                <c:pt idx="16">
                  <c:v>-0.97051859452825884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56B-4EB4-AB3A-25F8B4865462}"/>
            </c:ext>
          </c:extLst>
        </c:ser>
        <c:ser>
          <c:idx val="12"/>
          <c:order val="12"/>
          <c:tx>
            <c:strRef>
              <c:f>Foglio1!$AQ$61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Foglio1!$AD$62:$AD$78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Foglio1!$AQ$62:$AQ$78</c:f>
              <c:numCache>
                <c:formatCode>General</c:formatCode>
                <c:ptCount val="17"/>
                <c:pt idx="0">
                  <c:v>-6.745951599909049E-6</c:v>
                </c:pt>
                <c:pt idx="1">
                  <c:v>-2.2642648377777837E-4</c:v>
                </c:pt>
                <c:pt idx="2">
                  <c:v>-3.3362928033518376E-3</c:v>
                </c:pt>
                <c:pt idx="3">
                  <c:v>-2.5208290471663085E-2</c:v>
                </c:pt>
                <c:pt idx="4">
                  <c:v>-0.11040061598034728</c:v>
                </c:pt>
                <c:pt idx="5">
                  <c:v>-0.30964855226183596</c:v>
                </c:pt>
                <c:pt idx="6">
                  <c:v>-0.60546113172054739</c:v>
                </c:pt>
                <c:pt idx="7">
                  <c:v>-0.89102456449714162</c:v>
                </c:pt>
                <c:pt idx="8">
                  <c:v>-1.0625188672550916</c:v>
                </c:pt>
                <c:pt idx="9">
                  <c:v>-1.1049119257907498</c:v>
                </c:pt>
                <c:pt idx="10">
                  <c:v>-1.0732764357161724</c:v>
                </c:pt>
                <c:pt idx="11">
                  <c:v>-1.0261534762543443</c:v>
                </c:pt>
                <c:pt idx="12">
                  <c:v>-0.99166517929450881</c:v>
                </c:pt>
                <c:pt idx="13">
                  <c:v>-0.97317953559484061</c:v>
                </c:pt>
                <c:pt idx="14">
                  <c:v>-0.96513424310490159</c:v>
                </c:pt>
                <c:pt idx="15">
                  <c:v>-0.96214847579487173</c:v>
                </c:pt>
                <c:pt idx="16">
                  <c:v>-0.96117477083305303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56B-4EB4-AB3A-25F8B4865462}"/>
            </c:ext>
          </c:extLst>
        </c:ser>
        <c:ser>
          <c:idx val="13"/>
          <c:order val="13"/>
          <c:tx>
            <c:strRef>
              <c:f>Foglio1!$AR$61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Foglio1!$AD$62:$AD$78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Foglio1!$AR$62:$AR$78</c:f>
              <c:numCache>
                <c:formatCode>General</c:formatCode>
                <c:ptCount val="17"/>
                <c:pt idx="0">
                  <c:v>-8.2846662129231244E-5</c:v>
                </c:pt>
                <c:pt idx="1">
                  <c:v>-1.3156329109586928E-3</c:v>
                </c:pt>
                <c:pt idx="2">
                  <c:v>-1.0883353094015648E-2</c:v>
                </c:pt>
                <c:pt idx="3">
                  <c:v>-5.3114800580279661E-2</c:v>
                </c:pt>
                <c:pt idx="4">
                  <c:v>-0.16875810384878101</c:v>
                </c:pt>
                <c:pt idx="5">
                  <c:v>-0.37834940943483797</c:v>
                </c:pt>
                <c:pt idx="6">
                  <c:v>-0.64112369101649291</c:v>
                </c:pt>
                <c:pt idx="7">
                  <c:v>-0.8733437618477542</c:v>
                </c:pt>
                <c:pt idx="8">
                  <c:v>-1.0134141144329898</c:v>
                </c:pt>
                <c:pt idx="9">
                  <c:v>-1.0584758085145585</c:v>
                </c:pt>
                <c:pt idx="10">
                  <c:v>-1.045407482584042</c:v>
                </c:pt>
                <c:pt idx="11">
                  <c:v>-1.0136394231552852</c:v>
                </c:pt>
                <c:pt idx="12">
                  <c:v>-0.98562607174685235</c:v>
                </c:pt>
                <c:pt idx="13">
                  <c:v>-0.96771367668239783</c:v>
                </c:pt>
                <c:pt idx="14">
                  <c:v>-0.95828483896948613</c:v>
                </c:pt>
                <c:pt idx="15">
                  <c:v>-0.9539769942878612</c:v>
                </c:pt>
                <c:pt idx="16">
                  <c:v>-0.95221674106729459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56B-4EB4-AB3A-25F8B4865462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03724688"/>
        <c:axId val="603717128"/>
        <c:axId val="609043256"/>
      </c:surface3DChart>
      <c:catAx>
        <c:axId val="603724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03717128"/>
        <c:crosses val="autoZero"/>
        <c:auto val="1"/>
        <c:lblAlgn val="ctr"/>
        <c:lblOffset val="100"/>
        <c:noMultiLvlLbl val="0"/>
      </c:catAx>
      <c:valAx>
        <c:axId val="603717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03724688"/>
        <c:crosses val="autoZero"/>
        <c:crossBetween val="midCat"/>
      </c:valAx>
      <c:serAx>
        <c:axId val="609043256"/>
        <c:scaling>
          <c:orientation val="minMax"/>
        </c:scaling>
        <c:delete val="0"/>
        <c:axPos val="b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0371712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>
                <a:latin typeface="Arial" panose="020B0604020202020204" pitchFamily="34" charset="0"/>
                <a:cs typeface="Arial" panose="020B0604020202020204" pitchFamily="34" charset="0"/>
              </a:rPr>
              <a:t>ρ parameter, </a:t>
            </a:r>
            <a:r>
              <a:rPr lang="el-GR">
                <a:latin typeface="Arial" panose="020B0604020202020204" pitchFamily="34" charset="0"/>
                <a:cs typeface="Arial" panose="020B0604020202020204" pitchFamily="34" charset="0"/>
              </a:rPr>
              <a:t>σ</a:t>
            </a:r>
            <a:r>
              <a:rPr lang="it-IT">
                <a:latin typeface="Arial" panose="020B0604020202020204" pitchFamily="34" charset="0"/>
                <a:cs typeface="Arial" panose="020B0604020202020204" pitchFamily="34" charset="0"/>
              </a:rPr>
              <a:t>=5%</a:t>
            </a:r>
            <a:endParaRPr lang="it-IT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Foglio1!$AE$81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Foglio1!$AD$82:$AD$98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Foglio1!$AE$82:$AE$98</c:f>
              <c:numCache>
                <c:formatCode>General</c:formatCode>
                <c:ptCount val="17"/>
                <c:pt idx="0">
                  <c:v>1.641553105978537E-227</c:v>
                </c:pt>
                <c:pt idx="1">
                  <c:v>4.2870990463147753E-162</c:v>
                </c:pt>
                <c:pt idx="2">
                  <c:v>1.9479710477541845E-111</c:v>
                </c:pt>
                <c:pt idx="3">
                  <c:v>7.7964536356685973E-73</c:v>
                </c:pt>
                <c:pt idx="4">
                  <c:v>3.4612128025016693E-44</c:v>
                </c:pt>
                <c:pt idx="5">
                  <c:v>7.7924409638600782E-24</c:v>
                </c:pt>
                <c:pt idx="6">
                  <c:v>1.9425799510435276E-10</c:v>
                </c:pt>
                <c:pt idx="7">
                  <c:v>7.13775051660247E-3</c:v>
                </c:pt>
                <c:pt idx="8">
                  <c:v>5.2154434086455765</c:v>
                </c:pt>
                <c:pt idx="9">
                  <c:v>9.9815977047491025</c:v>
                </c:pt>
                <c:pt idx="10">
                  <c:v>9.990004992452393</c:v>
                </c:pt>
                <c:pt idx="11">
                  <c:v>9.9900049983337507</c:v>
                </c:pt>
                <c:pt idx="12">
                  <c:v>9.9900049983337507</c:v>
                </c:pt>
                <c:pt idx="13">
                  <c:v>9.9900049983337507</c:v>
                </c:pt>
                <c:pt idx="14">
                  <c:v>9.9900049983337507</c:v>
                </c:pt>
                <c:pt idx="15">
                  <c:v>9.9900049983337507</c:v>
                </c:pt>
                <c:pt idx="16">
                  <c:v>9.9900049983337507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22-4EDC-8B1B-8047029D35C1}"/>
            </c:ext>
          </c:extLst>
        </c:ser>
        <c:ser>
          <c:idx val="1"/>
          <c:order val="1"/>
          <c:tx>
            <c:strRef>
              <c:f>Foglio1!$AF$81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Foglio1!$AD$82:$AD$98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Foglio1!$AF$82:$AF$98</c:f>
              <c:numCache>
                <c:formatCode>General</c:formatCode>
                <c:ptCount val="17"/>
                <c:pt idx="0">
                  <c:v>9.8187222103124457E-114</c:v>
                </c:pt>
                <c:pt idx="1">
                  <c:v>4.749386362570978E-81</c:v>
                </c:pt>
                <c:pt idx="2">
                  <c:v>9.7699399138551848E-56</c:v>
                </c:pt>
                <c:pt idx="3">
                  <c:v>1.9275156264028462E-36</c:v>
                </c:pt>
                <c:pt idx="4">
                  <c:v>4.1122501988925371E-22</c:v>
                </c:pt>
                <c:pt idx="5">
                  <c:v>6.4754236949085947E-12</c:v>
                </c:pt>
                <c:pt idx="6">
                  <c:v>3.5863762698205365E-5</c:v>
                </c:pt>
                <c:pt idx="7">
                  <c:v>0.26662550009934899</c:v>
                </c:pt>
                <c:pt idx="8">
                  <c:v>10.602580193516067</c:v>
                </c:pt>
                <c:pt idx="9">
                  <c:v>19.722442652470058</c:v>
                </c:pt>
                <c:pt idx="10">
                  <c:v>19.959898203851797</c:v>
                </c:pt>
                <c:pt idx="11">
                  <c:v>19.960039970877752</c:v>
                </c:pt>
                <c:pt idx="12">
                  <c:v>19.960039973346657</c:v>
                </c:pt>
                <c:pt idx="13">
                  <c:v>19.96003997334666</c:v>
                </c:pt>
                <c:pt idx="14">
                  <c:v>19.96003997334666</c:v>
                </c:pt>
                <c:pt idx="15">
                  <c:v>19.96003997334666</c:v>
                </c:pt>
                <c:pt idx="16">
                  <c:v>19.96003997334666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22-4EDC-8B1B-8047029D35C1}"/>
            </c:ext>
          </c:extLst>
        </c:ser>
        <c:ser>
          <c:idx val="2"/>
          <c:order val="2"/>
          <c:tx>
            <c:strRef>
              <c:f>Foglio1!$AG$81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Foglio1!$AD$82:$AD$98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Foglio1!$AG$82:$AG$98</c:f>
              <c:numCache>
                <c:formatCode>General</c:formatCode>
                <c:ptCount val="17"/>
                <c:pt idx="0">
                  <c:v>1.0734044095926197E-75</c:v>
                </c:pt>
                <c:pt idx="1">
                  <c:v>6.376041443341769E-54</c:v>
                </c:pt>
                <c:pt idx="2">
                  <c:v>4.6740899589509275E-37</c:v>
                </c:pt>
                <c:pt idx="3">
                  <c:v>3.3801920383859022E-24</c:v>
                </c:pt>
                <c:pt idx="4">
                  <c:v>1.2161393239625795E-14</c:v>
                </c:pt>
                <c:pt idx="5">
                  <c:v>7.877227359213074E-8</c:v>
                </c:pt>
                <c:pt idx="6">
                  <c:v>2.6301551441708345E-3</c:v>
                </c:pt>
                <c:pt idx="7">
                  <c:v>1.1298455673281689</c:v>
                </c:pt>
                <c:pt idx="8">
                  <c:v>16.097057974110687</c:v>
                </c:pt>
                <c:pt idx="9">
                  <c:v>29.005935745471149</c:v>
                </c:pt>
                <c:pt idx="10">
                  <c:v>29.904918905011474</c:v>
                </c:pt>
                <c:pt idx="11">
                  <c:v>29.910131872453039</c:v>
                </c:pt>
                <c:pt idx="12">
                  <c:v>29.910134864885052</c:v>
                </c:pt>
                <c:pt idx="13">
                  <c:v>29.910134865101188</c:v>
                </c:pt>
                <c:pt idx="14">
                  <c:v>29.910134865101192</c:v>
                </c:pt>
                <c:pt idx="15">
                  <c:v>29.910134865101192</c:v>
                </c:pt>
                <c:pt idx="16">
                  <c:v>29.910134865101192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22-4EDC-8B1B-8047029D35C1}"/>
            </c:ext>
          </c:extLst>
        </c:ser>
        <c:ser>
          <c:idx val="3"/>
          <c:order val="3"/>
          <c:tx>
            <c:strRef>
              <c:f>Foglio1!$AH$81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Foglio1!$AD$82:$AD$98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Foglio1!$AH$82:$AH$98</c:f>
              <c:numCache>
                <c:formatCode>General</c:formatCode>
                <c:ptCount val="17"/>
                <c:pt idx="0">
                  <c:v>1.2737154348440967E-56</c:v>
                </c:pt>
                <c:pt idx="1">
                  <c:v>2.651237331352813E-40</c:v>
                </c:pt>
                <c:pt idx="2">
                  <c:v>1.1601154770210566E-27</c:v>
                </c:pt>
                <c:pt idx="3">
                  <c:v>5.0783645010190668E-18</c:v>
                </c:pt>
                <c:pt idx="4">
                  <c:v>7.4996289002319333E-11</c:v>
                </c:pt>
                <c:pt idx="5">
                  <c:v>9.8409990815638587E-6</c:v>
                </c:pt>
                <c:pt idx="6">
                  <c:v>2.5436866319320899E-2</c:v>
                </c:pt>
                <c:pt idx="7">
                  <c:v>2.6035171220958442</c:v>
                </c:pt>
                <c:pt idx="8">
                  <c:v>21.675716900074672</c:v>
                </c:pt>
                <c:pt idx="9">
                  <c:v>37.883823051454243</c:v>
                </c:pt>
                <c:pt idx="10">
                  <c:v>39.804858626215072</c:v>
                </c:pt>
                <c:pt idx="11">
                  <c:v>39.840202266473987</c:v>
                </c:pt>
                <c:pt idx="12">
                  <c:v>39.840319490133353</c:v>
                </c:pt>
                <c:pt idx="13">
                  <c:v>39.840319573744395</c:v>
                </c:pt>
                <c:pt idx="14">
                  <c:v>39.840319573759658</c:v>
                </c:pt>
                <c:pt idx="15">
                  <c:v>39.840319573759658</c:v>
                </c:pt>
                <c:pt idx="16">
                  <c:v>39.840319573759658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622-4EDC-8B1B-8047029D35C1}"/>
            </c:ext>
          </c:extLst>
        </c:ser>
        <c:ser>
          <c:idx val="4"/>
          <c:order val="4"/>
          <c:tx>
            <c:strRef>
              <c:f>Foglio1!$AI$81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Foglio1!$AD$82:$AD$98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Foglio1!$AI$82:$AI$98</c:f>
              <c:numCache>
                <c:formatCode>General</c:formatCode>
                <c:ptCount val="17"/>
                <c:pt idx="0">
                  <c:v>3.8218212172732768E-45</c:v>
                </c:pt>
                <c:pt idx="1">
                  <c:v>4.2402219182880856E-32</c:v>
                </c:pt>
                <c:pt idx="2">
                  <c:v>5.4194445715485763E-22</c:v>
                </c:pt>
                <c:pt idx="3">
                  <c:v>2.7815974982913545E-14</c:v>
                </c:pt>
                <c:pt idx="4">
                  <c:v>1.5185100802461255E-8</c:v>
                </c:pt>
                <c:pt idx="5">
                  <c:v>1.9187547588819985E-4</c:v>
                </c:pt>
                <c:pt idx="6">
                  <c:v>0.10661748329831354</c:v>
                </c:pt>
                <c:pt idx="7">
                  <c:v>4.5893015604682565</c:v>
                </c:pt>
                <c:pt idx="8">
                  <c:v>27.325076969888265</c:v>
                </c:pt>
                <c:pt idx="9">
                  <c:v>46.450942177652628</c:v>
                </c:pt>
                <c:pt idx="10">
                  <c:v>49.630985812514382</c:v>
                </c:pt>
                <c:pt idx="11">
                  <c:v>49.749488200400314</c:v>
                </c:pt>
                <c:pt idx="12">
                  <c:v>49.750620756232365</c:v>
                </c:pt>
                <c:pt idx="13">
                  <c:v>49.750623956566649</c:v>
                </c:pt>
                <c:pt idx="14">
                  <c:v>49.750623959632989</c:v>
                </c:pt>
                <c:pt idx="15">
                  <c:v>49.750623959634119</c:v>
                </c:pt>
                <c:pt idx="16">
                  <c:v>49.750623959634119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622-4EDC-8B1B-8047029D35C1}"/>
            </c:ext>
          </c:extLst>
        </c:ser>
        <c:ser>
          <c:idx val="5"/>
          <c:order val="5"/>
          <c:tx>
            <c:strRef>
              <c:f>Foglio1!$AJ$81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Foglio1!$AD$82:$AD$98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Foglio1!$AJ$82:$AJ$98</c:f>
              <c:numCache>
                <c:formatCode>General</c:formatCode>
                <c:ptCount val="17"/>
                <c:pt idx="0">
                  <c:v>1.8002854398516442E-37</c:v>
                </c:pt>
                <c:pt idx="1">
                  <c:v>1.3130420996140087E-26</c:v>
                </c:pt>
                <c:pt idx="2">
                  <c:v>3.4289609961323249E-18</c:v>
                </c:pt>
                <c:pt idx="3">
                  <c:v>9.0821805958351661E-12</c:v>
                </c:pt>
                <c:pt idx="4">
                  <c:v>5.5003958274819494E-7</c:v>
                </c:pt>
                <c:pt idx="5">
                  <c:v>1.4592045191005507E-3</c:v>
                </c:pt>
                <c:pt idx="6">
                  <c:v>0.29052218057866946</c:v>
                </c:pt>
                <c:pt idx="7">
                  <c:v>6.9930800372694062</c:v>
                </c:pt>
                <c:pt idx="8">
                  <c:v>33.035981991228653</c:v>
                </c:pt>
                <c:pt idx="9">
                  <c:v>54.782654073780762</c:v>
                </c:pt>
                <c:pt idx="10">
                  <c:v>59.360192582529834</c:v>
                </c:pt>
                <c:pt idx="11">
                  <c:v>59.635681069861462</c:v>
                </c:pt>
                <c:pt idx="12">
                  <c:v>59.641039719506949</c:v>
                </c:pt>
                <c:pt idx="13">
                  <c:v>59.641077732913743</c:v>
                </c:pt>
                <c:pt idx="14">
                  <c:v>59.64107784309136</c:v>
                </c:pt>
                <c:pt idx="15">
                  <c:v>59.641077843236026</c:v>
                </c:pt>
                <c:pt idx="16">
                  <c:v>59.641077843236118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622-4EDC-8B1B-8047029D35C1}"/>
            </c:ext>
          </c:extLst>
        </c:ser>
        <c:ser>
          <c:idx val="6"/>
          <c:order val="6"/>
          <c:tx>
            <c:strRef>
              <c:f>Foglio1!$AK$81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Foglio1!$AD$82:$AD$98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Foglio1!$AK$82:$AK$98</c:f>
              <c:numCache>
                <c:formatCode>General</c:formatCode>
                <c:ptCount val="17"/>
                <c:pt idx="0">
                  <c:v>5.6424810108500088E-32</c:v>
                </c:pt>
                <c:pt idx="1">
                  <c:v>1.1368397402833347E-22</c:v>
                </c:pt>
                <c:pt idx="2">
                  <c:v>1.8435147293688629E-15</c:v>
                </c:pt>
                <c:pt idx="3">
                  <c:v>5.87650146287428E-10</c:v>
                </c:pt>
                <c:pt idx="4">
                  <c:v>7.3983574723071181E-6</c:v>
                </c:pt>
                <c:pt idx="5">
                  <c:v>6.4332888455462299E-3</c:v>
                </c:pt>
                <c:pt idx="6">
                  <c:v>0.61460001246215368</c:v>
                </c:pt>
                <c:pt idx="7">
                  <c:v>9.7407798347422521</c:v>
                </c:pt>
                <c:pt idx="8">
                  <c:v>38.80166687938042</c:v>
                </c:pt>
                <c:pt idx="9">
                  <c:v>62.933257045068586</c:v>
                </c:pt>
                <c:pt idx="10">
                  <c:v>68.97930980124481</c:v>
                </c:pt>
                <c:pt idx="11">
                  <c:v>69.494756917450118</c:v>
                </c:pt>
                <c:pt idx="12">
                  <c:v>69.511480031699364</c:v>
                </c:pt>
                <c:pt idx="13">
                  <c:v>69.511709531797067</c:v>
                </c:pt>
                <c:pt idx="14">
                  <c:v>69.511711000531321</c:v>
                </c:pt>
                <c:pt idx="15">
                  <c:v>69.511711005317864</c:v>
                </c:pt>
                <c:pt idx="16">
                  <c:v>69.511711005326447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622-4EDC-8B1B-8047029D35C1}"/>
            </c:ext>
          </c:extLst>
        </c:ser>
        <c:ser>
          <c:idx val="7"/>
          <c:order val="7"/>
          <c:tx>
            <c:strRef>
              <c:f>Foglio1!$AL$81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Foglio1!$AD$82:$AD$98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Foglio1!$AL$82:$AL$98</c:f>
              <c:numCache>
                <c:formatCode>General</c:formatCode>
                <c:ptCount val="17"/>
                <c:pt idx="0">
                  <c:v>7.6744561436066302E-28</c:v>
                </c:pt>
                <c:pt idx="1">
                  <c:v>1.0477056316338999E-19</c:v>
                </c:pt>
                <c:pt idx="2">
                  <c:v>2.1133269277831316E-13</c:v>
                </c:pt>
                <c:pt idx="3">
                  <c:v>1.3763622037866602E-8</c:v>
                </c:pt>
                <c:pt idx="4">
                  <c:v>5.3336363868796739E-5</c:v>
                </c:pt>
                <c:pt idx="5">
                  <c:v>2.0082539124395789E-2</c:v>
                </c:pt>
                <c:pt idx="6">
                  <c:v>1.1050808875887044</c:v>
                </c:pt>
                <c:pt idx="7">
                  <c:v>12.775977503387372</c:v>
                </c:pt>
                <c:pt idx="8">
                  <c:v>44.616857372460707</c:v>
                </c:pt>
                <c:pt idx="9">
                  <c:v>70.941709196962876</c:v>
                </c:pt>
                <c:pt idx="10">
                  <c:v>78.483472793431659</c:v>
                </c:pt>
                <c:pt idx="11">
                  <c:v>79.321608262959501</c:v>
                </c:pt>
                <c:pt idx="12">
                  <c:v>79.361639617438144</c:v>
                </c:pt>
                <c:pt idx="13">
                  <c:v>79.362542637149119</c:v>
                </c:pt>
                <c:pt idx="14">
                  <c:v>79.362553119095708</c:v>
                </c:pt>
                <c:pt idx="15">
                  <c:v>79.362553186704801</c:v>
                </c:pt>
                <c:pt idx="16">
                  <c:v>79.36255318696422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622-4EDC-8B1B-8047029D35C1}"/>
            </c:ext>
          </c:extLst>
        </c:ser>
        <c:ser>
          <c:idx val="8"/>
          <c:order val="8"/>
          <c:tx>
            <c:strRef>
              <c:f>Foglio1!$AM$81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Foglio1!$AD$82:$AD$98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Foglio1!$AM$82:$AM$98</c:f>
              <c:numCache>
                <c:formatCode>General</c:formatCode>
                <c:ptCount val="17"/>
                <c:pt idx="0">
                  <c:v>1.2851489079788333E-24</c:v>
                </c:pt>
                <c:pt idx="1">
                  <c:v>2.1621620814411144E-17</c:v>
                </c:pt>
                <c:pt idx="2">
                  <c:v>8.6206592479276146E-12</c:v>
                </c:pt>
                <c:pt idx="3">
                  <c:v>1.6324287130996327E-7</c:v>
                </c:pt>
                <c:pt idx="4">
                  <c:v>2.5295504128369404E-4</c:v>
                </c:pt>
                <c:pt idx="5">
                  <c:v>4.9654726805486799E-2</c:v>
                </c:pt>
                <c:pt idx="6">
                  <c:v>1.7777224724965428</c:v>
                </c:pt>
                <c:pt idx="7">
                  <c:v>16.055487746950437</c:v>
                </c:pt>
                <c:pt idx="8">
                  <c:v>50.47728449952892</c:v>
                </c:pt>
                <c:pt idx="9">
                  <c:v>78.836434145986033</c:v>
                </c:pt>
                <c:pt idx="10">
                  <c:v>87.873343001175186</c:v>
                </c:pt>
                <c:pt idx="11">
                  <c:v>89.110891324820571</c:v>
                </c:pt>
                <c:pt idx="12">
                  <c:v>89.190922732291682</c:v>
                </c:pt>
                <c:pt idx="13">
                  <c:v>89.193584395471191</c:v>
                </c:pt>
                <c:pt idx="14">
                  <c:v>89.193633546231695</c:v>
                </c:pt>
                <c:pt idx="15">
                  <c:v>89.193634085801492</c:v>
                </c:pt>
                <c:pt idx="16">
                  <c:v>89.193634089542201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622-4EDC-8B1B-8047029D35C1}"/>
            </c:ext>
          </c:extLst>
        </c:ser>
        <c:ser>
          <c:idx val="9"/>
          <c:order val="9"/>
          <c:tx>
            <c:strRef>
              <c:f>Foglio1!$AN$81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Foglio1!$AD$82:$AD$98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Foglio1!$AN$82:$AN$98</c:f>
              <c:numCache>
                <c:formatCode>General</c:formatCode>
                <c:ptCount val="17"/>
                <c:pt idx="0">
                  <c:v>4.9565340175784387E-22</c:v>
                </c:pt>
                <c:pt idx="1">
                  <c:v>1.5620774385176779E-15</c:v>
                </c:pt>
                <c:pt idx="2">
                  <c:v>1.7024772121921013E-10</c:v>
                </c:pt>
                <c:pt idx="3">
                  <c:v>1.1999617605265484E-6</c:v>
                </c:pt>
                <c:pt idx="4">
                  <c:v>8.9299415502144114E-4</c:v>
                </c:pt>
                <c:pt idx="5">
                  <c:v>0.10407181245529616</c:v>
                </c:pt>
                <c:pt idx="6">
                  <c:v>2.640143752987671</c:v>
                </c:pt>
                <c:pt idx="7">
                  <c:v>19.545754699748976</c:v>
                </c:pt>
                <c:pt idx="8">
                  <c:v>56.37939597115281</c:v>
                </c:pt>
                <c:pt idx="9">
                  <c:v>86.638608819868125</c:v>
                </c:pt>
                <c:pt idx="10">
                  <c:v>97.152834057768871</c:v>
                </c:pt>
                <c:pt idx="11">
                  <c:v>98.857679656492337</c:v>
                </c:pt>
                <c:pt idx="12">
                  <c:v>98.998415410794919</c:v>
                </c:pt>
                <c:pt idx="13">
                  <c:v>99.004809118065594</c:v>
                </c:pt>
                <c:pt idx="14">
                  <c:v>99.004980462097549</c:v>
                </c:pt>
                <c:pt idx="15">
                  <c:v>99.004983342595096</c:v>
                </c:pt>
                <c:pt idx="16">
                  <c:v>99.004983374667319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622-4EDC-8B1B-8047029D35C1}"/>
            </c:ext>
          </c:extLst>
        </c:ser>
        <c:ser>
          <c:idx val="10"/>
          <c:order val="10"/>
          <c:tx>
            <c:strRef>
              <c:f>Foglio1!$AO$81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Foglio1!$AD$82:$AD$98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Foglio1!$AO$82:$AO$98</c:f>
              <c:numCache>
                <c:formatCode>General</c:formatCode>
                <c:ptCount val="17"/>
                <c:pt idx="0">
                  <c:v>2.9625681881726952E-10</c:v>
                </c:pt>
                <c:pt idx="1">
                  <c:v>4.9742406600242002E-7</c:v>
                </c:pt>
                <c:pt idx="2">
                  <c:v>1.5814002213361178E-4</c:v>
                </c:pt>
                <c:pt idx="3">
                  <c:v>1.3030544475483807E-2</c:v>
                </c:pt>
                <c:pt idx="4">
                  <c:v>0.35627324847219083</c:v>
                </c:pt>
                <c:pt idx="5">
                  <c:v>3.9481315095357599</c:v>
                </c:pt>
                <c:pt idx="6">
                  <c:v>20.980085575820258</c:v>
                </c:pt>
                <c:pt idx="7">
                  <c:v>62.018613359043243</c:v>
                </c:pt>
                <c:pt idx="8">
                  <c:v>117.17970668275383</c:v>
                </c:pt>
                <c:pt idx="9">
                  <c:v>161.87888979227972</c:v>
                </c:pt>
                <c:pt idx="10">
                  <c:v>185.19599406842477</c:v>
                </c:pt>
                <c:pt idx="11">
                  <c:v>193.47679765716146</c:v>
                </c:pt>
                <c:pt idx="12">
                  <c:v>195.57759591312399</c:v>
                </c:pt>
                <c:pt idx="13">
                  <c:v>195.9744552338023</c:v>
                </c:pt>
                <c:pt idx="14">
                  <c:v>196.03232255192489</c:v>
                </c:pt>
                <c:pt idx="15">
                  <c:v>196.03904178146894</c:v>
                </c:pt>
                <c:pt idx="16">
                  <c:v>196.0396801673327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622-4EDC-8B1B-8047029D35C1}"/>
            </c:ext>
          </c:extLst>
        </c:ser>
        <c:ser>
          <c:idx val="11"/>
          <c:order val="11"/>
          <c:tx>
            <c:strRef>
              <c:f>Foglio1!$AP$81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Foglio1!$AD$82:$AD$98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Foglio1!$AP$82:$AP$98</c:f>
              <c:numCache>
                <c:formatCode>General</c:formatCode>
                <c:ptCount val="17"/>
                <c:pt idx="0">
                  <c:v>3.2041744077805241E-6</c:v>
                </c:pt>
                <c:pt idx="1">
                  <c:v>4.3601226285741351E-4</c:v>
                </c:pt>
                <c:pt idx="2">
                  <c:v>1.9790140158374096E-2</c:v>
                </c:pt>
                <c:pt idx="3">
                  <c:v>0.36946835976141928</c:v>
                </c:pt>
                <c:pt idx="4">
                  <c:v>3.347193733532428</c:v>
                </c:pt>
                <c:pt idx="5">
                  <c:v>16.828040360966277</c:v>
                </c:pt>
                <c:pt idx="6">
                  <c:v>52.547460630123489</c:v>
                </c:pt>
                <c:pt idx="7">
                  <c:v>112.44272228148991</c:v>
                </c:pt>
                <c:pt idx="8">
                  <c:v>180.23984767739293</c:v>
                </c:pt>
                <c:pt idx="9">
                  <c:v>234.91255400973751</c:v>
                </c:pt>
                <c:pt idx="10">
                  <c:v>267.7816405895245</c:v>
                </c:pt>
                <c:pt idx="11">
                  <c:v>283.09175446033976</c:v>
                </c:pt>
                <c:pt idx="12">
                  <c:v>288.80115110315461</c:v>
                </c:pt>
                <c:pt idx="13">
                  <c:v>290.55431530802588</c:v>
                </c:pt>
                <c:pt idx="14">
                  <c:v>291.008430195247</c:v>
                </c:pt>
                <c:pt idx="15">
                  <c:v>291.10974557725348</c:v>
                </c:pt>
                <c:pt idx="16">
                  <c:v>291.12956988437332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622-4EDC-8B1B-8047029D35C1}"/>
            </c:ext>
          </c:extLst>
        </c:ser>
        <c:ser>
          <c:idx val="12"/>
          <c:order val="12"/>
          <c:tx>
            <c:strRef>
              <c:f>Foglio1!$AQ$81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Foglio1!$AD$82:$AD$98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Foglio1!$AQ$82:$AQ$98</c:f>
              <c:numCache>
                <c:formatCode>General</c:formatCode>
                <c:ptCount val="17"/>
                <c:pt idx="0">
                  <c:v>3.7523154783471798E-4</c:v>
                </c:pt>
                <c:pt idx="1">
                  <c:v>1.4533673597427381E-2</c:v>
                </c:pt>
                <c:pt idx="2">
                  <c:v>0.24913611060469973</c:v>
                </c:pt>
                <c:pt idx="3">
                  <c:v>2.2117419063969725</c:v>
                </c:pt>
                <c:pt idx="4">
                  <c:v>11.512697843671861</c:v>
                </c:pt>
                <c:pt idx="5">
                  <c:v>38.862443475278681</c:v>
                </c:pt>
                <c:pt idx="6">
                  <c:v>92.558361445530593</c:v>
                </c:pt>
                <c:pt idx="7">
                  <c:v>167.28712913649767</c:v>
                </c:pt>
                <c:pt idx="8">
                  <c:v>244.74406567121272</c:v>
                </c:pt>
                <c:pt idx="9">
                  <c:v>307.05178942131579</c:v>
                </c:pt>
                <c:pt idx="10">
                  <c:v>347.31769404379759</c:v>
                </c:pt>
                <c:pt idx="11">
                  <c:v>368.84131062808984</c:v>
                </c:pt>
                <c:pt idx="12">
                  <c:v>378.59636972134138</c:v>
                </c:pt>
                <c:pt idx="13">
                  <c:v>382.42512706458473</c:v>
                </c:pt>
                <c:pt idx="14">
                  <c:v>383.75027885188655</c:v>
                </c:pt>
                <c:pt idx="15">
                  <c:v>384.16107520637604</c:v>
                </c:pt>
                <c:pt idx="16">
                  <c:v>384.27668557419531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622-4EDC-8B1B-8047029D35C1}"/>
            </c:ext>
          </c:extLst>
        </c:ser>
        <c:ser>
          <c:idx val="13"/>
          <c:order val="13"/>
          <c:tx>
            <c:strRef>
              <c:f>Foglio1!$AR$81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Foglio1!$AD$82:$AD$98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Foglio1!$AR$82:$AR$98</c:f>
              <c:numCache>
                <c:formatCode>General</c:formatCode>
                <c:ptCount val="17"/>
                <c:pt idx="0">
                  <c:v>7.0042501896429724E-3</c:v>
                </c:pt>
                <c:pt idx="1">
                  <c:v>0.12763596624669782</c:v>
                </c:pt>
                <c:pt idx="2">
                  <c:v>1.2194588133343349</c:v>
                </c:pt>
                <c:pt idx="3">
                  <c:v>6.9260635640923374</c:v>
                </c:pt>
                <c:pt idx="4">
                  <c:v>25.824461383109348</c:v>
                </c:pt>
                <c:pt idx="5">
                  <c:v>68.512011157963101</c:v>
                </c:pt>
                <c:pt idx="6">
                  <c:v>138.30678902103341</c:v>
                </c:pt>
                <c:pt idx="7">
                  <c:v>225.01525145546887</c:v>
                </c:pt>
                <c:pt idx="8">
                  <c:v>310.20383271045563</c:v>
                </c:pt>
                <c:pt idx="9">
                  <c:v>378.62785195483758</c:v>
                </c:pt>
                <c:pt idx="10">
                  <c:v>424.82474377270159</c:v>
                </c:pt>
                <c:pt idx="11">
                  <c:v>451.66313314685402</c:v>
                </c:pt>
                <c:pt idx="12">
                  <c:v>465.34817532852253</c:v>
                </c:pt>
                <c:pt idx="13">
                  <c:v>471.57705067491599</c:v>
                </c:pt>
                <c:pt idx="14">
                  <c:v>474.14459045318819</c:v>
                </c:pt>
                <c:pt idx="15">
                  <c:v>475.11500881269768</c:v>
                </c:pt>
                <c:pt idx="16">
                  <c:v>475.45493841704553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22-4EDC-8B1B-8047029D35C1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03761768"/>
        <c:axId val="603759968"/>
        <c:axId val="606269528"/>
      </c:surface3DChart>
      <c:catAx>
        <c:axId val="603761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03759968"/>
        <c:crosses val="autoZero"/>
        <c:auto val="1"/>
        <c:lblAlgn val="ctr"/>
        <c:lblOffset val="100"/>
        <c:noMultiLvlLbl val="0"/>
      </c:catAx>
      <c:valAx>
        <c:axId val="60375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03761768"/>
        <c:crosses val="autoZero"/>
        <c:crossBetween val="midCat"/>
      </c:valAx>
      <c:serAx>
        <c:axId val="60626952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0375996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>
                <a:latin typeface="Arial" panose="020B0604020202020204" pitchFamily="34" charset="0"/>
                <a:cs typeface="Arial" panose="020B0604020202020204" pitchFamily="34" charset="0"/>
              </a:rPr>
              <a:t>ρ parameter, </a:t>
            </a:r>
            <a:r>
              <a:rPr lang="el-GR">
                <a:latin typeface="Arial" panose="020B0604020202020204" pitchFamily="34" charset="0"/>
                <a:cs typeface="Arial" panose="020B0604020202020204" pitchFamily="34" charset="0"/>
              </a:rPr>
              <a:t>σ</a:t>
            </a:r>
            <a:r>
              <a:rPr lang="it-IT">
                <a:latin typeface="Arial" panose="020B0604020202020204" pitchFamily="34" charset="0"/>
                <a:cs typeface="Arial" panose="020B0604020202020204" pitchFamily="34" charset="0"/>
              </a:rPr>
              <a:t>=70%</a:t>
            </a:r>
            <a:endParaRPr lang="it-IT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4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Foglio1!$BC$81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Foglio1!$BB$82:$BB$98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Foglio1!$BC$82:$BC$98</c:f>
              <c:numCache>
                <c:formatCode>General</c:formatCode>
                <c:ptCount val="17"/>
                <c:pt idx="0">
                  <c:v>0.116468878939645</c:v>
                </c:pt>
                <c:pt idx="1">
                  <c:v>0.26732760084996277</c:v>
                </c:pt>
                <c:pt idx="2">
                  <c:v>0.527523784205845</c:v>
                </c:pt>
                <c:pt idx="3">
                  <c:v>0.92105444357431909</c:v>
                </c:pt>
                <c:pt idx="4">
                  <c:v>1.4551565886591866</c:v>
                </c:pt>
                <c:pt idx="5">
                  <c:v>2.1175681846624417</c:v>
                </c:pt>
                <c:pt idx="6">
                  <c:v>2.8792657508963151</c:v>
                </c:pt>
                <c:pt idx="7">
                  <c:v>3.7008772956867859</c:v>
                </c:pt>
                <c:pt idx="8">
                  <c:v>4.5401838143815914</c:v>
                </c:pt>
                <c:pt idx="9">
                  <c:v>5.3585597674462102</c:v>
                </c:pt>
                <c:pt idx="10">
                  <c:v>6.1252011093346281</c:v>
                </c:pt>
                <c:pt idx="11">
                  <c:v>6.8189542672669941</c:v>
                </c:pt>
                <c:pt idx="12">
                  <c:v>7.4281883757532814</c:v>
                </c:pt>
                <c:pt idx="13">
                  <c:v>7.9494065492198009</c:v>
                </c:pt>
                <c:pt idx="14">
                  <c:v>8.3852712371117537</c:v>
                </c:pt>
                <c:pt idx="15">
                  <c:v>8.74255696965227</c:v>
                </c:pt>
                <c:pt idx="16">
                  <c:v>9.0303468578460144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8E-4BD2-A843-672F080100DC}"/>
            </c:ext>
          </c:extLst>
        </c:ser>
        <c:ser>
          <c:idx val="1"/>
          <c:order val="1"/>
          <c:tx>
            <c:strRef>
              <c:f>Foglio1!$BD$81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Foglio1!$BB$82:$BB$98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Foglio1!$BD$82:$BD$98</c:f>
              <c:numCache>
                <c:formatCode>General</c:formatCode>
                <c:ptCount val="17"/>
                <c:pt idx="0">
                  <c:v>0.91856776467908219</c:v>
                </c:pt>
                <c:pt idx="1">
                  <c:v>1.4785629877512176</c:v>
                </c:pt>
                <c:pt idx="2">
                  <c:v>2.2008131659138863</c:v>
                </c:pt>
                <c:pt idx="3">
                  <c:v>3.0737663150859613</c:v>
                </c:pt>
                <c:pt idx="4">
                  <c:v>4.0740568763243656</c:v>
                </c:pt>
                <c:pt idx="5">
                  <c:v>5.1706282409259501</c:v>
                </c:pt>
                <c:pt idx="6">
                  <c:v>6.329023349308466</c:v>
                </c:pt>
                <c:pt idx="7">
                  <c:v>7.5150822964608555</c:v>
                </c:pt>
                <c:pt idx="8">
                  <c:v>8.6976755577727189</c:v>
                </c:pt>
                <c:pt idx="9">
                  <c:v>9.8504048815811149</c:v>
                </c:pt>
                <c:pt idx="10">
                  <c:v>10.952391908970213</c:v>
                </c:pt>
                <c:pt idx="11">
                  <c:v>11.988361677521826</c:v>
                </c:pt>
                <c:pt idx="12">
                  <c:v>12.94824455708539</c:v>
                </c:pt>
                <c:pt idx="13">
                  <c:v>13.826495759379123</c:v>
                </c:pt>
                <c:pt idx="14">
                  <c:v>14.621289296545884</c:v>
                </c:pt>
                <c:pt idx="15">
                  <c:v>15.33369795291873</c:v>
                </c:pt>
                <c:pt idx="16">
                  <c:v>15.966930524683846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8E-4BD2-A843-672F080100DC}"/>
            </c:ext>
          </c:extLst>
        </c:ser>
        <c:ser>
          <c:idx val="2"/>
          <c:order val="2"/>
          <c:tx>
            <c:strRef>
              <c:f>Foglio1!$BE$81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Foglio1!$BB$82:$BB$98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Foglio1!$BE$82:$BE$98</c:f>
              <c:numCache>
                <c:formatCode>General</c:formatCode>
                <c:ptCount val="17"/>
                <c:pt idx="0">
                  <c:v>2.234484343431443</c:v>
                </c:pt>
                <c:pt idx="1">
                  <c:v>3.1777487129086985</c:v>
                </c:pt>
                <c:pt idx="2">
                  <c:v>4.2810865770902051</c:v>
                </c:pt>
                <c:pt idx="3">
                  <c:v>5.5179748738405614</c:v>
                </c:pt>
                <c:pt idx="4">
                  <c:v>6.8571043741406079</c:v>
                </c:pt>
                <c:pt idx="5">
                  <c:v>8.2656921230846461</c:v>
                </c:pt>
                <c:pt idx="6">
                  <c:v>9.7120512488610053</c:v>
                </c:pt>
                <c:pt idx="7">
                  <c:v>11.167360058420762</c:v>
                </c:pt>
                <c:pt idx="8">
                  <c:v>12.606707710709662</c:v>
                </c:pt>
                <c:pt idx="9">
                  <c:v>14.009555866074988</c:v>
                </c:pt>
                <c:pt idx="10">
                  <c:v>15.359769884226241</c:v>
                </c:pt>
                <c:pt idx="11">
                  <c:v>16.645360459944616</c:v>
                </c:pt>
                <c:pt idx="12">
                  <c:v>17.858051848892021</c:v>
                </c:pt>
                <c:pt idx="13">
                  <c:v>18.992765198228806</c:v>
                </c:pt>
                <c:pt idx="14">
                  <c:v>20.047079908011941</c:v>
                </c:pt>
                <c:pt idx="15">
                  <c:v>21.020714589719958</c:v>
                </c:pt>
                <c:pt idx="16">
                  <c:v>21.915052593952048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8E-4BD2-A843-672F080100DC}"/>
            </c:ext>
          </c:extLst>
        </c:ser>
        <c:ser>
          <c:idx val="3"/>
          <c:order val="3"/>
          <c:tx>
            <c:strRef>
              <c:f>Foglio1!$BF$81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Foglio1!$BB$82:$BB$98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Foglio1!$BF$82:$BF$98</c:f>
              <c:numCache>
                <c:formatCode>General</c:formatCode>
                <c:ptCount val="17"/>
                <c:pt idx="0">
                  <c:v>3.8181083569869267</c:v>
                </c:pt>
                <c:pt idx="1">
                  <c:v>5.0911278808853098</c:v>
                </c:pt>
                <c:pt idx="2">
                  <c:v>6.5089737810464774</c:v>
                </c:pt>
                <c:pt idx="3">
                  <c:v>8.0395963066053486</c:v>
                </c:pt>
                <c:pt idx="4">
                  <c:v>9.6502875192587556</c:v>
                </c:pt>
                <c:pt idx="5">
                  <c:v>11.309809067089953</c:v>
                </c:pt>
                <c:pt idx="6">
                  <c:v>12.989781163209928</c:v>
                </c:pt>
                <c:pt idx="7">
                  <c:v>14.665460755790338</c:v>
                </c:pt>
                <c:pt idx="8">
                  <c:v>16.316054929266326</c:v>
                </c:pt>
                <c:pt idx="9">
                  <c:v>17.9247055877298</c:v>
                </c:pt>
                <c:pt idx="10">
                  <c:v>19.478259247363045</c:v>
                </c:pt>
                <c:pt idx="11">
                  <c:v>20.966910509726688</c:v>
                </c:pt>
                <c:pt idx="12">
                  <c:v>22.383784245237308</c:v>
                </c:pt>
                <c:pt idx="13">
                  <c:v>23.724501695340305</c:v>
                </c:pt>
                <c:pt idx="14">
                  <c:v>24.98676008029685</c:v>
                </c:pt>
                <c:pt idx="15">
                  <c:v>26.169943587272535</c:v>
                </c:pt>
                <c:pt idx="16">
                  <c:v>27.274775203357478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8E-4BD2-A843-672F080100DC}"/>
            </c:ext>
          </c:extLst>
        </c:ser>
        <c:ser>
          <c:idx val="4"/>
          <c:order val="4"/>
          <c:tx>
            <c:strRef>
              <c:f>Foglio1!$BG$81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Foglio1!$BB$82:$BB$98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Foglio1!$BG$82:$BG$98</c:f>
              <c:numCache>
                <c:formatCode>General</c:formatCode>
                <c:ptCount val="17"/>
                <c:pt idx="0">
                  <c:v>5.5437060496725517</c:v>
                </c:pt>
                <c:pt idx="1">
                  <c:v>7.1020863069993734</c:v>
                </c:pt>
                <c:pt idx="2">
                  <c:v>8.7873862331728478</c:v>
                </c:pt>
                <c:pt idx="3">
                  <c:v>10.56596452007194</c:v>
                </c:pt>
                <c:pt idx="4">
                  <c:v>12.405888947555008</c:v>
                </c:pt>
                <c:pt idx="5">
                  <c:v>14.278169920267391</c:v>
                </c:pt>
                <c:pt idx="6">
                  <c:v>16.157414863450281</c:v>
                </c:pt>
                <c:pt idx="7">
                  <c:v>18.022062137505021</c:v>
                </c:pt>
                <c:pt idx="8">
                  <c:v>19.854328756170009</c:v>
                </c:pt>
                <c:pt idx="9">
                  <c:v>21.639977256676346</c:v>
                </c:pt>
                <c:pt idx="10">
                  <c:v>23.367979915330192</c:v>
                </c:pt>
                <c:pt idx="11">
                  <c:v>25.030135664524561</c:v>
                </c:pt>
                <c:pt idx="12">
                  <c:v>26.620677091200157</c:v>
                </c:pt>
                <c:pt idx="13">
                  <c:v>28.13589139575484</c:v>
                </c:pt>
                <c:pt idx="14">
                  <c:v>29.573769427429795</c:v>
                </c:pt>
                <c:pt idx="15">
                  <c:v>30.933690093495606</c:v>
                </c:pt>
                <c:pt idx="16">
                  <c:v>32.216142846854574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8E-4BD2-A843-672F080100DC}"/>
            </c:ext>
          </c:extLst>
        </c:ser>
        <c:ser>
          <c:idx val="5"/>
          <c:order val="5"/>
          <c:tx>
            <c:strRef>
              <c:f>Foglio1!$BH$81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Foglio1!$BB$82:$BB$98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Foglio1!$BH$82:$BH$98</c:f>
              <c:numCache>
                <c:formatCode>General</c:formatCode>
                <c:ptCount val="17"/>
                <c:pt idx="0">
                  <c:v>7.3440705563346622</c:v>
                </c:pt>
                <c:pt idx="1">
                  <c:v>9.153120535172004</c:v>
                </c:pt>
                <c:pt idx="2">
                  <c:v>11.071429427844649</c:v>
                </c:pt>
                <c:pt idx="3">
                  <c:v>13.065527350464505</c:v>
                </c:pt>
                <c:pt idx="4">
                  <c:v>15.105034185011259</c:v>
                </c:pt>
                <c:pt idx="5">
                  <c:v>17.163266301839553</c:v>
                </c:pt>
                <c:pt idx="6">
                  <c:v>19.217426336289186</c:v>
                </c:pt>
                <c:pt idx="7">
                  <c:v>21.248519552240701</c:v>
                </c:pt>
                <c:pt idx="8">
                  <c:v>23.241103733543959</c:v>
                </c:pt>
                <c:pt idx="9">
                  <c:v>25.182948717202216</c:v>
                </c:pt>
                <c:pt idx="10">
                  <c:v>27.064657548621632</c:v>
                </c:pt>
                <c:pt idx="11">
                  <c:v>28.879283231273185</c:v>
                </c:pt>
                <c:pt idx="12">
                  <c:v>30.621962081845389</c:v>
                </c:pt>
                <c:pt idx="13">
                  <c:v>32.289575656544216</c:v>
                </c:pt>
                <c:pt idx="14">
                  <c:v>33.880447089047728</c:v>
                </c:pt>
                <c:pt idx="15">
                  <c:v>35.394073670158818</c:v>
                </c:pt>
                <c:pt idx="16">
                  <c:v>36.830894983278228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A8E-4BD2-A843-672F080100DC}"/>
            </c:ext>
          </c:extLst>
        </c:ser>
        <c:ser>
          <c:idx val="6"/>
          <c:order val="6"/>
          <c:tx>
            <c:strRef>
              <c:f>Foglio1!$BI$81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Foglio1!$BB$82:$BB$98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Foglio1!$BI$82:$BI$98</c:f>
              <c:numCache>
                <c:formatCode>General</c:formatCode>
                <c:ptCount val="17"/>
                <c:pt idx="0">
                  <c:v>9.1803539689470561</c:v>
                </c:pt>
                <c:pt idx="1">
                  <c:v>11.212662898631983</c:v>
                </c:pt>
                <c:pt idx="2">
                  <c:v>13.33765001281785</c:v>
                </c:pt>
                <c:pt idx="3">
                  <c:v>15.522844789847014</c:v>
                </c:pt>
                <c:pt idx="4">
                  <c:v>17.739675865449303</c:v>
                </c:pt>
                <c:pt idx="5">
                  <c:v>19.963641056364018</c:v>
                </c:pt>
                <c:pt idx="6">
                  <c:v>22.174195796009304</c:v>
                </c:pt>
                <c:pt idx="7">
                  <c:v>24.354476704529471</c:v>
                </c:pt>
                <c:pt idx="8">
                  <c:v>26.490940145264826</c:v>
                </c:pt>
                <c:pt idx="9">
                  <c:v>28.572968358836068</c:v>
                </c:pt>
                <c:pt idx="10">
                  <c:v>30.592476348696334</c:v>
                </c:pt>
                <c:pt idx="11">
                  <c:v>32.543539261601879</c:v>
                </c:pt>
                <c:pt idx="12">
                  <c:v>34.42205096118402</c:v>
                </c:pt>
                <c:pt idx="13">
                  <c:v>36.225418568597945</c:v>
                </c:pt>
                <c:pt idx="14">
                  <c:v>37.952293992285455</c:v>
                </c:pt>
                <c:pt idx="15">
                  <c:v>39.602341199475404</c:v>
                </c:pt>
                <c:pt idx="16">
                  <c:v>41.176036704903893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A8E-4BD2-A843-672F080100DC}"/>
            </c:ext>
          </c:extLst>
        </c:ser>
        <c:ser>
          <c:idx val="7"/>
          <c:order val="7"/>
          <c:tx>
            <c:strRef>
              <c:f>Foglio1!$BJ$81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Foglio1!$BB$82:$BB$98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Foglio1!$BJ$82:$BJ$98</c:f>
              <c:numCache>
                <c:formatCode>General</c:formatCode>
                <c:ptCount val="17"/>
                <c:pt idx="0">
                  <c:v>11.028666043320033</c:v>
                </c:pt>
                <c:pt idx="1">
                  <c:v>13.262096274771963</c:v>
                </c:pt>
                <c:pt idx="2">
                  <c:v>15.572886409105692</c:v>
                </c:pt>
                <c:pt idx="3">
                  <c:v>17.929955295790698</c:v>
                </c:pt>
                <c:pt idx="4">
                  <c:v>20.306585433836965</c:v>
                </c:pt>
                <c:pt idx="5">
                  <c:v>22.680286693411649</c:v>
                </c:pt>
                <c:pt idx="6">
                  <c:v>25.032485576709533</c:v>
                </c:pt>
                <c:pt idx="7">
                  <c:v>27.348129310558519</c:v>
                </c:pt>
                <c:pt idx="8">
                  <c:v>29.61526143651075</c:v>
                </c:pt>
                <c:pt idx="9">
                  <c:v>31.824603309199389</c:v>
                </c:pt>
                <c:pt idx="10">
                  <c:v>33.969161107584327</c:v>
                </c:pt>
                <c:pt idx="11">
                  <c:v>36.043868348142041</c:v>
                </c:pt>
                <c:pt idx="12">
                  <c:v>38.045267812926753</c:v>
                </c:pt>
                <c:pt idx="13">
                  <c:v>39.971233100397299</c:v>
                </c:pt>
                <c:pt idx="14">
                  <c:v>41.820727863935794</c:v>
                </c:pt>
                <c:pt idx="15">
                  <c:v>43.593599670607503</c:v>
                </c:pt>
                <c:pt idx="16">
                  <c:v>45.290404919817227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A8E-4BD2-A843-672F080100DC}"/>
            </c:ext>
          </c:extLst>
        </c:ser>
        <c:ser>
          <c:idx val="8"/>
          <c:order val="8"/>
          <c:tx>
            <c:strRef>
              <c:f>Foglio1!$BK$81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Foglio1!$BB$82:$BB$98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Foglio1!$BK$82:$BK$98</c:f>
              <c:numCache>
                <c:formatCode>General</c:formatCode>
                <c:ptCount val="17"/>
                <c:pt idx="0">
                  <c:v>12.873628429422258</c:v>
                </c:pt>
                <c:pt idx="1">
                  <c:v>15.289909821141482</c:v>
                </c:pt>
                <c:pt idx="2">
                  <c:v>17.769461523325162</c:v>
                </c:pt>
                <c:pt idx="3">
                  <c:v>20.28276332462621</c:v>
                </c:pt>
                <c:pt idx="4">
                  <c:v>22.804907264147712</c:v>
                </c:pt>
                <c:pt idx="5">
                  <c:v>25.315245020419361</c:v>
                </c:pt>
                <c:pt idx="6">
                  <c:v>27.796944243269063</c:v>
                </c:pt>
                <c:pt idx="7">
                  <c:v>30.236518509314926</c:v>
                </c:pt>
                <c:pt idx="8">
                  <c:v>32.623368627092766</c:v>
                </c:pt>
                <c:pt idx="9">
                  <c:v>34.949355774175594</c:v>
                </c:pt>
                <c:pt idx="10">
                  <c:v>37.20841616568584</c:v>
                </c:pt>
                <c:pt idx="11">
                  <c:v>39.396220397460375</c:v>
                </c:pt>
                <c:pt idx="12">
                  <c:v>41.509876776348094</c:v>
                </c:pt>
                <c:pt idx="13">
                  <c:v>43.547675850358267</c:v>
                </c:pt>
                <c:pt idx="14">
                  <c:v>45.508872331416789</c:v>
                </c:pt>
                <c:pt idx="15">
                  <c:v>47.393500240955177</c:v>
                </c:pt>
                <c:pt idx="16">
                  <c:v>49.20221713225142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A8E-4BD2-A843-672F080100DC}"/>
            </c:ext>
          </c:extLst>
        </c:ser>
        <c:ser>
          <c:idx val="9"/>
          <c:order val="9"/>
          <c:tx>
            <c:strRef>
              <c:f>Foglio1!$BL$81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Foglio1!$BB$82:$BB$98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Foglio1!$BL$82:$BL$98</c:f>
              <c:numCache>
                <c:formatCode>General</c:formatCode>
                <c:ptCount val="17"/>
                <c:pt idx="0">
                  <c:v>14.705011562303813</c:v>
                </c:pt>
                <c:pt idx="1">
                  <c:v>17.288774500871309</c:v>
                </c:pt>
                <c:pt idx="2">
                  <c:v>19.922845386708559</c:v>
                </c:pt>
                <c:pt idx="3">
                  <c:v>22.579322806039325</c:v>
                </c:pt>
                <c:pt idx="4">
                  <c:v>25.235027140445062</c:v>
                </c:pt>
                <c:pt idx="5">
                  <c:v>27.870994702782028</c:v>
                </c:pt>
                <c:pt idx="6">
                  <c:v>30.471945462155286</c:v>
                </c:pt>
                <c:pt idx="7">
                  <c:v>33.025768031132451</c:v>
                </c:pt>
                <c:pt idx="8">
                  <c:v>35.523044432714762</c:v>
                </c:pt>
                <c:pt idx="9">
                  <c:v>37.956624450440287</c:v>
                </c:pt>
                <c:pt idx="10">
                  <c:v>40.321251948718029</c:v>
                </c:pt>
                <c:pt idx="11">
                  <c:v>42.613241418606641</c:v>
                </c:pt>
                <c:pt idx="12">
                  <c:v>44.8302008797478</c:v>
                </c:pt>
                <c:pt idx="13">
                  <c:v>46.970796348338041</c:v>
                </c:pt>
                <c:pt idx="14">
                  <c:v>49.034552861878261</c:v>
                </c:pt>
                <c:pt idx="15">
                  <c:v>51.021687223282008</c:v>
                </c:pt>
                <c:pt idx="16">
                  <c:v>52.932967999837444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A8E-4BD2-A843-672F080100DC}"/>
            </c:ext>
          </c:extLst>
        </c:ser>
        <c:ser>
          <c:idx val="10"/>
          <c:order val="10"/>
          <c:tx>
            <c:strRef>
              <c:f>Foglio1!$BM$81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Foglio1!$BB$82:$BB$98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Foglio1!$BM$82:$BM$98</c:f>
              <c:numCache>
                <c:formatCode>General</c:formatCode>
                <c:ptCount val="17"/>
                <c:pt idx="0">
                  <c:v>31.431890821535845</c:v>
                </c:pt>
                <c:pt idx="1">
                  <c:v>35.171280836219672</c:v>
                </c:pt>
                <c:pt idx="2">
                  <c:v>38.872431332383051</c:v>
                </c:pt>
                <c:pt idx="3">
                  <c:v>42.521159965913213</c:v>
                </c:pt>
                <c:pt idx="4">
                  <c:v>46.106901099623663</c:v>
                </c:pt>
                <c:pt idx="5">
                  <c:v>49.621923822185828</c:v>
                </c:pt>
                <c:pt idx="6">
                  <c:v>53.06072218755623</c:v>
                </c:pt>
                <c:pt idx="7">
                  <c:v>56.419538109237259</c:v>
                </c:pt>
                <c:pt idx="8">
                  <c:v>59.69598669691382</c:v>
                </c:pt>
                <c:pt idx="9">
                  <c:v>62.888760989060437</c:v>
                </c:pt>
                <c:pt idx="10">
                  <c:v>65.99739847295794</c:v>
                </c:pt>
                <c:pt idx="11">
                  <c:v>69.022095896247407</c:v>
                </c:pt>
                <c:pt idx="12">
                  <c:v>71.963561985236439</c:v>
                </c:pt>
                <c:pt idx="13">
                  <c:v>74.822900043889916</c:v>
                </c:pt>
                <c:pt idx="14">
                  <c:v>77.601514201925511</c:v>
                </c:pt>
                <c:pt idx="15">
                  <c:v>80.301034451323034</c:v>
                </c:pt>
                <c:pt idx="16">
                  <c:v>82.923256662580982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A8E-4BD2-A843-672F080100DC}"/>
            </c:ext>
          </c:extLst>
        </c:ser>
        <c:ser>
          <c:idx val="11"/>
          <c:order val="11"/>
          <c:tx>
            <c:strRef>
              <c:f>Foglio1!$BN$81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Foglio1!$BB$82:$BB$98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Foglio1!$BN$82:$BN$98</c:f>
              <c:numCache>
                <c:formatCode>General</c:formatCode>
                <c:ptCount val="17"/>
                <c:pt idx="0">
                  <c:v>44.81861674633965</c:v>
                </c:pt>
                <c:pt idx="1">
                  <c:v>49.207649664905432</c:v>
                </c:pt>
                <c:pt idx="2">
                  <c:v>53.50916628799034</c:v>
                </c:pt>
                <c:pt idx="3">
                  <c:v>57.717719999186507</c:v>
                </c:pt>
                <c:pt idx="4">
                  <c:v>61.830070177323741</c:v>
                </c:pt>
                <c:pt idx="5">
                  <c:v>65.844600318669464</c:v>
                </c:pt>
                <c:pt idx="6">
                  <c:v>69.760891463985004</c:v>
                </c:pt>
                <c:pt idx="7">
                  <c:v>73.579406492834053</c:v>
                </c:pt>
                <c:pt idx="8">
                  <c:v>77.301254581421489</c:v>
                </c:pt>
                <c:pt idx="9">
                  <c:v>80.928014288314898</c:v>
                </c:pt>
                <c:pt idx="10">
                  <c:v>84.461599956165827</c:v>
                </c:pt>
                <c:pt idx="11">
                  <c:v>87.904160407734352</c:v>
                </c:pt>
                <c:pt idx="12">
                  <c:v>91.25800191347362</c:v>
                </c:pt>
                <c:pt idx="13">
                  <c:v>94.525529531262123</c:v>
                </c:pt>
                <c:pt idx="14">
                  <c:v>97.709202439963136</c:v>
                </c:pt>
                <c:pt idx="15">
                  <c:v>100.8114999899487</c:v>
                </c:pt>
                <c:pt idx="16">
                  <c:v>103.83489599925186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A8E-4BD2-A843-672F080100DC}"/>
            </c:ext>
          </c:extLst>
        </c:ser>
        <c:ser>
          <c:idx val="12"/>
          <c:order val="12"/>
          <c:tx>
            <c:strRef>
              <c:f>Foglio1!$BO$81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Foglio1!$BB$82:$BB$98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Foglio1!$BO$82:$BO$98</c:f>
              <c:numCache>
                <c:formatCode>General</c:formatCode>
                <c:ptCount val="17"/>
                <c:pt idx="0">
                  <c:v>55.222596230277489</c:v>
                </c:pt>
                <c:pt idx="1">
                  <c:v>60.000395682140933</c:v>
                </c:pt>
                <c:pt idx="2">
                  <c:v>64.659885853629348</c:v>
                </c:pt>
                <c:pt idx="3">
                  <c:v>69.201418782683064</c:v>
                </c:pt>
                <c:pt idx="4">
                  <c:v>73.626480584847812</c:v>
                </c:pt>
                <c:pt idx="5">
                  <c:v>77.937316862428233</c:v>
                </c:pt>
                <c:pt idx="6">
                  <c:v>82.136671186840374</c:v>
                </c:pt>
                <c:pt idx="7">
                  <c:v>86.227600978662068</c:v>
                </c:pt>
                <c:pt idx="8">
                  <c:v>90.213347151624674</c:v>
                </c:pt>
                <c:pt idx="9">
                  <c:v>94.097241575803508</c:v>
                </c:pt>
                <c:pt idx="10">
                  <c:v>97.882641428646721</c:v>
                </c:pt>
                <c:pt idx="11">
                  <c:v>101.57288283262321</c:v>
                </c:pt>
                <c:pt idx="12">
                  <c:v>105.17124842733989</c:v>
                </c:pt>
                <c:pt idx="13">
                  <c:v>108.68094506570944</c:v>
                </c:pt>
                <c:pt idx="14">
                  <c:v>112.10508889483634</c:v>
                </c:pt>
                <c:pt idx="15">
                  <c:v>115.44669583544025</c:v>
                </c:pt>
                <c:pt idx="16">
                  <c:v>118.70867600901849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A8E-4BD2-A843-672F080100DC}"/>
            </c:ext>
          </c:extLst>
        </c:ser>
        <c:ser>
          <c:idx val="13"/>
          <c:order val="13"/>
          <c:tx>
            <c:strRef>
              <c:f>Foglio1!$BP$81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Foglio1!$BB$82:$BB$98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Foglio1!$BP$82:$BP$98</c:f>
              <c:numCache>
                <c:formatCode>General</c:formatCode>
                <c:ptCount val="17"/>
                <c:pt idx="0">
                  <c:v>63.155885199066823</c:v>
                </c:pt>
                <c:pt idx="1">
                  <c:v>68.158749545521772</c:v>
                </c:pt>
                <c:pt idx="2">
                  <c:v>73.023310211526876</c:v>
                </c:pt>
                <c:pt idx="3">
                  <c:v>77.753942965823626</c:v>
                </c:pt>
                <c:pt idx="4">
                  <c:v>82.355362352204125</c:v>
                </c:pt>
                <c:pt idx="5">
                  <c:v>86.832417947427174</c:v>
                </c:pt>
                <c:pt idx="6">
                  <c:v>91.189963090037736</c:v>
                </c:pt>
                <c:pt idx="7">
                  <c:v>95.432770991726173</c:v>
                </c:pt>
                <c:pt idx="8">
                  <c:v>99.565482199737389</c:v>
                </c:pt>
                <c:pt idx="9">
                  <c:v>103.59257297818026</c:v>
                </c:pt>
                <c:pt idx="10">
                  <c:v>107.51833771438079</c:v>
                </c:pt>
                <c:pt idx="11">
                  <c:v>111.34688073546634</c:v>
                </c:pt>
                <c:pt idx="12">
                  <c:v>115.0821144130956</c:v>
                </c:pt>
                <c:pt idx="13">
                  <c:v>118.7277614263778</c:v>
                </c:pt>
                <c:pt idx="14">
                  <c:v>122.28735972091873</c:v>
                </c:pt>
                <c:pt idx="15">
                  <c:v>125.76426915655607</c:v>
                </c:pt>
                <c:pt idx="16">
                  <c:v>129.16167914875405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A8E-4BD2-A843-672F080100DC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03805688"/>
        <c:axId val="603802088"/>
        <c:axId val="599727416"/>
      </c:surface3DChart>
      <c:catAx>
        <c:axId val="603805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03802088"/>
        <c:crosses val="autoZero"/>
        <c:auto val="1"/>
        <c:lblAlgn val="ctr"/>
        <c:lblOffset val="100"/>
        <c:noMultiLvlLbl val="0"/>
      </c:catAx>
      <c:valAx>
        <c:axId val="60380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03805688"/>
        <c:crosses val="autoZero"/>
        <c:crossBetween val="midCat"/>
      </c:valAx>
      <c:serAx>
        <c:axId val="59972741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0380208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>
                <a:latin typeface="Arial" panose="020B0604020202020204" pitchFamily="34" charset="0"/>
                <a:cs typeface="Arial" panose="020B0604020202020204" pitchFamily="34" charset="0"/>
              </a:rPr>
              <a:t>Θ parameter, </a:t>
            </a:r>
            <a:r>
              <a:rPr lang="el-GR">
                <a:latin typeface="Arial" panose="020B0604020202020204" pitchFamily="34" charset="0"/>
                <a:cs typeface="Arial" panose="020B0604020202020204" pitchFamily="34" charset="0"/>
              </a:rPr>
              <a:t>σ</a:t>
            </a:r>
            <a:r>
              <a:rPr lang="it-IT">
                <a:latin typeface="Arial" panose="020B0604020202020204" pitchFamily="34" charset="0"/>
                <a:cs typeface="Arial" panose="020B0604020202020204" pitchFamily="34" charset="0"/>
              </a:rPr>
              <a:t>=70%</a:t>
            </a:r>
            <a:endParaRPr lang="it-IT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Foglio1!$BC$61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Foglio1!$BB$62:$BB$78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Foglio1!$BC$62:$BC$78</c:f>
              <c:numCache>
                <c:formatCode>General</c:formatCode>
                <c:ptCount val="17"/>
                <c:pt idx="0">
                  <c:v>-3.6202892523738566</c:v>
                </c:pt>
                <c:pt idx="1">
                  <c:v>-7.3560015099262577</c:v>
                </c:pt>
                <c:pt idx="2">
                  <c:v>-12.813071747890184</c:v>
                </c:pt>
                <c:pt idx="3">
                  <c:v>-19.677321714231475</c:v>
                </c:pt>
                <c:pt idx="4">
                  <c:v>-27.229570927299459</c:v>
                </c:pt>
                <c:pt idx="5">
                  <c:v>-34.541346575752335</c:v>
                </c:pt>
                <c:pt idx="6">
                  <c:v>-40.72202735003976</c:v>
                </c:pt>
                <c:pt idx="7">
                  <c:v>-45.117488339015907</c:v>
                </c:pt>
                <c:pt idx="8">
                  <c:v>-47.407380202807616</c:v>
                </c:pt>
                <c:pt idx="9">
                  <c:v>-47.600529369508749</c:v>
                </c:pt>
                <c:pt idx="10">
                  <c:v>-45.960632722373113</c:v>
                </c:pt>
                <c:pt idx="11">
                  <c:v>-42.90302915040234</c:v>
                </c:pt>
                <c:pt idx="12">
                  <c:v>-38.895553008658702</c:v>
                </c:pt>
                <c:pt idx="13">
                  <c:v>-34.382466607613466</c:v>
                </c:pt>
                <c:pt idx="14">
                  <c:v>-29.737497135072516</c:v>
                </c:pt>
                <c:pt idx="15">
                  <c:v>-25.243308199322559</c:v>
                </c:pt>
                <c:pt idx="16">
                  <c:v>-21.09059094878014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F-40D8-99CC-681CDF9C583B}"/>
            </c:ext>
          </c:extLst>
        </c:ser>
        <c:ser>
          <c:idx val="1"/>
          <c:order val="1"/>
          <c:tx>
            <c:strRef>
              <c:f>Foglio1!$BD$61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Foglio1!$BB$62:$BB$78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Foglio1!$BD$62:$BD$78</c:f>
              <c:numCache>
                <c:formatCode>General</c:formatCode>
                <c:ptCount val="17"/>
                <c:pt idx="0">
                  <c:v>-8.1224699262941709</c:v>
                </c:pt>
                <c:pt idx="1">
                  <c:v>-11.80844904838472</c:v>
                </c:pt>
                <c:pt idx="2">
                  <c:v>-15.872569574168427</c:v>
                </c:pt>
                <c:pt idx="3">
                  <c:v>-20.009323103053479</c:v>
                </c:pt>
                <c:pt idx="4">
                  <c:v>-23.919322281130082</c:v>
                </c:pt>
                <c:pt idx="5">
                  <c:v>-27.351720836859673</c:v>
                </c:pt>
                <c:pt idx="6">
                  <c:v>-30.128029040422188</c:v>
                </c:pt>
                <c:pt idx="7">
                  <c:v>-32.148630099838201</c:v>
                </c:pt>
                <c:pt idx="8">
                  <c:v>-33.386525297573989</c:v>
                </c:pt>
                <c:pt idx="9">
                  <c:v>-33.873586742857306</c:v>
                </c:pt>
                <c:pt idx="10">
                  <c:v>-33.683884417198939</c:v>
                </c:pt>
                <c:pt idx="11">
                  <c:v>-32.917351140430462</c:v>
                </c:pt>
                <c:pt idx="12">
                  <c:v>-31.685718868492319</c:v>
                </c:pt>
                <c:pt idx="13">
                  <c:v>-30.101580210956218</c:v>
                </c:pt>
                <c:pt idx="14">
                  <c:v>-28.270681603961538</c:v>
                </c:pt>
                <c:pt idx="15">
                  <c:v>-26.287112651740578</c:v>
                </c:pt>
                <c:pt idx="16">
                  <c:v>-24.230849237668693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9F-40D8-99CC-681CDF9C583B}"/>
            </c:ext>
          </c:extLst>
        </c:ser>
        <c:ser>
          <c:idx val="2"/>
          <c:order val="2"/>
          <c:tx>
            <c:strRef>
              <c:f>Foglio1!$BE$61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Foglio1!$BB$62:$BB$78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Foglio1!$BE$62:$BE$78</c:f>
              <c:numCache>
                <c:formatCode>General</c:formatCode>
                <c:ptCount val="17"/>
                <c:pt idx="0">
                  <c:v>-9.7082371930772258</c:v>
                </c:pt>
                <c:pt idx="1">
                  <c:v>-12.624163145086346</c:v>
                </c:pt>
                <c:pt idx="2">
                  <c:v>-15.565280206922232</c:v>
                </c:pt>
                <c:pt idx="3">
                  <c:v>-18.373059420860383</c:v>
                </c:pt>
                <c:pt idx="4">
                  <c:v>-20.918118439930772</c:v>
                </c:pt>
                <c:pt idx="5">
                  <c:v>-23.106977734738617</c:v>
                </c:pt>
                <c:pt idx="6">
                  <c:v>-24.882524935716795</c:v>
                </c:pt>
                <c:pt idx="7">
                  <c:v>-26.220370148183779</c:v>
                </c:pt>
                <c:pt idx="8">
                  <c:v>-27.123022427351074</c:v>
                </c:pt>
                <c:pt idx="9">
                  <c:v>-27.613340982896293</c:v>
                </c:pt>
                <c:pt idx="10">
                  <c:v>-27.72822069353472</c:v>
                </c:pt>
                <c:pt idx="11">
                  <c:v>-27.513057186966915</c:v>
                </c:pt>
                <c:pt idx="12">
                  <c:v>-27.017231366645351</c:v>
                </c:pt>
                <c:pt idx="13">
                  <c:v>-26.290650961685941</c:v>
                </c:pt>
                <c:pt idx="14">
                  <c:v>-25.381267279864108</c:v>
                </c:pt>
                <c:pt idx="15">
                  <c:v>-24.333425966617096</c:v>
                </c:pt>
                <c:pt idx="16">
                  <c:v>-23.186890983096681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9F-40D8-99CC-681CDF9C583B}"/>
            </c:ext>
          </c:extLst>
        </c:ser>
        <c:ser>
          <c:idx val="3"/>
          <c:order val="3"/>
          <c:tx>
            <c:strRef>
              <c:f>Foglio1!$BF$61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Foglio1!$BB$62:$BB$78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Foglio1!$BF$62:$BF$78</c:f>
              <c:numCache>
                <c:formatCode>General</c:formatCode>
                <c:ptCount val="17"/>
                <c:pt idx="0">
                  <c:v>-10.141535776701513</c:v>
                </c:pt>
                <c:pt idx="1">
                  <c:v>-12.472481910983769</c:v>
                </c:pt>
                <c:pt idx="2">
                  <c:v>-14.728667553177518</c:v>
                </c:pt>
                <c:pt idx="3">
                  <c:v>-16.823324435351964</c:v>
                </c:pt>
                <c:pt idx="4">
                  <c:v>-18.692490620798679</c:v>
                </c:pt>
                <c:pt idx="5">
                  <c:v>-20.294558106064077</c:v>
                </c:pt>
                <c:pt idx="6">
                  <c:v>-21.607805541390455</c:v>
                </c:pt>
                <c:pt idx="7">
                  <c:v>-22.626957659127374</c:v>
                </c:pt>
                <c:pt idx="8">
                  <c:v>-23.359491258490451</c:v>
                </c:pt>
                <c:pt idx="9">
                  <c:v>-23.822133118174069</c:v>
                </c:pt>
                <c:pt idx="10">
                  <c:v>-24.037788805437899</c:v>
                </c:pt>
                <c:pt idx="11">
                  <c:v>-24.032999767321609</c:v>
                </c:pt>
                <c:pt idx="12">
                  <c:v>-23.835936934675466</c:v>
                </c:pt>
                <c:pt idx="13">
                  <c:v>-23.474888393218293</c:v>
                </c:pt>
                <c:pt idx="14">
                  <c:v>-22.977174240267889</c:v>
                </c:pt>
                <c:pt idx="15">
                  <c:v>-22.368414027180904</c:v>
                </c:pt>
                <c:pt idx="16">
                  <c:v>-21.672074321577703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9F-40D8-99CC-681CDF9C583B}"/>
            </c:ext>
          </c:extLst>
        </c:ser>
        <c:ser>
          <c:idx val="4"/>
          <c:order val="4"/>
          <c:tx>
            <c:strRef>
              <c:f>Foglio1!$BG$61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Foglio1!$BB$62:$BB$78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Foglio1!$BG$62:$BG$78</c:f>
              <c:numCache>
                <c:formatCode>General</c:formatCode>
                <c:ptCount val="17"/>
                <c:pt idx="0">
                  <c:v>-10.125488712179877</c:v>
                </c:pt>
                <c:pt idx="1">
                  <c:v>-12.043167613027867</c:v>
                </c:pt>
                <c:pt idx="2">
                  <c:v>-13.85821330152573</c:v>
                </c:pt>
                <c:pt idx="3">
                  <c:v>-15.519968637200639</c:v>
                </c:pt>
                <c:pt idx="4">
                  <c:v>-16.993952407121718</c:v>
                </c:pt>
                <c:pt idx="5">
                  <c:v>-18.25998408319542</c:v>
                </c:pt>
                <c:pt idx="6">
                  <c:v>-19.309744933716466</c:v>
                </c:pt>
                <c:pt idx="7">
                  <c:v>-20.144236716958034</c:v>
                </c:pt>
                <c:pt idx="8">
                  <c:v>-20.771406804749223</c:v>
                </c:pt>
                <c:pt idx="9">
                  <c:v>-21.204074747012285</c:v>
                </c:pt>
                <c:pt idx="10">
                  <c:v>-21.458208894988399</c:v>
                </c:pt>
                <c:pt idx="11">
                  <c:v>-21.551550079646685</c:v>
                </c:pt>
                <c:pt idx="12">
                  <c:v>-21.502551505254466</c:v>
                </c:pt>
                <c:pt idx="13">
                  <c:v>-21.329591532706903</c:v>
                </c:pt>
                <c:pt idx="14">
                  <c:v>-21.050412876573347</c:v>
                </c:pt>
                <c:pt idx="15">
                  <c:v>-20.681743854989215</c:v>
                </c:pt>
                <c:pt idx="16">
                  <c:v>-20.239062084638292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79F-40D8-99CC-681CDF9C583B}"/>
            </c:ext>
          </c:extLst>
        </c:ser>
        <c:ser>
          <c:idx val="5"/>
          <c:order val="5"/>
          <c:tx>
            <c:strRef>
              <c:f>Foglio1!$BH$61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Foglio1!$BB$62:$BB$78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Foglio1!$BH$62:$BH$78</c:f>
              <c:numCache>
                <c:formatCode>General</c:formatCode>
                <c:ptCount val="17"/>
                <c:pt idx="0">
                  <c:v>-9.9251315691381201</c:v>
                </c:pt>
                <c:pt idx="1">
                  <c:v>-11.544615820832831</c:v>
                </c:pt>
                <c:pt idx="2">
                  <c:v>-13.057215477638737</c:v>
                </c:pt>
                <c:pt idx="3">
                  <c:v>-14.431921456185309</c:v>
                </c:pt>
                <c:pt idx="4">
                  <c:v>-15.649203872742763</c:v>
                </c:pt>
                <c:pt idx="5">
                  <c:v>-16.699070032889662</c:v>
                </c:pt>
                <c:pt idx="6">
                  <c:v>-17.579079249897738</c:v>
                </c:pt>
                <c:pt idx="7">
                  <c:v>-18.292509068894319</c:v>
                </c:pt>
                <c:pt idx="8">
                  <c:v>-18.846763773348989</c:v>
                </c:pt>
                <c:pt idx="9">
                  <c:v>-19.252052756687249</c:v>
                </c:pt>
                <c:pt idx="10">
                  <c:v>-19.520330528149458</c:v>
                </c:pt>
                <c:pt idx="11">
                  <c:v>-19.664472001880657</c:v>
                </c:pt>
                <c:pt idx="12">
                  <c:v>-19.697649428149258</c:v>
                </c:pt>
                <c:pt idx="13">
                  <c:v>-19.632876293601452</c:v>
                </c:pt>
                <c:pt idx="14">
                  <c:v>-19.482685821322608</c:v>
                </c:pt>
                <c:pt idx="15">
                  <c:v>-19.258915545649682</c:v>
                </c:pt>
                <c:pt idx="16">
                  <c:v>-18.972573766297341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79F-40D8-99CC-681CDF9C583B}"/>
            </c:ext>
          </c:extLst>
        </c:ser>
        <c:ser>
          <c:idx val="6"/>
          <c:order val="6"/>
          <c:tx>
            <c:strRef>
              <c:f>Foglio1!$BI$61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Foglio1!$BB$62:$BB$78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Foglio1!$BI$62:$BI$78</c:f>
              <c:numCache>
                <c:formatCode>General</c:formatCode>
                <c:ptCount val="17"/>
                <c:pt idx="0">
                  <c:v>-9.6499734469851255</c:v>
                </c:pt>
                <c:pt idx="1">
                  <c:v>-11.047256719061656</c:v>
                </c:pt>
                <c:pt idx="2">
                  <c:v>-12.341603811158766</c:v>
                </c:pt>
                <c:pt idx="3">
                  <c:v>-13.51344335688632</c:v>
                </c:pt>
                <c:pt idx="4">
                  <c:v>-14.55149814969891</c:v>
                </c:pt>
                <c:pt idx="5">
                  <c:v>-15.451089032790366</c:v>
                </c:pt>
                <c:pt idx="6">
                  <c:v>-16.212582039765483</c:v>
                </c:pt>
                <c:pt idx="7">
                  <c:v>-16.840049128396927</c:v>
                </c:pt>
                <c:pt idx="8">
                  <c:v>-17.340159613914441</c:v>
                </c:pt>
                <c:pt idx="9">
                  <c:v>-17.721290951743761</c:v>
                </c:pt>
                <c:pt idx="10">
                  <c:v>-17.992834145997996</c:v>
                </c:pt>
                <c:pt idx="11">
                  <c:v>-18.164664440710609</c:v>
                </c:pt>
                <c:pt idx="12">
                  <c:v>-18.246748115914254</c:v>
                </c:pt>
                <c:pt idx="13">
                  <c:v>-18.248858755222443</c:v>
                </c:pt>
                <c:pt idx="14">
                  <c:v>-18.180379871604622</c:v>
                </c:pt>
                <c:pt idx="15">
                  <c:v>-18.050174491784439</c:v>
                </c:pt>
                <c:pt idx="16">
                  <c:v>-17.866505801845257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79F-40D8-99CC-681CDF9C583B}"/>
            </c:ext>
          </c:extLst>
        </c:ser>
        <c:ser>
          <c:idx val="7"/>
          <c:order val="7"/>
          <c:tx>
            <c:strRef>
              <c:f>Foglio1!$BJ$61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Foglio1!$BB$62:$BB$78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Foglio1!$BJ$62:$BJ$78</c:f>
              <c:numCache>
                <c:formatCode>General</c:formatCode>
                <c:ptCount val="17"/>
                <c:pt idx="0">
                  <c:v>-9.3487359169758371</c:v>
                </c:pt>
                <c:pt idx="1">
                  <c:v>-10.575358159420366</c:v>
                </c:pt>
                <c:pt idx="2">
                  <c:v>-11.705674210887549</c:v>
                </c:pt>
                <c:pt idx="3">
                  <c:v>-12.727138467766885</c:v>
                </c:pt>
                <c:pt idx="4">
                  <c:v>-13.633318876107651</c:v>
                </c:pt>
                <c:pt idx="5">
                  <c:v>-14.422486256962905</c:v>
                </c:pt>
                <c:pt idx="6">
                  <c:v>-15.096404940376969</c:v>
                </c:pt>
                <c:pt idx="7">
                  <c:v>-15.65933624811537</c:v>
                </c:pt>
                <c:pt idx="8">
                  <c:v>-16.117241054182308</c:v>
                </c:pt>
                <c:pt idx="9">
                  <c:v>-16.477156701172024</c:v>
                </c:pt>
                <c:pt idx="10">
                  <c:v>-16.746720491199568</c:v>
                </c:pt>
                <c:pt idx="11">
                  <c:v>-16.933812968440062</c:v>
                </c:pt>
                <c:pt idx="12">
                  <c:v>-17.046297064167671</c:v>
                </c:pt>
                <c:pt idx="13">
                  <c:v>-17.091832666828381</c:v>
                </c:pt>
                <c:pt idx="14">
                  <c:v>-17.077749671074653</c:v>
                </c:pt>
                <c:pt idx="15">
                  <c:v>-17.010965746013074</c:v>
                </c:pt>
                <c:pt idx="16">
                  <c:v>-16.897937825027402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79F-40D8-99CC-681CDF9C583B}"/>
            </c:ext>
          </c:extLst>
        </c:ser>
        <c:ser>
          <c:idx val="8"/>
          <c:order val="8"/>
          <c:tx>
            <c:strRef>
              <c:f>Foglio1!$BK$61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Foglio1!$BB$62:$BB$78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Foglio1!$BK$62:$BK$78</c:f>
              <c:numCache>
                <c:formatCode>General</c:formatCode>
                <c:ptCount val="17"/>
                <c:pt idx="0">
                  <c:v>-9.0440848969884371</c:v>
                </c:pt>
                <c:pt idx="1">
                  <c:v>-10.13614828105465</c:v>
                </c:pt>
                <c:pt idx="2">
                  <c:v>-11.139107937955318</c:v>
                </c:pt>
                <c:pt idx="3">
                  <c:v>-12.044920475781096</c:v>
                </c:pt>
                <c:pt idx="4">
                  <c:v>-12.850131165642495</c:v>
                </c:pt>
                <c:pt idx="5">
                  <c:v>-13.554717829133951</c:v>
                </c:pt>
                <c:pt idx="6">
                  <c:v>-14.161143174106222</c:v>
                </c:pt>
                <c:pt idx="7">
                  <c:v>-14.673599505101436</c:v>
                </c:pt>
                <c:pt idx="8">
                  <c:v>-15.097419860205173</c:v>
                </c:pt>
                <c:pt idx="9">
                  <c:v>-15.438627574370424</c:v>
                </c:pt>
                <c:pt idx="10">
                  <c:v>-15.703597980783439</c:v>
                </c:pt>
                <c:pt idx="11">
                  <c:v>-15.898809229399925</c:v>
                </c:pt>
                <c:pt idx="12">
                  <c:v>-16.030662873628451</c:v>
                </c:pt>
                <c:pt idx="13">
                  <c:v>-16.105358389652604</c:v>
                </c:pt>
                <c:pt idx="14">
                  <c:v>-16.128808906235804</c:v>
                </c:pt>
                <c:pt idx="15">
                  <c:v>-16.10658806280945</c:v>
                </c:pt>
                <c:pt idx="16">
                  <c:v>-16.043900090609228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79F-40D8-99CC-681CDF9C583B}"/>
            </c:ext>
          </c:extLst>
        </c:ser>
        <c:ser>
          <c:idx val="9"/>
          <c:order val="9"/>
          <c:tx>
            <c:strRef>
              <c:f>Foglio1!$BL$61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Foglio1!$BB$62:$BB$78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Foglio1!$BL$62:$BL$78</c:f>
              <c:numCache>
                <c:formatCode>General</c:formatCode>
                <c:ptCount val="17"/>
                <c:pt idx="0">
                  <c:v>-8.7466903739657607</c:v>
                </c:pt>
                <c:pt idx="1">
                  <c:v>-9.7302647688433055</c:v>
                </c:pt>
                <c:pt idx="2">
                  <c:v>-10.631694043863599</c:v>
                </c:pt>
                <c:pt idx="3">
                  <c:v>-11.445917900621225</c:v>
                </c:pt>
                <c:pt idx="4">
                  <c:v>-12.171373897258382</c:v>
                </c:pt>
                <c:pt idx="5">
                  <c:v>-12.809052165759866</c:v>
                </c:pt>
                <c:pt idx="6">
                  <c:v>-13.361745943064699</c:v>
                </c:pt>
                <c:pt idx="7">
                  <c:v>-13.833469584703202</c:v>
                </c:pt>
                <c:pt idx="8">
                  <c:v>-14.229014371219559</c:v>
                </c:pt>
                <c:pt idx="9">
                  <c:v>-14.553614855093318</c:v>
                </c:pt>
                <c:pt idx="10">
                  <c:v>-14.812702326775849</c:v>
                </c:pt>
                <c:pt idx="11">
                  <c:v>-15.011726025531052</c:v>
                </c:pt>
                <c:pt idx="12">
                  <c:v>-15.156026453576059</c:v>
                </c:pt>
                <c:pt idx="13">
                  <c:v>-15.250748372550079</c:v>
                </c:pt>
                <c:pt idx="14">
                  <c:v>-15.300783735126281</c:v>
                </c:pt>
                <c:pt idx="15">
                  <c:v>-15.310736971412108</c:v>
                </c:pt>
                <c:pt idx="16">
                  <c:v>-15.284906777682664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79F-40D8-99CC-681CDF9C583B}"/>
            </c:ext>
          </c:extLst>
        </c:ser>
        <c:ser>
          <c:idx val="10"/>
          <c:order val="10"/>
          <c:tx>
            <c:strRef>
              <c:f>Foglio1!$BM$61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Foglio1!$BB$62:$BB$78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Foglio1!$BM$62:$BM$78</c:f>
              <c:numCache>
                <c:formatCode>General</c:formatCode>
                <c:ptCount val="17"/>
                <c:pt idx="0">
                  <c:v>-6.4898169809828072</c:v>
                </c:pt>
                <c:pt idx="1">
                  <c:v>-6.9819316953579857</c:v>
                </c:pt>
                <c:pt idx="2">
                  <c:v>-7.4334018010715663</c:v>
                </c:pt>
                <c:pt idx="3">
                  <c:v>-7.8458785711432313</c:v>
                </c:pt>
                <c:pt idx="4">
                  <c:v>-8.2213355491387325</c:v>
                </c:pt>
                <c:pt idx="5">
                  <c:v>-8.56191096690746</c:v>
                </c:pt>
                <c:pt idx="6">
                  <c:v>-8.8698020759202834</c:v>
                </c:pt>
                <c:pt idx="7">
                  <c:v>-9.1471951310753781</c:v>
                </c:pt>
                <c:pt idx="8">
                  <c:v>-9.3962199397062118</c:v>
                </c:pt>
                <c:pt idx="9">
                  <c:v>-9.6189213610190922</c:v>
                </c:pt>
                <c:pt idx="10">
                  <c:v>-9.8172424918701022</c:v>
                </c:pt>
                <c:pt idx="11">
                  <c:v>-9.993015879508663</c:v>
                </c:pt>
                <c:pt idx="12">
                  <c:v>-10.147960206133789</c:v>
                </c:pt>
                <c:pt idx="13">
                  <c:v>-10.283680655509473</c:v>
                </c:pt>
                <c:pt idx="14">
                  <c:v>-10.401671705932017</c:v>
                </c:pt>
                <c:pt idx="15">
                  <c:v>-10.50332146861702</c:v>
                </c:pt>
                <c:pt idx="16">
                  <c:v>-10.589916954862986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79F-40D8-99CC-681CDF9C583B}"/>
            </c:ext>
          </c:extLst>
        </c:ser>
        <c:ser>
          <c:idx val="11"/>
          <c:order val="11"/>
          <c:tx>
            <c:strRef>
              <c:f>Foglio1!$BN$61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Foglio1!$BB$62:$BB$78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Foglio1!$BN$62:$BN$78</c:f>
              <c:numCache>
                <c:formatCode>General</c:formatCode>
                <c:ptCount val="17"/>
                <c:pt idx="0">
                  <c:v>-5.1334524529799941</c:v>
                </c:pt>
                <c:pt idx="1">
                  <c:v>-5.4612029815160854</c:v>
                </c:pt>
                <c:pt idx="2">
                  <c:v>-5.7640181618645316</c:v>
                </c:pt>
                <c:pt idx="3">
                  <c:v>-6.0435740376304077</c:v>
                </c:pt>
                <c:pt idx="4">
                  <c:v>-6.3014967386623173</c:v>
                </c:pt>
                <c:pt idx="5">
                  <c:v>-6.5393350264681498</c:v>
                </c:pt>
                <c:pt idx="6">
                  <c:v>-6.7585465594705818</c:v>
                </c:pt>
                <c:pt idx="7">
                  <c:v>-6.9604925739499368</c:v>
                </c:pt>
                <c:pt idx="8">
                  <c:v>-7.1464376747806124</c:v>
                </c:pt>
                <c:pt idx="9">
                  <c:v>-7.3175526568131932</c:v>
                </c:pt>
                <c:pt idx="10">
                  <c:v>-7.4749190426768184</c:v>
                </c:pt>
                <c:pt idx="11">
                  <c:v>-7.6195345058986295</c:v>
                </c:pt>
                <c:pt idx="12">
                  <c:v>-7.7523186565052038</c:v>
                </c:pt>
                <c:pt idx="13">
                  <c:v>-7.8741188644571114</c:v>
                </c:pt>
                <c:pt idx="14">
                  <c:v>-7.9857159242827978</c:v>
                </c:pt>
                <c:pt idx="15">
                  <c:v>-8.0878294470910603</c:v>
                </c:pt>
                <c:pt idx="16">
                  <c:v>-8.1811229195872919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79F-40D8-99CC-681CDF9C583B}"/>
            </c:ext>
          </c:extLst>
        </c:ser>
        <c:ser>
          <c:idx val="12"/>
          <c:order val="12"/>
          <c:tx>
            <c:strRef>
              <c:f>Foglio1!$BO$61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Foglio1!$BB$62:$BB$78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Foglio1!$BO$62:$BO$78</c:f>
              <c:numCache>
                <c:formatCode>General</c:formatCode>
                <c:ptCount val="17"/>
                <c:pt idx="0">
                  <c:v>-4.2190109750540241</c:v>
                </c:pt>
                <c:pt idx="1">
                  <c:v>-4.4631916359158348</c:v>
                </c:pt>
                <c:pt idx="2">
                  <c:v>-4.6901129108834336</c:v>
                </c:pt>
                <c:pt idx="3">
                  <c:v>-4.9011423987512241</c:v>
                </c:pt>
                <c:pt idx="4">
                  <c:v>-5.0975330091525732</c:v>
                </c:pt>
                <c:pt idx="5">
                  <c:v>-5.2804279586626954</c:v>
                </c:pt>
                <c:pt idx="6">
                  <c:v>-5.4508682335102359</c:v>
                </c:pt>
                <c:pt idx="7">
                  <c:v>-5.6098009786268568</c:v>
                </c:pt>
                <c:pt idx="8">
                  <c:v>-5.7580879778689402</c:v>
                </c:pt>
                <c:pt idx="9">
                  <c:v>-5.8965137877738067</c:v>
                </c:pt>
                <c:pt idx="10">
                  <c:v>-6.0257933125446854</c:v>
                </c:pt>
                <c:pt idx="11">
                  <c:v>-6.1465787352702996</c:v>
                </c:pt>
                <c:pt idx="12">
                  <c:v>-6.2594657912271208</c:v>
                </c:pt>
                <c:pt idx="13">
                  <c:v>-6.3649994071927249</c:v>
                </c:pt>
                <c:pt idx="14">
                  <c:v>-6.4636787497475678</c:v>
                </c:pt>
                <c:pt idx="15">
                  <c:v>-6.5559617336033655</c:v>
                </c:pt>
                <c:pt idx="16">
                  <c:v>-6.6422690428181879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79F-40D8-99CC-681CDF9C583B}"/>
            </c:ext>
          </c:extLst>
        </c:ser>
        <c:ser>
          <c:idx val="13"/>
          <c:order val="13"/>
          <c:tx>
            <c:strRef>
              <c:f>Foglio1!$BP$61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Foglio1!$BB$62:$BB$78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Foglio1!$BP$62:$BP$78</c:f>
              <c:numCache>
                <c:formatCode>General</c:formatCode>
                <c:ptCount val="17"/>
                <c:pt idx="0">
                  <c:v>-3.5508108173642969</c:v>
                </c:pt>
                <c:pt idx="1">
                  <c:v>-3.7435919403439528</c:v>
                </c:pt>
                <c:pt idx="2">
                  <c:v>-3.9235509325680793</c:v>
                </c:pt>
                <c:pt idx="3">
                  <c:v>-4.091790380665409</c:v>
                </c:pt>
                <c:pt idx="4">
                  <c:v>-4.2492936462972031</c:v>
                </c:pt>
                <c:pt idx="5">
                  <c:v>-4.3969391101136548</c:v>
                </c:pt>
                <c:pt idx="6">
                  <c:v>-4.5355130089477189</c:v>
                </c:pt>
                <c:pt idx="7">
                  <c:v>-4.6657207659083069</c:v>
                </c:pt>
                <c:pt idx="8">
                  <c:v>-4.7881968798807026</c:v>
                </c:pt>
                <c:pt idx="9">
                  <c:v>-4.9035135088331572</c:v>
                </c:pt>
                <c:pt idx="10">
                  <c:v>-5.0121879011396695</c:v>
                </c:pt>
                <c:pt idx="11">
                  <c:v>-5.1146888263244987</c:v>
                </c:pt>
                <c:pt idx="12">
                  <c:v>-5.2114421440260124</c:v>
                </c:pt>
                <c:pt idx="13">
                  <c:v>-5.3028356339624301</c:v>
                </c:pt>
                <c:pt idx="14">
                  <c:v>-5.3892231933667141</c:v>
                </c:pt>
                <c:pt idx="15">
                  <c:v>-5.4709284931571114</c:v>
                </c:pt>
                <c:pt idx="16">
                  <c:v>-5.5482481705741522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79F-40D8-99CC-681CDF9C583B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03783008"/>
        <c:axId val="603781568"/>
        <c:axId val="504179008"/>
      </c:surface3DChart>
      <c:catAx>
        <c:axId val="603783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03781568"/>
        <c:crosses val="autoZero"/>
        <c:auto val="1"/>
        <c:lblAlgn val="ctr"/>
        <c:lblOffset val="100"/>
        <c:noMultiLvlLbl val="0"/>
      </c:catAx>
      <c:valAx>
        <c:axId val="60378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03783008"/>
        <c:crosses val="autoZero"/>
        <c:crossBetween val="midCat"/>
      </c:valAx>
      <c:serAx>
        <c:axId val="504179008"/>
        <c:scaling>
          <c:orientation val="minMax"/>
        </c:scaling>
        <c:delete val="0"/>
        <c:axPos val="b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0378156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V</a:t>
            </a:r>
            <a:r>
              <a:rPr lang="it-IT" baseline="0"/>
              <a:t> parameter, </a:t>
            </a:r>
            <a:r>
              <a:rPr lang="el-GR" baseline="0">
                <a:latin typeface="Arial" panose="020B0604020202020204" pitchFamily="34" charset="0"/>
                <a:cs typeface="Arial" panose="020B0604020202020204" pitchFamily="34" charset="0"/>
              </a:rPr>
              <a:t>σ</a:t>
            </a:r>
            <a:r>
              <a:rPr lang="it-IT" baseline="0">
                <a:latin typeface="Arial" panose="020B0604020202020204" pitchFamily="34" charset="0"/>
                <a:cs typeface="Arial" panose="020B0604020202020204" pitchFamily="34" charset="0"/>
              </a:rPr>
              <a:t>=70%</a:t>
            </a:r>
            <a:endParaRPr lang="it-IT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4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Foglio1!$BC$41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Foglio1!$BB$42:$BB$58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Foglio1!$BC$42:$BC$58</c:f>
              <c:numCache>
                <c:formatCode>General</c:formatCode>
                <c:ptCount val="17"/>
                <c:pt idx="0">
                  <c:v>0.96230463052797144</c:v>
                </c:pt>
                <c:pt idx="1">
                  <c:v>1.954471666624336</c:v>
                </c:pt>
                <c:pt idx="2">
                  <c:v>3.4027518318585601</c:v>
                </c:pt>
                <c:pt idx="3">
                  <c:v>5.2227243386330793</c:v>
                </c:pt>
                <c:pt idx="4">
                  <c:v>7.2224147382489443</c:v>
                </c:pt>
                <c:pt idx="5">
                  <c:v>9.1545572686096257</c:v>
                </c:pt>
                <c:pt idx="6">
                  <c:v>10.782426873320036</c:v>
                </c:pt>
                <c:pt idx="7">
                  <c:v>11.932640162519261</c:v>
                </c:pt>
                <c:pt idx="8">
                  <c:v>12.520896485698522</c:v>
                </c:pt>
                <c:pt idx="9">
                  <c:v>12.550579571403768</c:v>
                </c:pt>
                <c:pt idx="10">
                  <c:v>12.092830029717241</c:v>
                </c:pt>
                <c:pt idx="11">
                  <c:v>11.25896899298017</c:v>
                </c:pt>
                <c:pt idx="12">
                  <c:v>10.174062445622232</c:v>
                </c:pt>
                <c:pt idx="13">
                  <c:v>8.9566735873843975</c:v>
                </c:pt>
                <c:pt idx="14">
                  <c:v>7.7063920030296922</c:v>
                </c:pt>
                <c:pt idx="15">
                  <c:v>6.498414000628622</c:v>
                </c:pt>
                <c:pt idx="16">
                  <c:v>5.38334833679881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81-4BDA-A3DC-53910C78335D}"/>
            </c:ext>
          </c:extLst>
        </c:ser>
        <c:ser>
          <c:idx val="1"/>
          <c:order val="1"/>
          <c:tx>
            <c:strRef>
              <c:f>Foglio1!$BD$41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Foglio1!$BB$42:$BB$58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Foglio1!$BD$42:$BD$58</c:f>
              <c:numCache>
                <c:formatCode>General</c:formatCode>
                <c:ptCount val="17"/>
                <c:pt idx="0">
                  <c:v>4.307488820298782</c:v>
                </c:pt>
                <c:pt idx="1">
                  <c:v>6.2584111461318184</c:v>
                </c:pt>
                <c:pt idx="2">
                  <c:v>8.4066820884654554</c:v>
                </c:pt>
                <c:pt idx="3">
                  <c:v>10.589671886559563</c:v>
                </c:pt>
                <c:pt idx="4">
                  <c:v>12.648330366567395</c:v>
                </c:pt>
                <c:pt idx="5">
                  <c:v>14.449701026567132</c:v>
                </c:pt>
                <c:pt idx="6">
                  <c:v>15.899508198910276</c:v>
                </c:pt>
                <c:pt idx="7">
                  <c:v>16.945533858674747</c:v>
                </c:pt>
                <c:pt idx="8">
                  <c:v>17.574208810498856</c:v>
                </c:pt>
                <c:pt idx="9">
                  <c:v>17.803235466015071</c:v>
                </c:pt>
                <c:pt idx="10">
                  <c:v>17.672674571600229</c:v>
                </c:pt>
                <c:pt idx="11">
                  <c:v>17.236230963495665</c:v>
                </c:pt>
                <c:pt idx="12">
                  <c:v>16.553763541673625</c:v>
                </c:pt>
                <c:pt idx="13">
                  <c:v>15.685469558926538</c:v>
                </c:pt>
                <c:pt idx="14">
                  <c:v>14.687795807538262</c:v>
                </c:pt>
                <c:pt idx="15">
                  <c:v>13.610894802183807</c:v>
                </c:pt>
                <c:pt idx="16">
                  <c:v>12.497334779431734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81-4BDA-A3DC-53910C78335D}"/>
            </c:ext>
          </c:extLst>
        </c:ser>
        <c:ser>
          <c:idx val="2"/>
          <c:order val="2"/>
          <c:tx>
            <c:strRef>
              <c:f>Foglio1!$BE$41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Foglio1!$BB$42:$BB$58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Foglio1!$BE$42:$BE$58</c:f>
              <c:numCache>
                <c:formatCode>General</c:formatCode>
                <c:ptCount val="17"/>
                <c:pt idx="0">
                  <c:v>7.7070035053036081</c:v>
                </c:pt>
                <c:pt idx="1">
                  <c:v>10.01459055039151</c:v>
                </c:pt>
                <c:pt idx="2">
                  <c:v>12.338061856815379</c:v>
                </c:pt>
                <c:pt idx="3">
                  <c:v>14.551301540052556</c:v>
                </c:pt>
                <c:pt idx="4">
                  <c:v>16.551638635300861</c:v>
                </c:pt>
                <c:pt idx="5">
                  <c:v>18.265163731175299</c:v>
                </c:pt>
                <c:pt idx="6">
                  <c:v>19.647031915270468</c:v>
                </c:pt>
                <c:pt idx="7">
                  <c:v>20.678499850322464</c:v>
                </c:pt>
                <c:pt idx="8">
                  <c:v>21.362239069595265</c:v>
                </c:pt>
                <c:pt idx="9">
                  <c:v>21.717084629888365</c:v>
                </c:pt>
                <c:pt idx="10">
                  <c:v>21.772982691248405</c:v>
                </c:pt>
                <c:pt idx="11">
                  <c:v>21.566569470641671</c:v>
                </c:pt>
                <c:pt idx="12">
                  <c:v>21.137570377345824</c:v>
                </c:pt>
                <c:pt idx="13">
                  <c:v>20.526047030729313</c:v>
                </c:pt>
                <c:pt idx="14">
                  <c:v>19.770425026344299</c:v>
                </c:pt>
                <c:pt idx="15">
                  <c:v>18.906188384234468</c:v>
                </c:pt>
                <c:pt idx="16">
                  <c:v>17.965111383971959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81-4BDA-A3DC-53910C78335D}"/>
            </c:ext>
          </c:extLst>
        </c:ser>
        <c:ser>
          <c:idx val="3"/>
          <c:order val="3"/>
          <c:tx>
            <c:strRef>
              <c:f>Foglio1!$BF$41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Foglio1!$BB$42:$BB$58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Foglio1!$BF$42:$BF$58</c:f>
              <c:numCache>
                <c:formatCode>General</c:formatCode>
                <c:ptCount val="17"/>
                <c:pt idx="0">
                  <c:v>10.715821938961961</c:v>
                </c:pt>
                <c:pt idx="1">
                  <c:v>13.168217294892413</c:v>
                </c:pt>
                <c:pt idx="2">
                  <c:v>15.537006089228115</c:v>
                </c:pt>
                <c:pt idx="3">
                  <c:v>17.730490162865959</c:v>
                </c:pt>
                <c:pt idx="4">
                  <c:v>19.681315661671697</c:v>
                </c:pt>
                <c:pt idx="5">
                  <c:v>21.345933738012619</c:v>
                </c:pt>
                <c:pt idx="6">
                  <c:v>22.701931746464219</c:v>
                </c:pt>
                <c:pt idx="7">
                  <c:v>23.744342549581454</c:v>
                </c:pt>
                <c:pt idx="8">
                  <c:v>24.481695877609376</c:v>
                </c:pt>
                <c:pt idx="9">
                  <c:v>24.932283177046209</c:v>
                </c:pt>
                <c:pt idx="10">
                  <c:v>25.120887812537415</c:v>
                </c:pt>
                <c:pt idx="11">
                  <c:v>25.076082138217004</c:v>
                </c:pt>
                <c:pt idx="12">
                  <c:v>24.828098483780835</c:v>
                </c:pt>
                <c:pt idx="13">
                  <c:v>24.407227574223771</c:v>
                </c:pt>
                <c:pt idx="14">
                  <c:v>23.8426722541445</c:v>
                </c:pt>
                <c:pt idx="15">
                  <c:v>23.1617764666657</c:v>
                </c:pt>
                <c:pt idx="16">
                  <c:v>22.389551937593353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581-4BDA-A3DC-53910C78335D}"/>
            </c:ext>
          </c:extLst>
        </c:ser>
        <c:ser>
          <c:idx val="4"/>
          <c:order val="4"/>
          <c:tx>
            <c:strRef>
              <c:f>Foglio1!$BG$41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Foglio1!$BB$42:$BB$58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Foglio1!$BG$42:$BG$58</c:f>
              <c:numCache>
                <c:formatCode>General</c:formatCode>
                <c:ptCount val="17"/>
                <c:pt idx="0">
                  <c:v>13.352819454915236</c:v>
                </c:pt>
                <c:pt idx="1">
                  <c:v>15.868167849183843</c:v>
                </c:pt>
                <c:pt idx="2">
                  <c:v>18.243287435816367</c:v>
                </c:pt>
                <c:pt idx="3">
                  <c:v>20.411532462398938</c:v>
                </c:pt>
                <c:pt idx="4">
                  <c:v>22.32777950422749</c:v>
                </c:pt>
                <c:pt idx="5">
                  <c:v>23.965894246386764</c:v>
                </c:pt>
                <c:pt idx="6">
                  <c:v>25.315462181929956</c:v>
                </c:pt>
                <c:pt idx="7">
                  <c:v>26.378393965610581</c:v>
                </c:pt>
                <c:pt idx="8">
                  <c:v>27.165760306167765</c:v>
                </c:pt>
                <c:pt idx="9">
                  <c:v>27.695033602505013</c:v>
                </c:pt>
                <c:pt idx="10">
                  <c:v>27.987799062242395</c:v>
                </c:pt>
                <c:pt idx="11">
                  <c:v>28.067929821808264</c:v>
                </c:pt>
                <c:pt idx="12">
                  <c:v>27.960183951240623</c:v>
                </c:pt>
                <c:pt idx="13">
                  <c:v>27.68916493972241</c:v>
                </c:pt>
                <c:pt idx="14">
                  <c:v>27.278583317366337</c:v>
                </c:pt>
                <c:pt idx="15">
                  <c:v>26.750760070825738</c:v>
                </c:pt>
                <c:pt idx="16">
                  <c:v>26.126318970268269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581-4BDA-A3DC-53910C78335D}"/>
            </c:ext>
          </c:extLst>
        </c:ser>
        <c:ser>
          <c:idx val="5"/>
          <c:order val="5"/>
          <c:tx>
            <c:strRef>
              <c:f>Foglio1!$BH$41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Foglio1!$BB$42:$BB$58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Foglio1!$BH$42:$BH$58</c:f>
              <c:numCache>
                <c:formatCode>General</c:formatCode>
                <c:ptCount val="17"/>
                <c:pt idx="0">
                  <c:v>15.684368629118737</c:v>
                </c:pt>
                <c:pt idx="1">
                  <c:v>18.227302099061273</c:v>
                </c:pt>
                <c:pt idx="2">
                  <c:v>20.596306646146122</c:v>
                </c:pt>
                <c:pt idx="3">
                  <c:v>22.742660267217438</c:v>
                </c:pt>
                <c:pt idx="4">
                  <c:v>24.635925284788122</c:v>
                </c:pt>
                <c:pt idx="5">
                  <c:v>26.260824951241073</c:v>
                </c:pt>
                <c:pt idx="6">
                  <c:v>27.614062097535339</c:v>
                </c:pt>
                <c:pt idx="7">
                  <c:v>28.701387322171158</c:v>
                </c:pt>
                <c:pt idx="8">
                  <c:v>29.53505927113055</c:v>
                </c:pt>
                <c:pt idx="9">
                  <c:v>30.131739111574209</c:v>
                </c:pt>
                <c:pt idx="10">
                  <c:v>30.51080464374256</c:v>
                </c:pt>
                <c:pt idx="11">
                  <c:v>30.693040983508439</c:v>
                </c:pt>
                <c:pt idx="12">
                  <c:v>30.699653429522943</c:v>
                </c:pt>
                <c:pt idx="13">
                  <c:v>30.551546718921145</c:v>
                </c:pt>
                <c:pt idx="14">
                  <c:v>30.268818725074901</c:v>
                </c:pt>
                <c:pt idx="15">
                  <c:v>29.870422908501922</c:v>
                </c:pt>
                <c:pt idx="16">
                  <c:v>29.37396082652166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581-4BDA-A3DC-53910C78335D}"/>
            </c:ext>
          </c:extLst>
        </c:ser>
        <c:ser>
          <c:idx val="6"/>
          <c:order val="6"/>
          <c:tx>
            <c:strRef>
              <c:f>Foglio1!$BI$41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Foglio1!$BB$42:$BB$58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Foglio1!$BI$42:$BI$58</c:f>
              <c:numCache>
                <c:formatCode>General</c:formatCode>
                <c:ptCount val="17"/>
                <c:pt idx="0">
                  <c:v>17.768474328533646</c:v>
                </c:pt>
                <c:pt idx="1">
                  <c:v>20.322541531618239</c:v>
                </c:pt>
                <c:pt idx="2">
                  <c:v>22.681989780487889</c:v>
                </c:pt>
                <c:pt idx="3">
                  <c:v>24.811151738458545</c:v>
                </c:pt>
                <c:pt idx="4">
                  <c:v>26.689738523025984</c:v>
                </c:pt>
                <c:pt idx="5">
                  <c:v>28.309669099705641</c:v>
                </c:pt>
                <c:pt idx="6">
                  <c:v>29.672174586335316</c:v>
                </c:pt>
                <c:pt idx="7">
                  <c:v>30.785305660886817</c:v>
                </c:pt>
                <c:pt idx="8">
                  <c:v>31.661872875433232</c:v>
                </c:pt>
                <c:pt idx="9">
                  <c:v>32.317797287019395</c:v>
                </c:pt>
                <c:pt idx="10">
                  <c:v>32.770824369897689</c:v>
                </c:pt>
                <c:pt idx="11">
                  <c:v>33.039545909017093</c:v>
                </c:pt>
                <c:pt idx="12">
                  <c:v>33.142675124075033</c:v>
                </c:pt>
                <c:pt idx="13">
                  <c:v>33.098525181252619</c:v>
                </c:pt>
                <c:pt idx="14">
                  <c:v>32.924647920534348</c:v>
                </c:pt>
                <c:pt idx="15">
                  <c:v>32.637596619344947</c:v>
                </c:pt>
                <c:pt idx="16">
                  <c:v>32.252783184647036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581-4BDA-A3DC-53910C78335D}"/>
            </c:ext>
          </c:extLst>
        </c:ser>
        <c:ser>
          <c:idx val="7"/>
          <c:order val="7"/>
          <c:tx>
            <c:strRef>
              <c:f>Foglio1!$BJ$41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Foglio1!$BB$42:$BB$58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Foglio1!$BJ$42:$BJ$58</c:f>
              <c:numCache>
                <c:formatCode>General</c:formatCode>
                <c:ptCount val="17"/>
                <c:pt idx="0">
                  <c:v>19.649872195059917</c:v>
                </c:pt>
                <c:pt idx="1">
                  <c:v>22.207108172769527</c:v>
                </c:pt>
                <c:pt idx="2">
                  <c:v>24.556828012317286</c:v>
                </c:pt>
                <c:pt idx="3">
                  <c:v>26.673096590014932</c:v>
                </c:pt>
                <c:pt idx="4">
                  <c:v>28.542904657460671</c:v>
                </c:pt>
                <c:pt idx="5">
                  <c:v>30.163163036363223</c:v>
                </c:pt>
                <c:pt idx="6">
                  <c:v>31.538130924091949</c:v>
                </c:pt>
                <c:pt idx="7">
                  <c:v>32.677300547697889</c:v>
                </c:pt>
                <c:pt idx="8">
                  <c:v>33.593707277281972</c:v>
                </c:pt>
                <c:pt idx="9">
                  <c:v>34.30261154092166</c:v>
                </c:pt>
                <c:pt idx="10">
                  <c:v>34.820492751690161</c:v>
                </c:pt>
                <c:pt idx="11">
                  <c:v>35.164297843388347</c:v>
                </c:pt>
                <c:pt idx="12">
                  <c:v>35.350893261879641</c:v>
                </c:pt>
                <c:pt idx="13">
                  <c:v>35.39667680655662</c:v>
                </c:pt>
                <c:pt idx="14">
                  <c:v>35.317313221920969</c:v>
                </c:pt>
                <c:pt idx="15">
                  <c:v>35.127564266945022</c:v>
                </c:pt>
                <c:pt idx="16">
                  <c:v>34.84118989553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581-4BDA-A3DC-53910C78335D}"/>
            </c:ext>
          </c:extLst>
        </c:ser>
        <c:ser>
          <c:idx val="8"/>
          <c:order val="8"/>
          <c:tx>
            <c:strRef>
              <c:f>Foglio1!$BK$41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Foglio1!$BB$42:$BB$58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Foglio1!$BK$42:$BK$58</c:f>
              <c:numCache>
                <c:formatCode>General</c:formatCode>
                <c:ptCount val="17"/>
                <c:pt idx="0">
                  <c:v>21.362506994654318</c:v>
                </c:pt>
                <c:pt idx="1">
                  <c:v>23.919024945967386</c:v>
                </c:pt>
                <c:pt idx="2">
                  <c:v>26.260006743804094</c:v>
                </c:pt>
                <c:pt idx="3">
                  <c:v>28.366935453217923</c:v>
                </c:pt>
                <c:pt idx="4">
                  <c:v>30.232183937164713</c:v>
                </c:pt>
                <c:pt idx="5">
                  <c:v>31.856249589376972</c:v>
                </c:pt>
                <c:pt idx="6">
                  <c:v>33.245491771367753</c:v>
                </c:pt>
                <c:pt idx="7">
                  <c:v>34.410331651995044</c:v>
                </c:pt>
                <c:pt idx="8">
                  <c:v>35.363851167769937</c:v>
                </c:pt>
                <c:pt idx="9">
                  <c:v>36.120723357844327</c:v>
                </c:pt>
                <c:pt idx="10">
                  <c:v>36.696410722795299</c:v>
                </c:pt>
                <c:pt idx="11">
                  <c:v>37.106576273294209</c:v>
                </c:pt>
                <c:pt idx="12">
                  <c:v>37.366660849338999</c:v>
                </c:pt>
                <c:pt idx="13">
                  <c:v>37.4915887791567</c:v>
                </c:pt>
                <c:pt idx="14">
                  <c:v>37.495571446128153</c:v>
                </c:pt>
                <c:pt idx="15">
                  <c:v>37.391984677650541</c:v>
                </c:pt>
                <c:pt idx="16">
                  <c:v>37.193301093935432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581-4BDA-A3DC-53910C78335D}"/>
            </c:ext>
          </c:extLst>
        </c:ser>
        <c:ser>
          <c:idx val="9"/>
          <c:order val="9"/>
          <c:tx>
            <c:strRef>
              <c:f>Foglio1!$BL$41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Foglio1!$BB$42:$BB$58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Foglio1!$BL$42:$BL$58</c:f>
              <c:numCache>
                <c:formatCode>General</c:formatCode>
                <c:ptCount val="17"/>
                <c:pt idx="0">
                  <c:v>22.932374022247259</c:v>
                </c:pt>
                <c:pt idx="1">
                  <c:v>25.486338730225579</c:v>
                </c:pt>
                <c:pt idx="2">
                  <c:v>27.819908239990699</c:v>
                </c:pt>
                <c:pt idx="3">
                  <c:v>29.920332460162221</c:v>
                </c:pt>
                <c:pt idx="4">
                  <c:v>31.784063002277151</c:v>
                </c:pt>
                <c:pt idx="5">
                  <c:v>33.414245916618789</c:v>
                </c:pt>
                <c:pt idx="6">
                  <c:v>34.818737302515053</c:v>
                </c:pt>
                <c:pt idx="7">
                  <c:v>36.008565078378339</c:v>
                </c:pt>
                <c:pt idx="8">
                  <c:v>36.996757138379763</c:v>
                </c:pt>
                <c:pt idx="9">
                  <c:v>37.797462961570439</c:v>
                </c:pt>
                <c:pt idx="10">
                  <c:v>38.425306152769785</c:v>
                </c:pt>
                <c:pt idx="11">
                  <c:v>38.894916296919966</c:v>
                </c:pt>
                <c:pt idx="12">
                  <c:v>39.220598519409549</c:v>
                </c:pt>
                <c:pt idx="13">
                  <c:v>39.416107757511199</c:v>
                </c:pt>
                <c:pt idx="14">
                  <c:v>39.494501884019996</c:v>
                </c:pt>
                <c:pt idx="15">
                  <c:v>39.468053597811434</c:v>
                </c:pt>
                <c:pt idx="16">
                  <c:v>39.348205593824773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581-4BDA-A3DC-53910C78335D}"/>
            </c:ext>
          </c:extLst>
        </c:ser>
        <c:ser>
          <c:idx val="10"/>
          <c:order val="10"/>
          <c:tx>
            <c:strRef>
              <c:f>Foglio1!$BM$41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Foglio1!$BB$42:$BB$58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Foglio1!$BM$42:$BM$58</c:f>
              <c:numCache>
                <c:formatCode>General</c:formatCode>
                <c:ptCount val="17"/>
                <c:pt idx="0">
                  <c:v>33.774173476667357</c:v>
                </c:pt>
                <c:pt idx="1">
                  <c:v>36.299068219610071</c:v>
                </c:pt>
                <c:pt idx="2">
                  <c:v>38.608211436851477</c:v>
                </c:pt>
                <c:pt idx="3">
                  <c:v>40.710788113672884</c:v>
                </c:pt>
                <c:pt idx="4">
                  <c:v>42.617605566083277</c:v>
                </c:pt>
                <c:pt idx="5">
                  <c:v>44.340273854914834</c:v>
                </c:pt>
                <c:pt idx="6">
                  <c:v>45.890658479906683</c:v>
                </c:pt>
                <c:pt idx="7">
                  <c:v>47.280519682822373</c:v>
                </c:pt>
                <c:pt idx="8">
                  <c:v>48.521280033182094</c:v>
                </c:pt>
                <c:pt idx="9">
                  <c:v>49.623880299060218</c:v>
                </c:pt>
                <c:pt idx="10">
                  <c:v>50.598695997361673</c:v>
                </c:pt>
                <c:pt idx="11">
                  <c:v>51.455495466812948</c:v>
                </c:pt>
                <c:pt idx="12">
                  <c:v>52.203426113107241</c:v>
                </c:pt>
                <c:pt idx="13">
                  <c:v>52.85101949488012</c:v>
                </c:pt>
                <c:pt idx="14">
                  <c:v>53.40620871958609</c:v>
                </c:pt>
                <c:pt idx="15">
                  <c:v>53.876353580588841</c:v>
                </c:pt>
                <c:pt idx="16">
                  <c:v>54.268270248267108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581-4BDA-A3DC-53910C78335D}"/>
            </c:ext>
          </c:extLst>
        </c:ser>
        <c:ser>
          <c:idx val="11"/>
          <c:order val="11"/>
          <c:tx>
            <c:strRef>
              <c:f>Foglio1!$BN$41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Foglio1!$BB$42:$BB$58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Foglio1!$BN$42:$BN$58</c:f>
              <c:numCache>
                <c:formatCode>General</c:formatCode>
                <c:ptCount val="17"/>
                <c:pt idx="0">
                  <c:v>39.872456510604223</c:v>
                </c:pt>
                <c:pt idx="1">
                  <c:v>42.377419861064531</c:v>
                </c:pt>
                <c:pt idx="2">
                  <c:v>44.685234193903163</c:v>
                </c:pt>
                <c:pt idx="3">
                  <c:v>46.809453101064946</c:v>
                </c:pt>
                <c:pt idx="4">
                  <c:v>48.763172037903232</c:v>
                </c:pt>
                <c:pt idx="5">
                  <c:v>50.558824203247347</c:v>
                </c:pt>
                <c:pt idx="6">
                  <c:v>52.208082036725052</c:v>
                </c:pt>
                <c:pt idx="7">
                  <c:v>53.721823085123916</c:v>
                </c:pt>
                <c:pt idx="8">
                  <c:v>55.110134609406984</c:v>
                </c:pt>
                <c:pt idx="9">
                  <c:v>56.382340873483813</c:v>
                </c:pt>
                <c:pt idx="10">
                  <c:v>57.54704300925011</c:v>
                </c:pt>
                <c:pt idx="11">
                  <c:v>58.612165102982779</c:v>
                </c:pt>
                <c:pt idx="12">
                  <c:v>59.585002534348995</c:v>
                </c:pt>
                <c:pt idx="13">
                  <c:v>60.472270128156566</c:v>
                </c:pt>
                <c:pt idx="14">
                  <c:v>61.280148662530031</c:v>
                </c:pt>
                <c:pt idx="15">
                  <c:v>62.014328910329844</c:v>
                </c:pt>
                <c:pt idx="16">
                  <c:v>62.680052796718272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581-4BDA-A3DC-53910C78335D}"/>
            </c:ext>
          </c:extLst>
        </c:ser>
        <c:ser>
          <c:idx val="12"/>
          <c:order val="12"/>
          <c:tx>
            <c:strRef>
              <c:f>Foglio1!$BO$41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Foglio1!$BB$42:$BB$58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Foglio1!$BO$42:$BO$58</c:f>
              <c:numCache>
                <c:formatCode>General</c:formatCode>
                <c:ptCount val="17"/>
                <c:pt idx="0">
                  <c:v>43.530181167768859</c:v>
                </c:pt>
                <c:pt idx="1">
                  <c:v>46.007366898245145</c:v>
                </c:pt>
                <c:pt idx="2">
                  <c:v>48.303607426659838</c:v>
                </c:pt>
                <c:pt idx="3">
                  <c:v>50.433481085808175</c:v>
                </c:pt>
                <c:pt idx="4">
                  <c:v>52.410312615364838</c:v>
                </c:pt>
                <c:pt idx="5">
                  <c:v>54.246236442737327</c:v>
                </c:pt>
                <c:pt idx="6">
                  <c:v>55.952283259126773</c:v>
                </c:pt>
                <c:pt idx="7">
                  <c:v>57.538474412588819</c:v>
                </c:pt>
                <c:pt idx="8">
                  <c:v>59.013915839892036</c:v>
                </c:pt>
                <c:pt idx="9">
                  <c:v>60.386887294232508</c:v>
                </c:pt>
                <c:pt idx="10">
                  <c:v>61.66492489571273</c:v>
                </c:pt>
                <c:pt idx="11">
                  <c:v>62.854896300679911</c:v>
                </c:pt>
                <c:pt idx="12">
                  <c:v>63.963068481693554</c:v>
                </c:pt>
                <c:pt idx="13">
                  <c:v>64.995168474970157</c:v>
                </c:pt>
                <c:pt idx="14">
                  <c:v>65.956437626778424</c:v>
                </c:pt>
                <c:pt idx="15">
                  <c:v>66.851679936157495</c:v>
                </c:pt>
                <c:pt idx="16">
                  <c:v>67.685305096486843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581-4BDA-A3DC-53910C78335D}"/>
            </c:ext>
          </c:extLst>
        </c:ser>
        <c:ser>
          <c:idx val="13"/>
          <c:order val="13"/>
          <c:tx>
            <c:strRef>
              <c:f>Foglio1!$BP$41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Foglio1!$BB$42:$BB$58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Foglio1!$BP$42:$BP$58</c:f>
              <c:numCache>
                <c:formatCode>General</c:formatCode>
                <c:ptCount val="17"/>
                <c:pt idx="0">
                  <c:v>45.659987292882185</c:v>
                </c:pt>
                <c:pt idx="1">
                  <c:v>48.096992550038792</c:v>
                </c:pt>
                <c:pt idx="2">
                  <c:v>50.366724161933682</c:v>
                </c:pt>
                <c:pt idx="3">
                  <c:v>52.483766596450153</c:v>
                </c:pt>
                <c:pt idx="4">
                  <c:v>54.461105621237266</c:v>
                </c:pt>
                <c:pt idx="5">
                  <c:v>56.310323656250681</c:v>
                </c:pt>
                <c:pt idx="6">
                  <c:v>58.041774436901903</c:v>
                </c:pt>
                <c:pt idx="7">
                  <c:v>59.66473631899806</c:v>
                </c:pt>
                <c:pt idx="8">
                  <c:v>61.187545539749706</c:v>
                </c:pt>
                <c:pt idx="9">
                  <c:v>62.617711505023955</c:v>
                </c:pt>
                <c:pt idx="10">
                  <c:v>63.96201634281212</c:v>
                </c:pt>
                <c:pt idx="11">
                  <c:v>65.226600864714229</c:v>
                </c:pt>
                <c:pt idx="12">
                  <c:v>66.417038869330952</c:v>
                </c:pt>
                <c:pt idx="13">
                  <c:v>67.53840148146233</c:v>
                </c:pt>
                <c:pt idx="14">
                  <c:v>68.595312985665032</c:v>
                </c:pt>
                <c:pt idx="15">
                  <c:v>69.591999397920006</c:v>
                </c:pt>
                <c:pt idx="16">
                  <c:v>70.532330830355264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581-4BDA-A3DC-53910C78335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03782648"/>
        <c:axId val="603778328"/>
        <c:axId val="599705232"/>
      </c:surface3DChart>
      <c:catAx>
        <c:axId val="603782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03778328"/>
        <c:crosses val="autoZero"/>
        <c:auto val="1"/>
        <c:lblAlgn val="ctr"/>
        <c:lblOffset val="100"/>
        <c:noMultiLvlLbl val="0"/>
      </c:catAx>
      <c:valAx>
        <c:axId val="603778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03782648"/>
        <c:crosses val="autoZero"/>
        <c:crossBetween val="midCat"/>
      </c:valAx>
      <c:serAx>
        <c:axId val="5997052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0377832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l-GR">
                <a:latin typeface="Arial" panose="020B0604020202020204" pitchFamily="34" charset="0"/>
                <a:cs typeface="Arial" panose="020B0604020202020204" pitchFamily="34" charset="0"/>
              </a:rPr>
              <a:t>Γ</a:t>
            </a:r>
            <a:r>
              <a:rPr lang="it-IT" baseline="0">
                <a:latin typeface="Arial" panose="020B0604020202020204" pitchFamily="34" charset="0"/>
                <a:cs typeface="Arial" panose="020B0604020202020204" pitchFamily="34" charset="0"/>
              </a:rPr>
              <a:t> p</a:t>
            </a:r>
            <a:r>
              <a:rPr lang="en-US">
                <a:latin typeface="Arial" panose="020B0604020202020204" pitchFamily="34" charset="0"/>
                <a:cs typeface="Arial" panose="020B0604020202020204" pitchFamily="34" charset="0"/>
              </a:rPr>
              <a:t>arameter, </a:t>
            </a:r>
            <a:r>
              <a:rPr lang="el-GR">
                <a:latin typeface="Arial" panose="020B0604020202020204" pitchFamily="34" charset="0"/>
                <a:cs typeface="Arial" panose="020B0604020202020204" pitchFamily="34" charset="0"/>
              </a:rPr>
              <a:t>σ</a:t>
            </a:r>
            <a:r>
              <a:rPr lang="it-IT">
                <a:latin typeface="Arial" panose="020B0604020202020204" pitchFamily="34" charset="0"/>
                <a:cs typeface="Arial" panose="020B0604020202020204" pitchFamily="34" charset="0"/>
              </a:rPr>
              <a:t> = 70%</a:t>
            </a:r>
            <a:endParaRPr 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Foglio1!$BC$21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Foglio1!$BB$22:$BB$38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Foglio1!$BC$22:$BC$38</c:f>
              <c:numCache>
                <c:formatCode>General</c:formatCode>
                <c:ptCount val="17"/>
                <c:pt idx="0">
                  <c:v>3.5640912241776718E-3</c:v>
                </c:pt>
                <c:pt idx="1">
                  <c:v>6.1679579222858726E-3</c:v>
                </c:pt>
                <c:pt idx="2">
                  <c:v>9.2591886581185317E-3</c:v>
                </c:pt>
                <c:pt idx="3">
                  <c:v>1.2379791024908039E-2</c:v>
                </c:pt>
                <c:pt idx="4">
                  <c:v>1.5046697371351966E-2</c:v>
                </c:pt>
                <c:pt idx="5">
                  <c:v>1.689422333307428E-2</c:v>
                </c:pt>
                <c:pt idx="6">
                  <c:v>1.7748850820279893E-2</c:v>
                </c:pt>
                <c:pt idx="7">
                  <c:v>1.7629015937239905E-2</c:v>
                </c:pt>
                <c:pt idx="8">
                  <c:v>1.6694528647598027E-2</c:v>
                </c:pt>
                <c:pt idx="9">
                  <c:v>1.5178327523995488E-2</c:v>
                </c:pt>
                <c:pt idx="10">
                  <c:v>1.3325432539633324E-2</c:v>
                </c:pt>
                <c:pt idx="11">
                  <c:v>1.1351197472443777E-2</c:v>
                </c:pt>
                <c:pt idx="12">
                  <c:v>9.4204281903909545E-3</c:v>
                </c:pt>
                <c:pt idx="13">
                  <c:v>7.6430281279013515E-3</c:v>
                </c:pt>
                <c:pt idx="14">
                  <c:v>6.0799936907532087E-3</c:v>
                </c:pt>
                <c:pt idx="15">
                  <c:v>4.754212346138909E-3</c:v>
                </c:pt>
                <c:pt idx="16">
                  <c:v>3.6621417257134766E-3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E4-4749-A00A-1F4D817CAC26}"/>
            </c:ext>
          </c:extLst>
        </c:ser>
        <c:ser>
          <c:idx val="1"/>
          <c:order val="1"/>
          <c:tx>
            <c:strRef>
              <c:f>Foglio1!$BD$21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Foglio1!$BB$22:$BB$38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Foglio1!$BD$22:$BD$38</c:f>
              <c:numCache>
                <c:formatCode>General</c:formatCode>
                <c:ptCount val="17"/>
                <c:pt idx="0">
                  <c:v>7.9768311487014489E-3</c:v>
                </c:pt>
                <c:pt idx="1">
                  <c:v>9.8752049643105622E-3</c:v>
                </c:pt>
                <c:pt idx="2">
                  <c:v>1.1437662705395179E-2</c:v>
                </c:pt>
                <c:pt idx="3">
                  <c:v>1.2550722235922447E-2</c:v>
                </c:pt>
                <c:pt idx="4">
                  <c:v>1.3175344131841037E-2</c:v>
                </c:pt>
                <c:pt idx="5">
                  <c:v>1.3333057463960447E-2</c:v>
                </c:pt>
                <c:pt idx="6">
                  <c:v>1.3086014978526975E-2</c:v>
                </c:pt>
                <c:pt idx="7">
                  <c:v>1.251747653457045E-2</c:v>
                </c:pt>
                <c:pt idx="8">
                  <c:v>1.1716139206999238E-2</c:v>
                </c:pt>
                <c:pt idx="9">
                  <c:v>1.0765372919737004E-2</c:v>
                </c:pt>
                <c:pt idx="10">
                  <c:v>9.7370107832508157E-3</c:v>
                </c:pt>
                <c:pt idx="11">
                  <c:v>8.6887112607413556E-3</c:v>
                </c:pt>
                <c:pt idx="12">
                  <c:v>7.6637794174414936E-3</c:v>
                </c:pt>
                <c:pt idx="13">
                  <c:v>6.692467011808657E-3</c:v>
                </c:pt>
                <c:pt idx="14">
                  <c:v>5.7940022909421154E-3</c:v>
                </c:pt>
                <c:pt idx="15">
                  <c:v>4.9788366903278673E-3</c:v>
                </c:pt>
                <c:pt idx="16">
                  <c:v>4.2507941426638551E-3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E4-4749-A00A-1F4D817CAC26}"/>
            </c:ext>
          </c:extLst>
        </c:ser>
        <c:ser>
          <c:idx val="2"/>
          <c:order val="2"/>
          <c:tx>
            <c:strRef>
              <c:f>Foglio1!$BE$21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Foglio1!$BB$22:$BB$38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Foglio1!$BE$22:$BE$38</c:f>
              <c:numCache>
                <c:formatCode>General</c:formatCode>
                <c:ptCount val="17"/>
                <c:pt idx="0">
                  <c:v>9.5148191423501359E-3</c:v>
                </c:pt>
                <c:pt idx="1">
                  <c:v>1.0534743511259973E-2</c:v>
                </c:pt>
                <c:pt idx="2">
                  <c:v>1.1190985811170413E-2</c:v>
                </c:pt>
                <c:pt idx="3">
                  <c:v>1.1497324673621774E-2</c:v>
                </c:pt>
                <c:pt idx="4">
                  <c:v>1.1494193496736712E-2</c:v>
                </c:pt>
                <c:pt idx="5">
                  <c:v>1.123577930406785E-2</c:v>
                </c:pt>
                <c:pt idx="6">
                  <c:v>1.0780264425388464E-2</c:v>
                </c:pt>
                <c:pt idx="7">
                  <c:v>1.0183317870272683E-2</c:v>
                </c:pt>
                <c:pt idx="8">
                  <c:v>9.4943284753756744E-3</c:v>
                </c:pt>
                <c:pt idx="9">
                  <c:v>8.7546826424342132E-3</c:v>
                </c:pt>
                <c:pt idx="10">
                  <c:v>7.9974224761243003E-3</c:v>
                </c:pt>
                <c:pt idx="11">
                  <c:v>7.2477444135741814E-3</c:v>
                </c:pt>
                <c:pt idx="12">
                  <c:v>6.5239414744894531E-3</c:v>
                </c:pt>
                <c:pt idx="13">
                  <c:v>5.8385200442963399E-3</c:v>
                </c:pt>
                <c:pt idx="14">
                  <c:v>5.1993228208663516E-3</c:v>
                </c:pt>
                <c:pt idx="15">
                  <c:v>4.6105626299001914E-3</c:v>
                </c:pt>
                <c:pt idx="16">
                  <c:v>4.0737214022612154E-3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E4-4749-A00A-1F4D817CAC26}"/>
            </c:ext>
          </c:extLst>
        </c:ser>
        <c:ser>
          <c:idx val="3"/>
          <c:order val="3"/>
          <c:tx>
            <c:strRef>
              <c:f>Foglio1!$BF$21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Foglio1!$BB$22:$BB$38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Foglio1!$BF$22:$BF$38</c:f>
              <c:numCache>
                <c:formatCode>General</c:formatCode>
                <c:ptCount val="17"/>
                <c:pt idx="0">
                  <c:v>9.9220573508907051E-3</c:v>
                </c:pt>
                <c:pt idx="1">
                  <c:v>1.0389126070921035E-2</c:v>
                </c:pt>
                <c:pt idx="2">
                  <c:v>1.0569391897434091E-2</c:v>
                </c:pt>
                <c:pt idx="3">
                  <c:v>1.0506957133550196E-2</c:v>
                </c:pt>
                <c:pt idx="4">
                  <c:v>1.0250685240454008E-2</c:v>
                </c:pt>
                <c:pt idx="5">
                  <c:v>9.8481816553691436E-3</c:v>
                </c:pt>
                <c:pt idx="6">
                  <c:v>9.3423587434009123E-3</c:v>
                </c:pt>
                <c:pt idx="7">
                  <c:v>8.7698402768537215E-3</c:v>
                </c:pt>
                <c:pt idx="8">
                  <c:v>8.1605652925364584E-3</c:v>
                </c:pt>
                <c:pt idx="9">
                  <c:v>7.5381052689482125E-3</c:v>
                </c:pt>
                <c:pt idx="10">
                  <c:v>6.9203547692940539E-3</c:v>
                </c:pt>
                <c:pt idx="11">
                  <c:v>6.3203735698089489E-3</c:v>
                </c:pt>
                <c:pt idx="12">
                  <c:v>5.7472450193937121E-3</c:v>
                </c:pt>
                <c:pt idx="13">
                  <c:v>5.2068752158344039E-3</c:v>
                </c:pt>
                <c:pt idx="14">
                  <c:v>4.702696697069921E-3</c:v>
                </c:pt>
                <c:pt idx="15">
                  <c:v>4.2362645572319524E-3</c:v>
                </c:pt>
                <c:pt idx="16">
                  <c:v>3.8077469281621351E-3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E4-4749-A00A-1F4D817CAC26}"/>
            </c:ext>
          </c:extLst>
        </c:ser>
        <c:ser>
          <c:idx val="4"/>
          <c:order val="4"/>
          <c:tx>
            <c:strRef>
              <c:f>Foglio1!$BG$21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Foglio1!$BB$22:$BB$38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Foglio1!$BG$22:$BG$38</c:f>
              <c:numCache>
                <c:formatCode>General</c:formatCode>
                <c:ptCount val="17"/>
                <c:pt idx="0">
                  <c:v>9.8909773740112859E-3</c:v>
                </c:pt>
                <c:pt idx="1">
                  <c:v>1.0015411660234378E-2</c:v>
                </c:pt>
                <c:pt idx="2">
                  <c:v>9.928319692961287E-3</c:v>
                </c:pt>
                <c:pt idx="3">
                  <c:v>9.6765783525446809E-3</c:v>
                </c:pt>
                <c:pt idx="4">
                  <c:v>9.3032414600947872E-3</c:v>
                </c:pt>
                <c:pt idx="5">
                  <c:v>8.8455434358059564E-3</c:v>
                </c:pt>
                <c:pt idx="6">
                  <c:v>8.3343085372608889E-3</c:v>
                </c:pt>
                <c:pt idx="7">
                  <c:v>7.7941699621379363E-3</c:v>
                </c:pt>
                <c:pt idx="8">
                  <c:v>7.2442027483114041E-3</c:v>
                </c:pt>
                <c:pt idx="9">
                  <c:v>6.6987231691622105E-3</c:v>
                </c:pt>
                <c:pt idx="10">
                  <c:v>6.1681099861691227E-3</c:v>
                </c:pt>
                <c:pt idx="11">
                  <c:v>5.6595699703709153E-3</c:v>
                </c:pt>
                <c:pt idx="12">
                  <c:v>5.1778118428223371E-3</c:v>
                </c:pt>
                <c:pt idx="13">
                  <c:v>4.7256174830459571E-3</c:v>
                </c:pt>
                <c:pt idx="14">
                  <c:v>4.3043129494858123E-3</c:v>
                </c:pt>
                <c:pt idx="15">
                  <c:v>3.914148707208155E-3</c:v>
                </c:pt>
                <c:pt idx="16">
                  <c:v>3.5546012204446622E-3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E4-4749-A00A-1F4D817CAC26}"/>
            </c:ext>
          </c:extLst>
        </c:ser>
        <c:ser>
          <c:idx val="5"/>
          <c:order val="5"/>
          <c:tx>
            <c:strRef>
              <c:f>Foglio1!$BH$21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Foglio1!$BB$22:$BB$38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Foglio1!$BH$22:$BH$38</c:f>
              <c:numCache>
                <c:formatCode>General</c:formatCode>
                <c:ptCount val="17"/>
                <c:pt idx="0">
                  <c:v>9.6817090303202066E-3</c:v>
                </c:pt>
                <c:pt idx="1">
                  <c:v>9.587009651051295E-3</c:v>
                </c:pt>
                <c:pt idx="2">
                  <c:v>9.3407286377079918E-3</c:v>
                </c:pt>
                <c:pt idx="3">
                  <c:v>8.984754673468617E-3</c:v>
                </c:pt>
                <c:pt idx="4">
                  <c:v>8.5541407238847629E-3</c:v>
                </c:pt>
                <c:pt idx="5">
                  <c:v>8.0771472360603065E-3</c:v>
                </c:pt>
                <c:pt idx="6">
                  <c:v>7.575874375181162E-3</c:v>
                </c:pt>
                <c:pt idx="7">
                  <c:v>7.0671313812671367E-3</c:v>
                </c:pt>
                <c:pt idx="8">
                  <c:v>6.563346504695677E-3</c:v>
                </c:pt>
                <c:pt idx="9">
                  <c:v>6.0734168025344832E-3</c:v>
                </c:pt>
                <c:pt idx="10">
                  <c:v>5.6034535617525355E-3</c:v>
                </c:pt>
                <c:pt idx="11">
                  <c:v>5.1574107932801398E-3</c:v>
                </c:pt>
                <c:pt idx="12">
                  <c:v>4.7376008378893419E-3</c:v>
                </c:pt>
                <c:pt idx="13">
                  <c:v>4.3451088666910066E-3</c:v>
                </c:pt>
                <c:pt idx="14">
                  <c:v>3.9801208054010386E-3</c:v>
                </c:pt>
                <c:pt idx="15">
                  <c:v>3.6421792907790785E-3</c:v>
                </c:pt>
                <c:pt idx="16">
                  <c:v>3.330381046090891E-3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E4-4749-A00A-1F4D817CAC26}"/>
            </c:ext>
          </c:extLst>
        </c:ser>
        <c:ser>
          <c:idx val="6"/>
          <c:order val="6"/>
          <c:tx>
            <c:strRef>
              <c:f>Foglio1!$BI$21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Foglio1!$BB$22:$BB$38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Foglio1!$BI$22:$BI$38</c:f>
              <c:numCache>
                <c:formatCode>General</c:formatCode>
                <c:ptCount val="17"/>
                <c:pt idx="0">
                  <c:v>9.4013091685363204E-3</c:v>
                </c:pt>
                <c:pt idx="1">
                  <c:v>9.1620361934598975E-3</c:v>
                </c:pt>
                <c:pt idx="2">
                  <c:v>8.8171000118514638E-3</c:v>
                </c:pt>
                <c:pt idx="3">
                  <c:v>8.4016598479436343E-3</c:v>
                </c:pt>
                <c:pt idx="4">
                  <c:v>7.9433745604244009E-3</c:v>
                </c:pt>
                <c:pt idx="5">
                  <c:v>7.4634158114234668E-3</c:v>
                </c:pt>
                <c:pt idx="6">
                  <c:v>6.9775836769747947E-3</c:v>
                </c:pt>
                <c:pt idx="7">
                  <c:v>6.4973603821948164E-3</c:v>
                </c:pt>
                <c:pt idx="8">
                  <c:v>6.0308329286539479E-3</c:v>
                </c:pt>
                <c:pt idx="9">
                  <c:v>5.5834656796491773E-3</c:v>
                </c:pt>
                <c:pt idx="10">
                  <c:v>5.1587287477210053E-3</c:v>
                </c:pt>
                <c:pt idx="11">
                  <c:v>4.7585987446599467E-3</c:v>
                </c:pt>
                <c:pt idx="12">
                  <c:v>4.3839517359887609E-3</c:v>
                </c:pt>
                <c:pt idx="13">
                  <c:v>4.0348678316193664E-3</c:v>
                </c:pt>
                <c:pt idx="14">
                  <c:v>3.7108647980314846E-3</c:v>
                </c:pt>
                <c:pt idx="15">
                  <c:v>3.4110754844177875E-3</c:v>
                </c:pt>
                <c:pt idx="16">
                  <c:v>3.1343812618704605E-3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AE4-4749-A00A-1F4D817CAC26}"/>
            </c:ext>
          </c:extLst>
        </c:ser>
        <c:ser>
          <c:idx val="7"/>
          <c:order val="7"/>
          <c:tx>
            <c:strRef>
              <c:f>Foglio1!$BJ$21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Foglio1!$BB$22:$BB$38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Foglio1!$BJ$22:$BJ$38</c:f>
              <c:numCache>
                <c:formatCode>General</c:formatCode>
                <c:ptCount val="17"/>
                <c:pt idx="0">
                  <c:v>9.09716305326848E-3</c:v>
                </c:pt>
                <c:pt idx="1">
                  <c:v>8.7602004626309779E-3</c:v>
                </c:pt>
                <c:pt idx="2">
                  <c:v>8.3526625892235678E-3</c:v>
                </c:pt>
                <c:pt idx="3">
                  <c:v>7.9031397303747954E-3</c:v>
                </c:pt>
                <c:pt idx="4">
                  <c:v>7.4330480878803829E-3</c:v>
                </c:pt>
                <c:pt idx="5">
                  <c:v>6.9580537569465337E-3</c:v>
                </c:pt>
                <c:pt idx="6">
                  <c:v>6.4893273506362037E-3</c:v>
                </c:pt>
                <c:pt idx="7">
                  <c:v>6.0345892054843751E-3</c:v>
                </c:pt>
                <c:pt idx="8">
                  <c:v>5.5989512128803284E-3</c:v>
                </c:pt>
                <c:pt idx="9">
                  <c:v>5.1855799759518767E-3</c:v>
                </c:pt>
                <c:pt idx="10">
                  <c:v>4.7962111228223364E-3</c:v>
                </c:pt>
                <c:pt idx="11">
                  <c:v>4.4315435215360232E-3</c:v>
                </c:pt>
                <c:pt idx="12">
                  <c:v>4.091538571976811E-3</c:v>
                </c:pt>
                <c:pt idx="13">
                  <c:v>3.7756455260327063E-3</c:v>
                </c:pt>
                <c:pt idx="14">
                  <c:v>3.4829697457515758E-3</c:v>
                </c:pt>
                <c:pt idx="15">
                  <c:v>3.2123972809277573E-3</c:v>
                </c:pt>
                <c:pt idx="16">
                  <c:v>2.9626862156062928E-3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AE4-4749-A00A-1F4D817CAC26}"/>
            </c:ext>
          </c:extLst>
        </c:ser>
        <c:ser>
          <c:idx val="8"/>
          <c:order val="8"/>
          <c:tx>
            <c:strRef>
              <c:f>Foglio1!$BK$21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Foglio1!$BB$22:$BB$38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Foglio1!$BK$22:$BK$38</c:f>
              <c:numCache>
                <c:formatCode>General</c:formatCode>
                <c:ptCount val="17"/>
                <c:pt idx="0">
                  <c:v>8.7911551418330541E-3</c:v>
                </c:pt>
                <c:pt idx="1">
                  <c:v>8.3871224881761613E-3</c:v>
                </c:pt>
                <c:pt idx="2">
                  <c:v>7.9395334070458349E-3</c:v>
                </c:pt>
                <c:pt idx="3">
                  <c:v>7.4711270329462847E-3</c:v>
                </c:pt>
                <c:pt idx="4">
                  <c:v>6.9981907261955356E-3</c:v>
                </c:pt>
                <c:pt idx="5">
                  <c:v>6.532102953095368E-3</c:v>
                </c:pt>
                <c:pt idx="6">
                  <c:v>6.0805654817316429E-3</c:v>
                </c:pt>
                <c:pt idx="7">
                  <c:v>5.648561674688835E-3</c:v>
                </c:pt>
                <c:pt idx="8">
                  <c:v>5.2390890618918429E-3</c:v>
                </c:pt>
                <c:pt idx="9">
                  <c:v>4.8537127213026726E-3</c:v>
                </c:pt>
                <c:pt idx="10">
                  <c:v>4.4929795803850987E-3</c:v>
                </c:pt>
                <c:pt idx="11">
                  <c:v>4.1567263206098671E-3</c:v>
                </c:pt>
                <c:pt idx="12">
                  <c:v>3.8443066717426958E-3</c:v>
                </c:pt>
                <c:pt idx="13">
                  <c:v>3.554758047208932E-3</c:v>
                </c:pt>
                <c:pt idx="14">
                  <c:v>3.286922765384892E-3</c:v>
                </c:pt>
                <c:pt idx="15">
                  <c:v>3.0395354104679607E-3</c:v>
                </c:pt>
                <c:pt idx="16">
                  <c:v>2.8112850411137892E-3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AE4-4749-A00A-1F4D817CAC26}"/>
            </c:ext>
          </c:extLst>
        </c:ser>
        <c:ser>
          <c:idx val="9"/>
          <c:order val="9"/>
          <c:tx>
            <c:strRef>
              <c:f>Foglio1!$BL$21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Foglio1!$BB$22:$BB$38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Foglio1!$BL$22:$BL$38</c:f>
              <c:numCache>
                <c:formatCode>General</c:formatCode>
                <c:ptCount val="17"/>
                <c:pt idx="0">
                  <c:v>8.4934718600915768E-3</c:v>
                </c:pt>
                <c:pt idx="1">
                  <c:v>8.0430260292625108E-3</c:v>
                </c:pt>
                <c:pt idx="2">
                  <c:v>7.5700430585008702E-3</c:v>
                </c:pt>
                <c:pt idx="3">
                  <c:v>7.0922269535199341E-3</c:v>
                </c:pt>
                <c:pt idx="4">
                  <c:v>6.6216797921410725E-3</c:v>
                </c:pt>
                <c:pt idx="5">
                  <c:v>6.1664121645432597E-3</c:v>
                </c:pt>
                <c:pt idx="6">
                  <c:v>5.7314793913605024E-3</c:v>
                </c:pt>
                <c:pt idx="7">
                  <c:v>5.3198249423273627E-3</c:v>
                </c:pt>
                <c:pt idx="8">
                  <c:v>4.9329009517839681E-3</c:v>
                </c:pt>
                <c:pt idx="9">
                  <c:v>4.5711217489427594E-3</c:v>
                </c:pt>
                <c:pt idx="10">
                  <c:v>4.2341935154567257E-3</c:v>
                </c:pt>
                <c:pt idx="11">
                  <c:v>3.9213526197272811E-3</c:v>
                </c:pt>
                <c:pt idx="12">
                  <c:v>3.6315368999453286E-3</c:v>
                </c:pt>
                <c:pt idx="13">
                  <c:v>3.3635078619742888E-3</c:v>
                </c:pt>
                <c:pt idx="14">
                  <c:v>3.1159370322698223E-3</c:v>
                </c:pt>
                <c:pt idx="15">
                  <c:v>2.8874661982852441E-3</c:v>
                </c:pt>
                <c:pt idx="16">
                  <c:v>2.676748679852025E-3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AE4-4749-A00A-1F4D817CAC26}"/>
            </c:ext>
          </c:extLst>
        </c:ser>
        <c:ser>
          <c:idx val="10"/>
          <c:order val="10"/>
          <c:tx>
            <c:strRef>
              <c:f>Foglio1!$BM$21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Foglio1!$BB$22:$BB$38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Foglio1!$BM$22:$BM$38</c:f>
              <c:numCache>
                <c:formatCode>General</c:formatCode>
                <c:ptCount val="17"/>
                <c:pt idx="0">
                  <c:v>6.2544765697532144E-3</c:v>
                </c:pt>
                <c:pt idx="1">
                  <c:v>5.7276636243960661E-3</c:v>
                </c:pt>
                <c:pt idx="2">
                  <c:v>5.2528178825648267E-3</c:v>
                </c:pt>
                <c:pt idx="3">
                  <c:v>4.8249822949538229E-3</c:v>
                </c:pt>
                <c:pt idx="4">
                  <c:v>4.4393339131336747E-3</c:v>
                </c:pt>
                <c:pt idx="5">
                  <c:v>4.0913747501651514E-3</c:v>
                </c:pt>
                <c:pt idx="6">
                  <c:v>3.777008928387381E-3</c:v>
                </c:pt>
                <c:pt idx="7">
                  <c:v>3.4925591640127323E-3</c:v>
                </c:pt>
                <c:pt idx="8">
                  <c:v>3.2347520022121398E-3</c:v>
                </c:pt>
                <c:pt idx="9">
                  <c:v>3.0006881511147523E-3</c:v>
                </c:pt>
                <c:pt idx="10">
                  <c:v>2.7878069420033975E-3</c:v>
                </c:pt>
                <c:pt idx="11">
                  <c:v>2.5938498029899407E-3</c:v>
                </c:pt>
                <c:pt idx="12">
                  <c:v>2.4168252830142237E-3</c:v>
                </c:pt>
                <c:pt idx="13">
                  <c:v>2.2549768317815513E-3</c:v>
                </c:pt>
                <c:pt idx="14">
                  <c:v>2.1067537956444217E-3</c:v>
                </c:pt>
                <c:pt idx="15">
                  <c:v>1.9707856819602683E-3</c:v>
                </c:pt>
                <c:pt idx="16">
                  <c:v>1.8458595322539831E-3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AE4-4749-A00A-1F4D817CAC26}"/>
            </c:ext>
          </c:extLst>
        </c:ser>
        <c:ser>
          <c:idx val="11"/>
          <c:order val="11"/>
          <c:tx>
            <c:strRef>
              <c:f>Foglio1!$BN$21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Foglio1!$BB$22:$BB$38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Foglio1!$BN$22:$BN$38</c:f>
              <c:numCache>
                <c:formatCode>General</c:formatCode>
                <c:ptCount val="17"/>
                <c:pt idx="0">
                  <c:v>4.9225254951363248E-3</c:v>
                </c:pt>
                <c:pt idx="1">
                  <c:v>4.4578482431100108E-3</c:v>
                </c:pt>
                <c:pt idx="2">
                  <c:v>4.0530824665671811E-3</c:v>
                </c:pt>
                <c:pt idx="3">
                  <c:v>3.6985246894668607E-3</c:v>
                </c:pt>
                <c:pt idx="4">
                  <c:v>3.3863313915210584E-3</c:v>
                </c:pt>
                <c:pt idx="5">
                  <c:v>3.1101160601766922E-3</c:v>
                </c:pt>
                <c:pt idx="6">
                  <c:v>2.8646409896694132E-3</c:v>
                </c:pt>
                <c:pt idx="7">
                  <c:v>2.6455806997906519E-3</c:v>
                </c:pt>
                <c:pt idx="8">
                  <c:v>2.449339315973644E-3</c:v>
                </c:pt>
                <c:pt idx="9">
                  <c:v>2.2729086771875562E-3</c:v>
                </c:pt>
                <c:pt idx="10">
                  <c:v>2.1137573189807203E-3</c:v>
                </c:pt>
                <c:pt idx="11">
                  <c:v>1.9697429986299609E-3</c:v>
                </c:pt>
                <c:pt idx="12">
                  <c:v>1.8390432880971913E-3</c:v>
                </c:pt>
                <c:pt idx="13">
                  <c:v>1.7201001280897868E-3</c:v>
                </c:pt>
                <c:pt idx="14">
                  <c:v>1.6115752442479958E-3</c:v>
                </c:pt>
                <c:pt idx="15">
                  <c:v>1.5123140718873308E-3</c:v>
                </c:pt>
                <c:pt idx="16">
                  <c:v>1.4213163899482603E-3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AE4-4749-A00A-1F4D817CAC26}"/>
            </c:ext>
          </c:extLst>
        </c:ser>
        <c:ser>
          <c:idx val="12"/>
          <c:order val="12"/>
          <c:tx>
            <c:strRef>
              <c:f>Foglio1!$BO$21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Foglio1!$BB$22:$BB$38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Foglio1!$BO$22:$BO$38</c:f>
              <c:numCache>
                <c:formatCode>General</c:formatCode>
                <c:ptCount val="17"/>
                <c:pt idx="0">
                  <c:v>4.0305723303489683E-3</c:v>
                </c:pt>
                <c:pt idx="1">
                  <c:v>3.6297725363507016E-3</c:v>
                </c:pt>
                <c:pt idx="2">
                  <c:v>3.2859596888884244E-3</c:v>
                </c:pt>
                <c:pt idx="3">
                  <c:v>2.988650731010855E-3</c:v>
                </c:pt>
                <c:pt idx="4">
                  <c:v>2.7297037820502518E-3</c:v>
                </c:pt>
                <c:pt idx="5">
                  <c:v>2.5027098704838444E-3</c:v>
                </c:pt>
                <c:pt idx="6">
                  <c:v>2.3025630970834061E-3</c:v>
                </c:pt>
                <c:pt idx="7">
                  <c:v>2.1251514095138994E-3</c:v>
                </c:pt>
                <c:pt idx="8">
                  <c:v>1.9671305279964015E-3</c:v>
                </c:pt>
                <c:pt idx="9">
                  <c:v>1.825756229606425E-3</c:v>
                </c:pt>
                <c:pt idx="10">
                  <c:v>1.6987582615898822E-3</c:v>
                </c:pt>
                <c:pt idx="11">
                  <c:v>1.584244393211844E-3</c:v>
                </c:pt>
                <c:pt idx="12">
                  <c:v>1.4806265852243877E-3</c:v>
                </c:pt>
                <c:pt idx="13">
                  <c:v>1.3865635941326965E-3</c:v>
                </c:pt>
                <c:pt idx="14">
                  <c:v>1.3009159295222568E-3</c:v>
                </c:pt>
                <c:pt idx="15">
                  <c:v>1.2227101954486968E-3</c:v>
                </c:pt>
                <c:pt idx="16">
                  <c:v>1.1511106308926332E-3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AE4-4749-A00A-1F4D817CAC26}"/>
            </c:ext>
          </c:extLst>
        </c:ser>
        <c:ser>
          <c:idx val="13"/>
          <c:order val="13"/>
          <c:tx>
            <c:strRef>
              <c:f>Foglio1!$BP$21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Foglio1!$BB$22:$BB$38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Foglio1!$BP$22:$BP$38</c:f>
              <c:numCache>
                <c:formatCode>General</c:formatCode>
                <c:ptCount val="17"/>
                <c:pt idx="0">
                  <c:v>3.3822212809542355E-3</c:v>
                </c:pt>
                <c:pt idx="1">
                  <c:v>3.0357076165704951E-3</c:v>
                </c:pt>
                <c:pt idx="2">
                  <c:v>2.7410462128943493E-3</c:v>
                </c:pt>
                <c:pt idx="3">
                  <c:v>2.4881193053131923E-3</c:v>
                </c:pt>
                <c:pt idx="4">
                  <c:v>2.2692127342182193E-3</c:v>
                </c:pt>
                <c:pt idx="5">
                  <c:v>2.0783510461361266E-3</c:v>
                </c:pt>
                <c:pt idx="6">
                  <c:v>1.9108403106798978E-3</c:v>
                </c:pt>
                <c:pt idx="7">
                  <c:v>1.7629469641809213E-3</c:v>
                </c:pt>
                <c:pt idx="8">
                  <c:v>1.6316678810599919E-3</c:v>
                </c:pt>
                <c:pt idx="9">
                  <c:v>1.5145629388970266E-3</c:v>
                </c:pt>
                <c:pt idx="10">
                  <c:v>1.4096312141666579E-3</c:v>
                </c:pt>
                <c:pt idx="11">
                  <c:v>1.3152181648839667E-3</c:v>
                </c:pt>
                <c:pt idx="12">
                  <c:v>1.2299451642468694E-3</c:v>
                </c:pt>
                <c:pt idx="13">
                  <c:v>1.1526553852836236E-3</c:v>
                </c:pt>
                <c:pt idx="14">
                  <c:v>1.0823718025351483E-3</c:v>
                </c:pt>
                <c:pt idx="15">
                  <c:v>1.0182642801707545E-3</c:v>
                </c:pt>
                <c:pt idx="16">
                  <c:v>9.5962354871231641E-4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AE4-4749-A00A-1F4D817CAC26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03794888"/>
        <c:axId val="603792008"/>
        <c:axId val="606308632"/>
      </c:surface3DChart>
      <c:catAx>
        <c:axId val="603794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it-IT"/>
          </a:p>
        </c:txPr>
        <c:crossAx val="603792008"/>
        <c:crosses val="autoZero"/>
        <c:auto val="1"/>
        <c:lblAlgn val="ctr"/>
        <c:lblOffset val="100"/>
        <c:noMultiLvlLbl val="0"/>
      </c:catAx>
      <c:valAx>
        <c:axId val="603792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it-IT"/>
          </a:p>
        </c:txPr>
        <c:crossAx val="603794888"/>
        <c:crosses val="autoZero"/>
        <c:crossBetween val="midCat"/>
      </c:valAx>
      <c:serAx>
        <c:axId val="6063086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it-IT"/>
          </a:p>
        </c:txPr>
        <c:crossAx val="60379200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 rtl="0">
            <a:defRPr/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l-GR" u="none" baseline="0">
                <a:cs typeface="Dubai" panose="020B0503030403030204" pitchFamily="34" charset="-78"/>
              </a:rPr>
              <a:t>Δ</a:t>
            </a:r>
            <a:r>
              <a:rPr lang="it-IT" u="none" baseline="0">
                <a:cs typeface="Dubai" panose="020B0503030403030204" pitchFamily="34" charset="-78"/>
              </a:rPr>
              <a:t> parameter, </a:t>
            </a:r>
            <a:r>
              <a:rPr lang="el-GR" u="none" baseline="0">
                <a:latin typeface="Arial" panose="020B0604020202020204" pitchFamily="34" charset="0"/>
                <a:cs typeface="Arial" panose="020B0604020202020204" pitchFamily="34" charset="0"/>
              </a:rPr>
              <a:t>σ</a:t>
            </a:r>
            <a:r>
              <a:rPr lang="it-IT" u="none" baseline="0">
                <a:latin typeface="Arial" panose="020B0604020202020204" pitchFamily="34" charset="0"/>
                <a:cs typeface="Arial" panose="020B0604020202020204" pitchFamily="34" charset="0"/>
              </a:rPr>
              <a:t>=70%</a:t>
            </a:r>
            <a:endParaRPr lang="it-IT" u="none" baseline="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Foglio1!$BC$1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Foglio1!$BB$2:$BB$18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Foglio1!$BC$2:$BC$18</c:f>
              <c:numCache>
                <c:formatCode>General</c:formatCode>
                <c:ptCount val="17"/>
                <c:pt idx="0">
                  <c:v>2.1126068947569243E-2</c:v>
                </c:pt>
                <c:pt idx="1">
                  <c:v>4.5176509032363213E-2</c:v>
                </c:pt>
                <c:pt idx="2">
                  <c:v>8.3628438476308312E-2</c:v>
                </c:pt>
                <c:pt idx="3">
                  <c:v>0.13781861784645225</c:v>
                </c:pt>
                <c:pt idx="4">
                  <c:v>0.20666316517997055</c:v>
                </c:pt>
                <c:pt idx="5">
                  <c:v>0.28690875232341229</c:v>
                </c:pt>
                <c:pt idx="6">
                  <c:v>0.37393956416347091</c:v>
                </c:pt>
                <c:pt idx="7">
                  <c:v>0.46276519573811548</c:v>
                </c:pt>
                <c:pt idx="8">
                  <c:v>0.54886796863060561</c:v>
                </c:pt>
                <c:pt idx="9">
                  <c:v>0.628740426643426</c:v>
                </c:pt>
                <c:pt idx="10">
                  <c:v>0.70009187938078421</c:v>
                </c:pt>
                <c:pt idx="11">
                  <c:v>0.76179543763935165</c:v>
                </c:pt>
                <c:pt idx="12">
                  <c:v>0.81367941475896055</c:v>
                </c:pt>
                <c:pt idx="13">
                  <c:v>0.8562580819188863</c:v>
                </c:pt>
                <c:pt idx="14">
                  <c:v>0.89046909329722712</c:v>
                </c:pt>
                <c:pt idx="15">
                  <c:v>0.91745489864078855</c:v>
                </c:pt>
                <c:pt idx="16">
                  <c:v>0.93840161367198327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28-4960-9ACE-ADB55F6400F5}"/>
            </c:ext>
          </c:extLst>
        </c:ser>
        <c:ser>
          <c:idx val="1"/>
          <c:order val="1"/>
          <c:tx>
            <c:strRef>
              <c:f>Foglio1!$BD$1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Foglio1!$BB$2:$BB$18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Foglio1!$BD$2:$BD$18</c:f>
              <c:numCache>
                <c:formatCode>General</c:formatCode>
                <c:ptCount val="17"/>
                <c:pt idx="0">
                  <c:v>8.8617132195648873E-2</c:v>
                </c:pt>
                <c:pt idx="1">
                  <c:v>0.13335336579257259</c:v>
                </c:pt>
                <c:pt idx="2">
                  <c:v>0.18680509661488653</c:v>
                </c:pt>
                <c:pt idx="3">
                  <c:v>0.24697675969294064</c:v>
                </c:pt>
                <c:pt idx="4">
                  <c:v>0.31149485434919805</c:v>
                </c:pt>
                <c:pt idx="5">
                  <c:v>0.37794976933142455</c:v>
                </c:pt>
                <c:pt idx="6">
                  <c:v>0.44414969120003389</c:v>
                </c:pt>
                <c:pt idx="7">
                  <c:v>0.50827382428539103</c:v>
                </c:pt>
                <c:pt idx="8">
                  <c:v>0.56893678507139533</c:v>
                </c:pt>
                <c:pt idx="9">
                  <c:v>0.62518683273510978</c:v>
                </c:pt>
                <c:pt idx="10">
                  <c:v>0.67646199143480101</c:v>
                </c:pt>
                <c:pt idx="11">
                  <c:v>0.72252451853258526</c:v>
                </c:pt>
                <c:pt idx="12">
                  <c:v>0.76338877993746324</c:v>
                </c:pt>
                <c:pt idx="13">
                  <c:v>0.79925229208524651</c:v>
                </c:pt>
                <c:pt idx="14">
                  <c:v>0.83043534967074206</c:v>
                </c:pt>
                <c:pt idx="15">
                  <c:v>0.85733151321232948</c:v>
                </c:pt>
                <c:pt idx="16">
                  <c:v>0.88036918285939558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28-4960-9ACE-ADB55F6400F5}"/>
            </c:ext>
          </c:extLst>
        </c:ser>
        <c:ser>
          <c:idx val="2"/>
          <c:order val="2"/>
          <c:tx>
            <c:strRef>
              <c:f>Foglio1!$BE$1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Foglio1!$BB$2:$BB$18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Foglio1!$BE$2:$BE$18</c:f>
              <c:numCache>
                <c:formatCode>General</c:formatCode>
                <c:ptCount val="17"/>
                <c:pt idx="0">
                  <c:v>0.15131370419602788</c:v>
                </c:pt>
                <c:pt idx="1">
                  <c:v>0.2015871252871782</c:v>
                </c:pt>
                <c:pt idx="2">
                  <c:v>0.25605269927096125</c:v>
                </c:pt>
                <c:pt idx="3">
                  <c:v>0.31291234390289491</c:v>
                </c:pt>
                <c:pt idx="4">
                  <c:v>0.37050942057486491</c:v>
                </c:pt>
                <c:pt idx="5">
                  <c:v>0.42742860728396304</c:v>
                </c:pt>
                <c:pt idx="6">
                  <c:v>0.48253887039046062</c:v>
                </c:pt>
                <c:pt idx="7">
                  <c:v>0.53499589444218165</c:v>
                </c:pt>
                <c:pt idx="8">
                  <c:v>0.58421909793148497</c:v>
                </c:pt>
                <c:pt idx="9">
                  <c:v>0.62985522077957357</c:v>
                </c:pt>
                <c:pt idx="10">
                  <c:v>0.67173700580665341</c:v>
                </c:pt>
                <c:pt idx="11">
                  <c:v>0.70984246695588715</c:v>
                </c:pt>
                <c:pt idx="12">
                  <c:v>0.74425789659534769</c:v>
                </c:pt>
                <c:pt idx="13">
                  <c:v>0.77514610933724293</c:v>
                </c:pt>
                <c:pt idx="14">
                  <c:v>0.8027203381196244</c:v>
                </c:pt>
                <c:pt idx="15">
                  <c:v>0.82722354997945047</c:v>
                </c:pt>
                <c:pt idx="16">
                  <c:v>0.84891260510983468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28-4960-9ACE-ADB55F6400F5}"/>
            </c:ext>
          </c:extLst>
        </c:ser>
        <c:ser>
          <c:idx val="3"/>
          <c:order val="3"/>
          <c:tx>
            <c:strRef>
              <c:f>Foglio1!$BF$1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Foglio1!$BB$2:$BB$18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Foglio1!$BF$2:$BF$18</c:f>
              <c:numCache>
                <c:formatCode>General</c:formatCode>
                <c:ptCount val="17"/>
                <c:pt idx="0">
                  <c:v>0.20289886603179977</c:v>
                </c:pt>
                <c:pt idx="1">
                  <c:v>0.2538040954979297</c:v>
                </c:pt>
                <c:pt idx="2">
                  <c:v>0.30631136605000264</c:v>
                </c:pt>
                <c:pt idx="3">
                  <c:v>0.35909327094601673</c:v>
                </c:pt>
                <c:pt idx="4">
                  <c:v>0.41105796251681698</c:v>
                </c:pt>
                <c:pt idx="5">
                  <c:v>0.46135667662966717</c:v>
                </c:pt>
                <c:pt idx="6">
                  <c:v>0.50936793732569541</c:v>
                </c:pt>
                <c:pt idx="7">
                  <c:v>0.55466948074671341</c:v>
                </c:pt>
                <c:pt idx="8">
                  <c:v>0.59700543533482464</c:v>
                </c:pt>
                <c:pt idx="9">
                  <c:v>0.63625347490564876</c:v>
                </c:pt>
                <c:pt idx="10">
                  <c:v>0.67239460587795308</c:v>
                </c:pt>
                <c:pt idx="11">
                  <c:v>0.70548685858145432</c:v>
                </c:pt>
                <c:pt idx="12">
                  <c:v>0.73564327184987299</c:v>
                </c:pt>
                <c:pt idx="13">
                  <c:v>0.76301404338171686</c:v>
                </c:pt>
                <c:pt idx="14">
                  <c:v>0.7877724464129523</c:v>
                </c:pt>
                <c:pt idx="15">
                  <c:v>0.81010399739742345</c:v>
                </c:pt>
                <c:pt idx="16">
                  <c:v>0.83019833743736016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928-4960-9ACE-ADB55F6400F5}"/>
            </c:ext>
          </c:extLst>
        </c:ser>
        <c:ser>
          <c:idx val="4"/>
          <c:order val="4"/>
          <c:tx>
            <c:strRef>
              <c:f>Foglio1!$BG$1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Foglio1!$BB$2:$BB$18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Foglio1!$BG$2:$BG$18</c:f>
              <c:numCache>
                <c:formatCode>General</c:formatCode>
                <c:ptCount val="17"/>
                <c:pt idx="0">
                  <c:v>0.24552841473049869</c:v>
                </c:pt>
                <c:pt idx="1">
                  <c:v>0.29539246140748004</c:v>
                </c:pt>
                <c:pt idx="2">
                  <c:v>0.34532998639685208</c:v>
                </c:pt>
                <c:pt idx="3">
                  <c:v>0.39440146966336181</c:v>
                </c:pt>
                <c:pt idx="4">
                  <c:v>0.44189344301688604</c:v>
                </c:pt>
                <c:pt idx="5">
                  <c:v>0.48729364365005429</c:v>
                </c:pt>
                <c:pt idx="6">
                  <c:v>0.53025999578611838</c:v>
                </c:pt>
                <c:pt idx="7">
                  <c:v>0.57058886601407466</c:v>
                </c:pt>
                <c:pt idx="8">
                  <c:v>0.60818557879721724</c:v>
                </c:pt>
                <c:pt idx="9">
                  <c:v>0.64303859122951312</c:v>
                </c:pt>
                <c:pt idx="10">
                  <c:v>0.67519776340776172</c:v>
                </c:pt>
                <c:pt idx="11">
                  <c:v>0.7047566177911323</c:v>
                </c:pt>
                <c:pt idx="12">
                  <c:v>0.73183820596954197</c:v>
                </c:pt>
                <c:pt idx="13">
                  <c:v>0.75658408944160893</c:v>
                </c:pt>
                <c:pt idx="14">
                  <c:v>0.77914592307854869</c:v>
                </c:pt>
                <c:pt idx="15">
                  <c:v>0.79967916198613265</c:v>
                </c:pt>
                <c:pt idx="16">
                  <c:v>0.81833846763296003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28-4960-9ACE-ADB55F6400F5}"/>
            </c:ext>
          </c:extLst>
        </c:ser>
        <c:ser>
          <c:idx val="5"/>
          <c:order val="5"/>
          <c:tx>
            <c:strRef>
              <c:f>Foglio1!$BH$1</c:f>
              <c:strCache>
                <c:ptCount val="1"/>
                <c:pt idx="0">
                  <c:v>0,6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Foglio1!$BB$2:$BB$18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Foglio1!$BH$2:$BH$18</c:f>
              <c:numCache>
                <c:formatCode>General</c:formatCode>
                <c:ptCount val="17"/>
                <c:pt idx="0">
                  <c:v>0.28146475449695674</c:v>
                </c:pt>
                <c:pt idx="1">
                  <c:v>0.32970927053098636</c:v>
                </c:pt>
                <c:pt idx="2">
                  <c:v>0.37708254507071887</c:v>
                </c:pt>
                <c:pt idx="3">
                  <c:v>0.42293412254340235</c:v>
                </c:pt>
                <c:pt idx="4">
                  <c:v>0.46680607284924169</c:v>
                </c:pt>
                <c:pt idx="5">
                  <c:v>0.50839857420493262</c:v>
                </c:pt>
                <c:pt idx="6">
                  <c:v>0.54753737370314859</c:v>
                </c:pt>
                <c:pt idx="7">
                  <c:v>0.58414511067082064</c:v>
                </c:pt>
                <c:pt idx="8">
                  <c:v>0.61821714650136994</c:v>
                </c:pt>
                <c:pt idx="9">
                  <c:v>0.64980182165101763</c:v>
                </c:pt>
                <c:pt idx="10">
                  <c:v>0.67898471105720093</c:v>
                </c:pt>
                <c:pt idx="11">
                  <c:v>0.70587631525520922</c:v>
                </c:pt>
                <c:pt idx="12">
                  <c:v>0.73060260794878429</c:v>
                </c:pt>
                <c:pt idx="13">
                  <c:v>0.75329790309122435</c:v>
                </c:pt>
                <c:pt idx="14">
                  <c:v>0.7740995718182172</c:v>
                </c:pt>
                <c:pt idx="15">
                  <c:v>0.79314421318744366</c:v>
                </c:pt>
                <c:pt idx="16">
                  <c:v>0.81056495301412168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928-4960-9ACE-ADB55F6400F5}"/>
            </c:ext>
          </c:extLst>
        </c:ser>
        <c:ser>
          <c:idx val="6"/>
          <c:order val="6"/>
          <c:tx>
            <c:strRef>
              <c:f>Foglio1!$BI$1</c:f>
              <c:strCache>
                <c:ptCount val="1"/>
                <c:pt idx="0">
                  <c:v>0,7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Foglio1!$BB$2:$BB$18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Foglio1!$BI$2:$BI$18</c:f>
              <c:numCache>
                <c:formatCode>General</c:formatCode>
                <c:ptCount val="17"/>
                <c:pt idx="0">
                  <c:v>0.3123613023902036</c:v>
                </c:pt>
                <c:pt idx="1">
                  <c:v>0.3588220777311098</c:v>
                </c:pt>
                <c:pt idx="2">
                  <c:v>0.4038060142169414</c:v>
                </c:pt>
                <c:pt idx="3">
                  <c:v>0.44687599050804677</c:v>
                </c:pt>
                <c:pt idx="4">
                  <c:v>0.48775156506913642</c:v>
                </c:pt>
                <c:pt idx="5">
                  <c:v>0.52627391159760206</c:v>
                </c:pt>
                <c:pt idx="6">
                  <c:v>0.5623761731733552</c:v>
                </c:pt>
                <c:pt idx="7">
                  <c:v>0.59605928404144159</c:v>
                </c:pt>
                <c:pt idx="8">
                  <c:v>0.62737274813604205</c:v>
                </c:pt>
                <c:pt idx="9">
                  <c:v>0.65639965694704494</c:v>
                </c:pt>
                <c:pt idx="10">
                  <c:v>0.68324520438774694</c:v>
                </c:pt>
                <c:pt idx="11">
                  <c:v>0.70802801653166281</c:v>
                </c:pt>
                <c:pt idx="12">
                  <c:v>0.73087370724470246</c:v>
                </c:pt>
                <c:pt idx="13">
                  <c:v>0.75191016993775706</c:v>
                </c:pt>
                <c:pt idx="14">
                  <c:v>0.77126420810796592</c:v>
                </c:pt>
                <c:pt idx="15">
                  <c:v>0.78905918786531815</c:v>
                </c:pt>
                <c:pt idx="16">
                  <c:v>0.80541346305244554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928-4960-9ACE-ADB55F6400F5}"/>
            </c:ext>
          </c:extLst>
        </c:ser>
        <c:ser>
          <c:idx val="7"/>
          <c:order val="7"/>
          <c:tx>
            <c:strRef>
              <c:f>Foglio1!$BJ$1</c:f>
              <c:strCache>
                <c:ptCount val="1"/>
                <c:pt idx="0">
                  <c:v>0,8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Foglio1!$BB$2:$BB$18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Foglio1!$BJ$2:$BJ$18</c:f>
              <c:numCache>
                <c:formatCode>General</c:formatCode>
                <c:ptCount val="17"/>
                <c:pt idx="0">
                  <c:v>0.3393792039595187</c:v>
                </c:pt>
                <c:pt idx="1">
                  <c:v>0.38405906127775413</c:v>
                </c:pt>
                <c:pt idx="2">
                  <c:v>0.42686406412656341</c:v>
                </c:pt>
                <c:pt idx="3">
                  <c:v>0.46751611036884533</c:v>
                </c:pt>
                <c:pt idx="4">
                  <c:v>0.50586149836140359</c:v>
                </c:pt>
                <c:pt idx="5">
                  <c:v>0.54183866842172901</c:v>
                </c:pt>
                <c:pt idx="6">
                  <c:v>0.57545267279223011</c:v>
                </c:pt>
                <c:pt idx="7">
                  <c:v>0.60675539942458512</c:v>
                </c:pt>
                <c:pt idx="8">
                  <c:v>0.63583050552351361</c:v>
                </c:pt>
                <c:pt idx="9">
                  <c:v>0.66278210152107231</c:v>
                </c:pt>
                <c:pt idx="10">
                  <c:v>0.68772636623043093</c:v>
                </c:pt>
                <c:pt idx="11">
                  <c:v>0.71078542198773864</c:v>
                </c:pt>
                <c:pt idx="12">
                  <c:v>0.7320829339441971</c:v>
                </c:pt>
                <c:pt idx="13">
                  <c:v>0.75174101303259655</c:v>
                </c:pt>
                <c:pt idx="14">
                  <c:v>0.76987809661391204</c:v>
                </c:pt>
                <c:pt idx="15">
                  <c:v>0.78660755629398493</c:v>
                </c:pt>
                <c:pt idx="16">
                  <c:v>0.80203684173004486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928-4960-9ACE-ADB55F6400F5}"/>
            </c:ext>
          </c:extLst>
        </c:ser>
        <c:ser>
          <c:idx val="8"/>
          <c:order val="8"/>
          <c:tx>
            <c:strRef>
              <c:f>Foglio1!$BK$1</c:f>
              <c:strCache>
                <c:ptCount val="1"/>
                <c:pt idx="0">
                  <c:v>0,9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Foglio1!$BB$2:$BB$18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Foglio1!$BK$2:$BK$18</c:f>
              <c:numCache>
                <c:formatCode>General</c:formatCode>
                <c:ptCount val="17"/>
                <c:pt idx="0">
                  <c:v>0.36334273611778023</c:v>
                </c:pt>
                <c:pt idx="1">
                  <c:v>0.40631233462329119</c:v>
                </c:pt>
                <c:pt idx="2">
                  <c:v>0.44714182657514107</c:v>
                </c:pt>
                <c:pt idx="3">
                  <c:v>0.48567332951872788</c:v>
                </c:pt>
                <c:pt idx="4">
                  <c:v>0.5218458176415719</c:v>
                </c:pt>
                <c:pt idx="5">
                  <c:v>0.55566685344416378</c:v>
                </c:pt>
                <c:pt idx="6">
                  <c:v>0.58719124720808646</c:v>
                </c:pt>
                <c:pt idx="7">
                  <c:v>0.61650517351467782</c:v>
                </c:pt>
                <c:pt idx="8">
                  <c:v>0.64371449461398611</c:v>
                </c:pt>
                <c:pt idx="9">
                  <c:v>0.6689362804545772</c:v>
                </c:pt>
                <c:pt idx="10">
                  <c:v>0.6922927327573617</c:v>
                </c:pt>
                <c:pt idx="11">
                  <c:v>0.71390690249454813</c:v>
                </c:pt>
                <c:pt idx="12">
                  <c:v>0.73389973592479141</c:v>
                </c:pt>
                <c:pt idx="13">
                  <c:v>0.75238809820338859</c:v>
                </c:pt>
                <c:pt idx="14">
                  <c:v>0.76948351112245228</c:v>
                </c:pt>
                <c:pt idx="15">
                  <c:v>0.78529140814315124</c:v>
                </c:pt>
                <c:pt idx="16">
                  <c:v>0.79991076022083418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928-4960-9ACE-ADB55F6400F5}"/>
            </c:ext>
          </c:extLst>
        </c:ser>
        <c:ser>
          <c:idx val="9"/>
          <c:order val="9"/>
          <c:tx>
            <c:strRef>
              <c:f>Foglio1!$BL$1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Foglio1!$BB$2:$BB$18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Foglio1!$BL$2:$BL$18</c:f>
              <c:numCache>
                <c:formatCode>General</c:formatCode>
                <c:ptCount val="17"/>
                <c:pt idx="0">
                  <c:v>0.38484993639914944</c:v>
                </c:pt>
                <c:pt idx="1">
                  <c:v>0.42620517216977827</c:v>
                </c:pt>
                <c:pt idx="2">
                  <c:v>0.46524305179152847</c:v>
                </c:pt>
                <c:pt idx="3">
                  <c:v>0.50189785571136469</c:v>
                </c:pt>
                <c:pt idx="4">
                  <c:v>0.53617766106563125</c:v>
                </c:pt>
                <c:pt idx="5">
                  <c:v>0.56814028178070453</c:v>
                </c:pt>
                <c:pt idx="6">
                  <c:v>0.59787579000062485</c:v>
                </c:pt>
                <c:pt idx="7">
                  <c:v>0.62549395466192192</c:v>
                </c:pt>
                <c:pt idx="8">
                  <c:v>0.65111531370199183</c:v>
                </c:pt>
                <c:pt idx="9">
                  <c:v>0.67486491090513767</c:v>
                </c:pt>
                <c:pt idx="10">
                  <c:v>0.69686797513727661</c:v>
                </c:pt>
                <c:pt idx="11">
                  <c:v>0.7172470078877351</c:v>
                </c:pt>
                <c:pt idx="12">
                  <c:v>0.73611988619047031</c:v>
                </c:pt>
                <c:pt idx="13">
                  <c:v>0.75359869285227865</c:v>
                </c:pt>
                <c:pt idx="14">
                  <c:v>0.76978906335260189</c:v>
                </c:pt>
                <c:pt idx="15">
                  <c:v>0.7847898957710755</c:v>
                </c:pt>
                <c:pt idx="16">
                  <c:v>0.79869331195957249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928-4960-9ACE-ADB55F6400F5}"/>
            </c:ext>
          </c:extLst>
        </c:ser>
        <c:ser>
          <c:idx val="10"/>
          <c:order val="10"/>
          <c:tx>
            <c:strRef>
              <c:f>Foglio1!$BM$1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Foglio1!$BB$2:$BB$18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Foglio1!$BM$2:$BM$18</c:f>
              <c:numCache>
                <c:formatCode>General</c:formatCode>
                <c:ptCount val="17"/>
                <c:pt idx="0">
                  <c:v>0.52693812098991333</c:v>
                </c:pt>
                <c:pt idx="1">
                  <c:v>0.55687079888904489</c:v>
                </c:pt>
                <c:pt idx="2">
                  <c:v>0.58430138165234069</c:v>
                </c:pt>
                <c:pt idx="3">
                  <c:v>0.6094773192079509</c:v>
                </c:pt>
                <c:pt idx="4">
                  <c:v>0.63262149784722954</c:v>
                </c:pt>
                <c:pt idx="5">
                  <c:v>0.65393345098589306</c:v>
                </c:pt>
                <c:pt idx="6">
                  <c:v>0.67359121080144102</c:v>
                </c:pt>
                <c:pt idx="7">
                  <c:v>0.69175337783895097</c:v>
                </c:pt>
                <c:pt idx="8">
                  <c:v>0.70856118595748319</c:v>
                </c:pt>
                <c:pt idx="9">
                  <c:v>0.72414045122891246</c:v>
                </c:pt>
                <c:pt idx="10">
                  <c:v>0.7386033551003155</c:v>
                </c:pt>
                <c:pt idx="11">
                  <c:v>0.7520500459446724</c:v>
                </c:pt>
                <c:pt idx="12">
                  <c:v>0.76457006113356085</c:v>
                </c:pt>
                <c:pt idx="13">
                  <c:v>0.77624358080583544</c:v>
                </c:pt>
                <c:pt idx="14">
                  <c:v>0.78714252848824506</c:v>
                </c:pt>
                <c:pt idx="15">
                  <c:v>0.79733153490001163</c:v>
                </c:pt>
                <c:pt idx="16">
                  <c:v>0.80686878094489434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928-4960-9ACE-ADB55F6400F5}"/>
            </c:ext>
          </c:extLst>
        </c:ser>
        <c:ser>
          <c:idx val="11"/>
          <c:order val="11"/>
          <c:tx>
            <c:strRef>
              <c:f>Foglio1!$BN$1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Foglio1!$BB$2:$BB$18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Foglio1!$BN$2:$BN$18</c:f>
              <c:numCache>
                <c:formatCode>General</c:formatCode>
                <c:ptCount val="17"/>
                <c:pt idx="0">
                  <c:v>0.6100231282414782</c:v>
                </c:pt>
                <c:pt idx="1">
                  <c:v>0.63344678637256213</c:v>
                </c:pt>
                <c:pt idx="2">
                  <c:v>0.65470133157864674</c:v>
                </c:pt>
                <c:pt idx="3">
                  <c:v>0.67406118851988439</c:v>
                </c:pt>
                <c:pt idx="4">
                  <c:v>0.69175710561403425</c:v>
                </c:pt>
                <c:pt idx="5">
                  <c:v>0.70798440235821269</c:v>
                </c:pt>
                <c:pt idx="6">
                  <c:v>0.72290944965707815</c:v>
                </c:pt>
                <c:pt idx="7">
                  <c:v>0.7366747966216125</c:v>
                </c:pt>
                <c:pt idx="8">
                  <c:v>0.74940325571601751</c:v>
                </c:pt>
                <c:pt idx="9">
                  <c:v>0.76120118136043724</c:v>
                </c:pt>
                <c:pt idx="10">
                  <c:v>0.77216111978356117</c:v>
                </c:pt>
                <c:pt idx="11">
                  <c:v>0.7823639652705191</c:v>
                </c:pt>
                <c:pt idx="12">
                  <c:v>0.79188072617016736</c:v>
                </c:pt>
                <c:pt idx="13">
                  <c:v>0.80077398024781288</c:v>
                </c:pt>
                <c:pt idx="14">
                  <c:v>0.80909908108254069</c:v>
                </c:pt>
                <c:pt idx="15">
                  <c:v>0.81690516366968469</c:v>
                </c:pt>
                <c:pt idx="16">
                  <c:v>0.82423598707433487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928-4960-9ACE-ADB55F6400F5}"/>
            </c:ext>
          </c:extLst>
        </c:ser>
        <c:ser>
          <c:idx val="12"/>
          <c:order val="12"/>
          <c:tx>
            <c:strRef>
              <c:f>Foglio1!$BO$1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Foglio1!$BB$2:$BB$18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Foglio1!$BO$2:$BO$18</c:f>
              <c:numCache>
                <c:formatCode>General</c:formatCode>
                <c:ptCount val="17"/>
                <c:pt idx="0">
                  <c:v>0.66862380644501629</c:v>
                </c:pt>
                <c:pt idx="1">
                  <c:v>0.68774835670831846</c:v>
                </c:pt>
                <c:pt idx="2">
                  <c:v>0.70501633387620233</c:v>
                </c:pt>
                <c:pt idx="3">
                  <c:v>0.72068533174429428</c:v>
                </c:pt>
                <c:pt idx="4">
                  <c:v>0.7349666827428305</c:v>
                </c:pt>
                <c:pt idx="5">
                  <c:v>0.74803555301216429</c:v>
                </c:pt>
                <c:pt idx="6">
                  <c:v>0.76003847200183272</c:v>
                </c:pt>
                <c:pt idx="7">
                  <c:v>0.77109903351677445</c:v>
                </c:pt>
                <c:pt idx="8">
                  <c:v>0.78132227104075325</c:v>
                </c:pt>
                <c:pt idx="9">
                  <c:v>0.7907980569661921</c:v>
                </c:pt>
                <c:pt idx="10">
                  <c:v>0.79960377303019248</c:v>
                </c:pt>
                <c:pt idx="11">
                  <c:v>0.80780642962240878</c:v>
                </c:pt>
                <c:pt idx="12">
                  <c:v>0.81546436343268536</c:v>
                </c:pt>
                <c:pt idx="13">
                  <c:v>0.82262860902226098</c:v>
                </c:pt>
                <c:pt idx="14">
                  <c:v>0.82934401573773442</c:v>
                </c:pt>
                <c:pt idx="15">
                  <c:v>0.83565016392512037</c:v>
                </c:pt>
                <c:pt idx="16">
                  <c:v>0.84158212162830115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928-4960-9ACE-ADB55F6400F5}"/>
            </c:ext>
          </c:extLst>
        </c:ser>
        <c:ser>
          <c:idx val="13"/>
          <c:order val="13"/>
          <c:tx>
            <c:strRef>
              <c:f>Foglio1!$BP$1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Foglio1!$BB$2:$BB$18</c:f>
              <c:numCache>
                <c:formatCode>General</c:formatCode>
                <c:ptCount val="17"/>
                <c:pt idx="0">
                  <c:v>60</c:v>
                </c:pt>
                <c:pt idx="1">
                  <c:v>65</c:v>
                </c:pt>
                <c:pt idx="2">
                  <c:v>70</c:v>
                </c:pt>
                <c:pt idx="3">
                  <c:v>75</c:v>
                </c:pt>
                <c:pt idx="4">
                  <c:v>80</c:v>
                </c:pt>
                <c:pt idx="5">
                  <c:v>85</c:v>
                </c:pt>
                <c:pt idx="6">
                  <c:v>90</c:v>
                </c:pt>
                <c:pt idx="7">
                  <c:v>95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cat>
          <c:val>
            <c:numRef>
              <c:f>Foglio1!$BP$2:$BP$18</c:f>
              <c:numCache>
                <c:formatCode>General</c:formatCode>
                <c:ptCount val="17"/>
                <c:pt idx="0">
                  <c:v>0.71353519637125162</c:v>
                </c:pt>
                <c:pt idx="1">
                  <c:v>0.72955590531609293</c:v>
                </c:pt>
                <c:pt idx="2">
                  <c:v>0.74397850773677987</c:v>
                </c:pt>
                <c:pt idx="3">
                  <c:v>0.75703579348128236</c:v>
                </c:pt>
                <c:pt idx="4">
                  <c:v>0.768916306085347</c:v>
                </c:pt>
                <c:pt idx="5">
                  <c:v>0.77977459197321464</c:v>
                </c:pt>
                <c:pt idx="6">
                  <c:v>0.78973868203519904</c:v>
                </c:pt>
                <c:pt idx="7">
                  <c:v>0.798915650552107</c:v>
                </c:pt>
                <c:pt idx="8">
                  <c:v>0.80739581112051217</c:v>
                </c:pt>
                <c:pt idx="9">
                  <c:v>0.81525592873204666</c:v>
                </c:pt>
                <c:pt idx="10">
                  <c:v>0.82256171010701928</c:v>
                </c:pt>
                <c:pt idx="11">
                  <c:v>0.82936975677724023</c:v>
                </c:pt>
                <c:pt idx="12">
                  <c:v>0.83572911292700658</c:v>
                </c:pt>
                <c:pt idx="13">
                  <c:v>0.84168250385946419</c:v>
                </c:pt>
                <c:pt idx="14">
                  <c:v>0.8472673356579794</c:v>
                </c:pt>
                <c:pt idx="15">
                  <c:v>0.85251650863846895</c:v>
                </c:pt>
                <c:pt idx="16">
                  <c:v>0.85745908424240047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928-4960-9ACE-ADB55F6400F5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03809648"/>
        <c:axId val="603811448"/>
        <c:axId val="609087624"/>
      </c:surface3DChart>
      <c:catAx>
        <c:axId val="603809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03811448"/>
        <c:crosses val="autoZero"/>
        <c:auto val="1"/>
        <c:lblAlgn val="ctr"/>
        <c:lblOffset val="100"/>
        <c:noMultiLvlLbl val="0"/>
      </c:catAx>
      <c:valAx>
        <c:axId val="603811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03809648"/>
        <c:crosses val="autoZero"/>
        <c:crossBetween val="midCat"/>
      </c:valAx>
      <c:serAx>
        <c:axId val="60908762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03811448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sng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u="sng"/>
      </a:pPr>
      <a:endParaRPr lang="it-IT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15240</xdr:colOff>
      <xdr:row>0</xdr:row>
      <xdr:rowOff>0</xdr:rowOff>
    </xdr:from>
    <xdr:to>
      <xdr:col>27</xdr:col>
      <xdr:colOff>320040</xdr:colOff>
      <xdr:row>15</xdr:row>
      <xdr:rowOff>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A82A1EFA-11C6-75BF-9193-91843F4086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7620</xdr:colOff>
      <xdr:row>20</xdr:row>
      <xdr:rowOff>7620</xdr:rowOff>
    </xdr:from>
    <xdr:to>
      <xdr:col>27</xdr:col>
      <xdr:colOff>312420</xdr:colOff>
      <xdr:row>35</xdr:row>
      <xdr:rowOff>7620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8C1F9D4C-8755-AE0E-9A5D-3338694B97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15240</xdr:colOff>
      <xdr:row>40</xdr:row>
      <xdr:rowOff>7620</xdr:rowOff>
    </xdr:from>
    <xdr:to>
      <xdr:col>27</xdr:col>
      <xdr:colOff>320040</xdr:colOff>
      <xdr:row>55</xdr:row>
      <xdr:rowOff>7620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EFB38CB9-5023-8333-25CB-E2E689E60B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38100</xdr:colOff>
      <xdr:row>60</xdr:row>
      <xdr:rowOff>0</xdr:rowOff>
    </xdr:from>
    <xdr:to>
      <xdr:col>27</xdr:col>
      <xdr:colOff>342900</xdr:colOff>
      <xdr:row>75</xdr:row>
      <xdr:rowOff>0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129F76D4-944F-D91A-5399-DA99B0AA38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22860</xdr:colOff>
      <xdr:row>79</xdr:row>
      <xdr:rowOff>167640</xdr:rowOff>
    </xdr:from>
    <xdr:to>
      <xdr:col>27</xdr:col>
      <xdr:colOff>327660</xdr:colOff>
      <xdr:row>94</xdr:row>
      <xdr:rowOff>167640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246EDD26-3E68-8E22-E93E-5B4B924AB0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44</xdr:col>
      <xdr:colOff>22860</xdr:colOff>
      <xdr:row>0</xdr:row>
      <xdr:rowOff>15240</xdr:rowOff>
    </xdr:from>
    <xdr:to>
      <xdr:col>51</xdr:col>
      <xdr:colOff>327660</xdr:colOff>
      <xdr:row>15</xdr:row>
      <xdr:rowOff>15240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82872E08-AD31-DA42-F776-5641275FE7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44</xdr:col>
      <xdr:colOff>22860</xdr:colOff>
      <xdr:row>19</xdr:row>
      <xdr:rowOff>175260</xdr:rowOff>
    </xdr:from>
    <xdr:to>
      <xdr:col>51</xdr:col>
      <xdr:colOff>327660</xdr:colOff>
      <xdr:row>34</xdr:row>
      <xdr:rowOff>175260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24352259-B134-A12D-D177-1054634C78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44</xdr:col>
      <xdr:colOff>15240</xdr:colOff>
      <xdr:row>40</xdr:row>
      <xdr:rowOff>7620</xdr:rowOff>
    </xdr:from>
    <xdr:to>
      <xdr:col>51</xdr:col>
      <xdr:colOff>320040</xdr:colOff>
      <xdr:row>55</xdr:row>
      <xdr:rowOff>7620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3F7E0842-2094-AB36-6303-34885CA08A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44</xdr:col>
      <xdr:colOff>7620</xdr:colOff>
      <xdr:row>59</xdr:row>
      <xdr:rowOff>167640</xdr:rowOff>
    </xdr:from>
    <xdr:to>
      <xdr:col>51</xdr:col>
      <xdr:colOff>312420</xdr:colOff>
      <xdr:row>74</xdr:row>
      <xdr:rowOff>167640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57B1C7BC-7339-9D28-8382-5E9E09775B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43</xdr:col>
      <xdr:colOff>601980</xdr:colOff>
      <xdr:row>80</xdr:row>
      <xdr:rowOff>7620</xdr:rowOff>
    </xdr:from>
    <xdr:to>
      <xdr:col>51</xdr:col>
      <xdr:colOff>297180</xdr:colOff>
      <xdr:row>95</xdr:row>
      <xdr:rowOff>7620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FD8BDA2C-C86B-76E8-E42C-71C4E61A51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68</xdr:col>
      <xdr:colOff>15240</xdr:colOff>
      <xdr:row>80</xdr:row>
      <xdr:rowOff>0</xdr:rowOff>
    </xdr:from>
    <xdr:to>
      <xdr:col>75</xdr:col>
      <xdr:colOff>320040</xdr:colOff>
      <xdr:row>95</xdr:row>
      <xdr:rowOff>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FACA2B16-1801-E0D7-DDF7-A49F54FD9F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68</xdr:col>
      <xdr:colOff>30480</xdr:colOff>
      <xdr:row>60</xdr:row>
      <xdr:rowOff>0</xdr:rowOff>
    </xdr:from>
    <xdr:to>
      <xdr:col>75</xdr:col>
      <xdr:colOff>335280</xdr:colOff>
      <xdr:row>75</xdr:row>
      <xdr:rowOff>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63E3A0CD-D415-91C1-8688-277F94146A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68</xdr:col>
      <xdr:colOff>15240</xdr:colOff>
      <xdr:row>40</xdr:row>
      <xdr:rowOff>0</xdr:rowOff>
    </xdr:from>
    <xdr:to>
      <xdr:col>75</xdr:col>
      <xdr:colOff>320040</xdr:colOff>
      <xdr:row>55</xdr:row>
      <xdr:rowOff>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A190A1B0-2076-1821-B9CA-53BCF40416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68</xdr:col>
      <xdr:colOff>15240</xdr:colOff>
      <xdr:row>19</xdr:row>
      <xdr:rowOff>175260</xdr:rowOff>
    </xdr:from>
    <xdr:to>
      <xdr:col>75</xdr:col>
      <xdr:colOff>320040</xdr:colOff>
      <xdr:row>34</xdr:row>
      <xdr:rowOff>175260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23319AF-02D9-0B6A-B54C-EBD1809554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68</xdr:col>
      <xdr:colOff>7620</xdr:colOff>
      <xdr:row>0</xdr:row>
      <xdr:rowOff>0</xdr:rowOff>
    </xdr:from>
    <xdr:to>
      <xdr:col>75</xdr:col>
      <xdr:colOff>312420</xdr:colOff>
      <xdr:row>15</xdr:row>
      <xdr:rowOff>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8594017-E919-31ED-A2C0-8F1822260C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BA89E-0F57-4A7F-886D-704B92B67DBF}">
  <sheetPr codeName="Foglio1"/>
  <dimension ref="A1:BP102"/>
  <sheetViews>
    <sheetView tabSelected="1" workbookViewId="0">
      <selection activeCell="G3" sqref="G3"/>
    </sheetView>
  </sheetViews>
  <sheetFormatPr defaultRowHeight="14.4" x14ac:dyDescent="0.3"/>
  <cols>
    <col min="3" max="3" width="10.5546875" bestFit="1" customWidth="1"/>
    <col min="6" max="6" width="10.109375" bestFit="1" customWidth="1"/>
    <col min="7" max="7" width="12.6640625" bestFit="1" customWidth="1"/>
    <col min="8" max="9" width="12" bestFit="1" customWidth="1"/>
    <col min="10" max="10" width="10" bestFit="1" customWidth="1"/>
    <col min="31" max="31" width="12.6640625" bestFit="1" customWidth="1"/>
  </cols>
  <sheetData>
    <row r="1" spans="1:68" x14ac:dyDescent="0.3">
      <c r="A1" t="s">
        <v>0</v>
      </c>
      <c r="B1" t="s">
        <v>1</v>
      </c>
      <c r="C1" t="s">
        <v>2</v>
      </c>
      <c r="D1" t="s">
        <v>3</v>
      </c>
      <c r="G1">
        <v>0.1</v>
      </c>
      <c r="H1">
        <v>0.2</v>
      </c>
      <c r="I1">
        <v>0.3</v>
      </c>
      <c r="J1">
        <v>0.4</v>
      </c>
      <c r="K1">
        <v>0.5</v>
      </c>
      <c r="L1">
        <v>0.6</v>
      </c>
      <c r="M1">
        <v>0.7</v>
      </c>
      <c r="N1">
        <v>0.8</v>
      </c>
      <c r="O1">
        <v>0.9</v>
      </c>
      <c r="P1">
        <v>1</v>
      </c>
      <c r="Q1">
        <v>2</v>
      </c>
      <c r="R1">
        <v>3</v>
      </c>
      <c r="S1">
        <v>4</v>
      </c>
      <c r="T1">
        <v>5</v>
      </c>
      <c r="AE1">
        <v>0.1</v>
      </c>
      <c r="AF1">
        <v>0.2</v>
      </c>
      <c r="AG1">
        <v>0.3</v>
      </c>
      <c r="AH1">
        <v>0.4</v>
      </c>
      <c r="AI1">
        <v>0.5</v>
      </c>
      <c r="AJ1">
        <v>0.6</v>
      </c>
      <c r="AK1">
        <v>0.7</v>
      </c>
      <c r="AL1">
        <v>0.8</v>
      </c>
      <c r="AM1">
        <v>0.9</v>
      </c>
      <c r="AN1">
        <v>1</v>
      </c>
      <c r="AO1">
        <v>2</v>
      </c>
      <c r="AP1">
        <v>3</v>
      </c>
      <c r="AQ1">
        <v>4</v>
      </c>
      <c r="AR1">
        <v>5</v>
      </c>
      <c r="BC1">
        <v>0.1</v>
      </c>
      <c r="BD1">
        <v>0.2</v>
      </c>
      <c r="BE1">
        <v>0.3</v>
      </c>
      <c r="BF1">
        <v>0.4</v>
      </c>
      <c r="BG1">
        <v>0.5</v>
      </c>
      <c r="BH1">
        <v>0.6</v>
      </c>
      <c r="BI1">
        <v>0.7</v>
      </c>
      <c r="BJ1">
        <v>0.8</v>
      </c>
      <c r="BK1">
        <v>0.9</v>
      </c>
      <c r="BL1">
        <v>1</v>
      </c>
      <c r="BM1">
        <v>2</v>
      </c>
      <c r="BN1">
        <v>3</v>
      </c>
      <c r="BO1">
        <v>4</v>
      </c>
      <c r="BP1">
        <v>5</v>
      </c>
    </row>
    <row r="2" spans="1:68" x14ac:dyDescent="0.3">
      <c r="A2">
        <v>100</v>
      </c>
      <c r="B2">
        <v>0.01</v>
      </c>
      <c r="C2">
        <v>0.2</v>
      </c>
      <c r="D2">
        <v>60</v>
      </c>
      <c r="E2" t="s">
        <v>4</v>
      </c>
      <c r="F2">
        <v>60</v>
      </c>
      <c r="G2">
        <f>DeltaC($D2,$A$2,G$1,$B$2,$C$9,$C$2)</f>
        <v>6.8367577033106336E-21</v>
      </c>
      <c r="H2">
        <f t="shared" ref="H2:T2" si="0">DeltaC($D2,$A$2,H$1,$B$2,$C$9,$C$2)</f>
        <v>4.5240663000860564E-14</v>
      </c>
      <c r="I2">
        <f t="shared" si="0"/>
        <v>4.9987364619526675E-12</v>
      </c>
      <c r="J2">
        <f t="shared" si="0"/>
        <v>3.4793936678956471E-11</v>
      </c>
      <c r="K2">
        <f t="shared" si="0"/>
        <v>7.9834807444799792E-11</v>
      </c>
      <c r="L2">
        <f t="shared" si="0"/>
        <v>1.0504692956496201E-10</v>
      </c>
      <c r="M2">
        <f t="shared" si="0"/>
        <v>1.0056032046026491E-10</v>
      </c>
      <c r="N2">
        <f t="shared" si="0"/>
        <v>7.8906298231785595E-11</v>
      </c>
      <c r="O2">
        <f t="shared" si="0"/>
        <v>5.4232246335193967E-11</v>
      </c>
      <c r="P2">
        <f t="shared" si="0"/>
        <v>3.397625269877302E-11</v>
      </c>
      <c r="Q2">
        <f t="shared" si="0"/>
        <v>4.1835854650017306E-14</v>
      </c>
      <c r="R2">
        <f t="shared" si="0"/>
        <v>1.7487321087423709E-17</v>
      </c>
      <c r="S2">
        <f t="shared" si="0"/>
        <v>5.6677396595438559E-21</v>
      </c>
      <c r="T2">
        <f t="shared" si="0"/>
        <v>1.6710784205539062E-24</v>
      </c>
      <c r="AD2">
        <v>60</v>
      </c>
      <c r="AE2">
        <f>DeltaC($AD2,$A$2,AE$1,$B$2,0,$C$3)</f>
        <v>2.7372611994809412E-228</v>
      </c>
      <c r="AF2">
        <f t="shared" ref="AF2:AR2" si="1">DeltaC($AD2,$A$2,AF$1,$B$2,0,$C$3)</f>
        <v>8.1902820174346134E-115</v>
      </c>
      <c r="AG2">
        <f t="shared" si="1"/>
        <v>5.9721209604231371E-77</v>
      </c>
      <c r="AH2">
        <f t="shared" si="1"/>
        <v>5.3175491897567991E-58</v>
      </c>
      <c r="AI2">
        <f t="shared" si="1"/>
        <v>1.2770623620175451E-46</v>
      </c>
      <c r="AJ2">
        <f t="shared" si="1"/>
        <v>5.0155034842789398E-39</v>
      </c>
      <c r="AK2">
        <f t="shared" si="1"/>
        <v>1.3480598973761932E-33</v>
      </c>
      <c r="AL2">
        <f t="shared" si="1"/>
        <v>1.6051199119236356E-29</v>
      </c>
      <c r="AM2">
        <f t="shared" si="1"/>
        <v>2.3904164804358909E-26</v>
      </c>
      <c r="AN2">
        <f t="shared" si="1"/>
        <v>8.3014418638275393E-24</v>
      </c>
      <c r="AO2">
        <f t="shared" si="1"/>
        <v>2.4931259545159182E-12</v>
      </c>
      <c r="AP2">
        <f t="shared" si="1"/>
        <v>1.8064939025971066E-8</v>
      </c>
      <c r="AQ2">
        <f t="shared" si="1"/>
        <v>1.5944956166935844E-6</v>
      </c>
      <c r="AR2">
        <f t="shared" si="1"/>
        <v>2.3929062648690307E-5</v>
      </c>
      <c r="BB2">
        <v>60</v>
      </c>
      <c r="BC2">
        <f>DeltaC($BB2,$A$2,BC$1,$B$2,0,$C$4)</f>
        <v>2.1126068947569243E-2</v>
      </c>
      <c r="BD2">
        <f t="shared" ref="BD2:BP2" si="2">DeltaC($BB2,$A$2,BD$1,$B$2,0,$C$4)</f>
        <v>8.8617132195648873E-2</v>
      </c>
      <c r="BE2">
        <f t="shared" si="2"/>
        <v>0.15131370419602788</v>
      </c>
      <c r="BF2">
        <f t="shared" si="2"/>
        <v>0.20289886603179977</v>
      </c>
      <c r="BG2">
        <f t="shared" si="2"/>
        <v>0.24552841473049869</v>
      </c>
      <c r="BH2">
        <f t="shared" si="2"/>
        <v>0.28146475449695674</v>
      </c>
      <c r="BI2">
        <f t="shared" si="2"/>
        <v>0.3123613023902036</v>
      </c>
      <c r="BJ2">
        <f t="shared" si="2"/>
        <v>0.3393792039595187</v>
      </c>
      <c r="BK2">
        <f t="shared" si="2"/>
        <v>0.36334273611778023</v>
      </c>
      <c r="BL2">
        <f t="shared" si="2"/>
        <v>0.38484993639914944</v>
      </c>
      <c r="BM2">
        <f t="shared" si="2"/>
        <v>0.52693812098991333</v>
      </c>
      <c r="BN2">
        <f t="shared" si="2"/>
        <v>0.6100231282414782</v>
      </c>
      <c r="BO2">
        <f t="shared" si="2"/>
        <v>0.66862380644501629</v>
      </c>
      <c r="BP2">
        <f t="shared" si="2"/>
        <v>0.71353519637125162</v>
      </c>
    </row>
    <row r="3" spans="1:68" x14ac:dyDescent="0.3">
      <c r="C3">
        <v>0.05</v>
      </c>
      <c r="D3">
        <v>65</v>
      </c>
      <c r="F3">
        <v>65</v>
      </c>
      <c r="G3">
        <f t="shared" ref="G3:T18" si="3">DeltaC($D3,$A$2,G$1,$B$2,$C$9,$C$2)</f>
        <v>4.5448936214812202E-16</v>
      </c>
      <c r="H3">
        <f t="shared" si="3"/>
        <v>2.6551532507817051E-11</v>
      </c>
      <c r="I3">
        <f t="shared" si="3"/>
        <v>6.0157208414311523E-10</v>
      </c>
      <c r="J3">
        <f t="shared" si="3"/>
        <v>1.8885582475403249E-9</v>
      </c>
      <c r="K3">
        <f t="shared" si="3"/>
        <v>2.6813117629688704E-9</v>
      </c>
      <c r="L3">
        <f t="shared" si="3"/>
        <v>2.5582425875448558E-9</v>
      </c>
      <c r="M3">
        <f t="shared" si="3"/>
        <v>1.9447668457540508E-9</v>
      </c>
      <c r="N3">
        <f t="shared" si="3"/>
        <v>1.2828763901605418E-9</v>
      </c>
      <c r="O3">
        <f t="shared" si="3"/>
        <v>7.7003683991601247E-10</v>
      </c>
      <c r="P3">
        <f t="shared" si="3"/>
        <v>4.3273988154459692E-10</v>
      </c>
      <c r="Q3">
        <f t="shared" si="3"/>
        <v>3.2505792180799326E-13</v>
      </c>
      <c r="R3">
        <f t="shared" si="3"/>
        <v>1.1492617917049641E-16</v>
      </c>
      <c r="S3">
        <f t="shared" si="3"/>
        <v>3.423143611927869E-20</v>
      </c>
      <c r="T3">
        <f t="shared" si="3"/>
        <v>9.5913513497051097E-24</v>
      </c>
      <c r="AD3">
        <v>65</v>
      </c>
      <c r="AE3">
        <f>DeltaC($AD3,$A$2,AE$1,$B$2,0,$C$3)</f>
        <v>6.5993643403355037E-163</v>
      </c>
      <c r="AF3">
        <f t="shared" ref="AE3:AR18" si="4">DeltaC($AD3,$A$2,AF$1,$B$2,0,$C$3)</f>
        <v>3.6576138888253611E-82</v>
      </c>
      <c r="AG3">
        <f t="shared" si="4"/>
        <v>3.2754563731460695E-55</v>
      </c>
      <c r="AH3">
        <f t="shared" si="4"/>
        <v>1.0220731523919236E-41</v>
      </c>
      <c r="AI3">
        <f t="shared" si="4"/>
        <v>1.3084683120232934E-33</v>
      </c>
      <c r="AJ3">
        <f t="shared" si="4"/>
        <v>3.3784938655284349E-28</v>
      </c>
      <c r="AK3">
        <f t="shared" si="4"/>
        <v>2.5086952002318079E-24</v>
      </c>
      <c r="AL3">
        <f t="shared" si="4"/>
        <v>2.0241691357535165E-21</v>
      </c>
      <c r="AM3">
        <f t="shared" si="4"/>
        <v>3.7153002940879218E-19</v>
      </c>
      <c r="AN3">
        <f t="shared" si="4"/>
        <v>2.4171371314849195E-17</v>
      </c>
      <c r="AO3">
        <f t="shared" si="4"/>
        <v>3.8707471358265481E-9</v>
      </c>
      <c r="AP3">
        <f t="shared" si="4"/>
        <v>2.2749216395115086E-6</v>
      </c>
      <c r="AQ3">
        <f t="shared" si="4"/>
        <v>5.7199280321904821E-5</v>
      </c>
      <c r="AR3">
        <f t="shared" si="4"/>
        <v>4.0416832820281291E-4</v>
      </c>
      <c r="BB3">
        <v>65</v>
      </c>
      <c r="BC3">
        <f t="shared" ref="BC3:BP18" si="5">DeltaC($BB3,$A$2,BC$1,$B$2,0,$C$4)</f>
        <v>4.5176509032363213E-2</v>
      </c>
      <c r="BD3">
        <f t="shared" si="5"/>
        <v>0.13335336579257259</v>
      </c>
      <c r="BE3">
        <f t="shared" si="5"/>
        <v>0.2015871252871782</v>
      </c>
      <c r="BF3">
        <f t="shared" si="5"/>
        <v>0.2538040954979297</v>
      </c>
      <c r="BG3">
        <f t="shared" si="5"/>
        <v>0.29539246140748004</v>
      </c>
      <c r="BH3">
        <f t="shared" si="5"/>
        <v>0.32970927053098636</v>
      </c>
      <c r="BI3">
        <f t="shared" si="5"/>
        <v>0.3588220777311098</v>
      </c>
      <c r="BJ3">
        <f t="shared" si="5"/>
        <v>0.38405906127775413</v>
      </c>
      <c r="BK3">
        <f t="shared" si="5"/>
        <v>0.40631233462329119</v>
      </c>
      <c r="BL3">
        <f t="shared" si="5"/>
        <v>0.42620517216977827</v>
      </c>
      <c r="BM3">
        <f t="shared" si="5"/>
        <v>0.55687079888904489</v>
      </c>
      <c r="BN3">
        <f t="shared" si="5"/>
        <v>0.63344678637256213</v>
      </c>
      <c r="BO3">
        <f t="shared" si="5"/>
        <v>0.68774835670831846</v>
      </c>
      <c r="BP3">
        <f t="shared" si="5"/>
        <v>0.72955590531609293</v>
      </c>
    </row>
    <row r="4" spans="1:68" x14ac:dyDescent="0.3">
      <c r="C4">
        <v>0.75</v>
      </c>
      <c r="D4">
        <v>70</v>
      </c>
      <c r="F4">
        <v>70</v>
      </c>
      <c r="G4">
        <f t="shared" si="3"/>
        <v>3.2456857018319401E-12</v>
      </c>
      <c r="H4">
        <f t="shared" si="3"/>
        <v>4.8272076444543537E-9</v>
      </c>
      <c r="I4">
        <f t="shared" si="3"/>
        <v>3.188899198881579E-8</v>
      </c>
      <c r="J4">
        <f t="shared" si="3"/>
        <v>5.3826669934679079E-8</v>
      </c>
      <c r="K4">
        <f t="shared" si="3"/>
        <v>5.2540676494375488E-8</v>
      </c>
      <c r="L4">
        <f t="shared" si="3"/>
        <v>3.8993253932040203E-8</v>
      </c>
      <c r="M4">
        <f t="shared" si="3"/>
        <v>2.4750564419943898E-8</v>
      </c>
      <c r="N4">
        <f t="shared" si="3"/>
        <v>1.4252224766166271E-8</v>
      </c>
      <c r="O4">
        <f t="shared" si="3"/>
        <v>7.6933121894506944E-9</v>
      </c>
      <c r="P4">
        <f t="shared" si="3"/>
        <v>3.970201189463249E-9</v>
      </c>
      <c r="Q4">
        <f t="shared" si="3"/>
        <v>2.0226271271650303E-12</v>
      </c>
      <c r="R4">
        <f t="shared" si="3"/>
        <v>6.2678238326934495E-16</v>
      </c>
      <c r="S4">
        <f t="shared" si="3"/>
        <v>1.746687312347159E-19</v>
      </c>
      <c r="T4">
        <f t="shared" si="3"/>
        <v>4.7013176558024683E-23</v>
      </c>
      <c r="AD4">
        <v>70</v>
      </c>
      <c r="AE4">
        <f t="shared" si="4"/>
        <v>2.7847648196726985E-112</v>
      </c>
      <c r="AF4">
        <f t="shared" si="4"/>
        <v>6.9882965666836128E-57</v>
      </c>
      <c r="AG4">
        <f t="shared" si="4"/>
        <v>2.2304269635784272E-38</v>
      </c>
      <c r="AH4">
        <f t="shared" si="4"/>
        <v>4.1548521194767605E-29</v>
      </c>
      <c r="AI4">
        <f t="shared" si="4"/>
        <v>1.5538198510188316E-23</v>
      </c>
      <c r="AJ4">
        <f t="shared" si="4"/>
        <v>8.1983821402824304E-20</v>
      </c>
      <c r="AK4">
        <f t="shared" si="4"/>
        <v>3.7806445496917786E-17</v>
      </c>
      <c r="AL4">
        <f t="shared" si="4"/>
        <v>3.7948432977961287E-15</v>
      </c>
      <c r="AM4">
        <f t="shared" si="4"/>
        <v>1.3769382490806032E-13</v>
      </c>
      <c r="AN4">
        <f t="shared" si="4"/>
        <v>2.4490443034698E-12</v>
      </c>
      <c r="AO4">
        <f t="shared" si="4"/>
        <v>1.1452248035051856E-6</v>
      </c>
      <c r="AP4">
        <f t="shared" si="4"/>
        <v>9.6190752651606593E-5</v>
      </c>
      <c r="AQ4">
        <f t="shared" si="4"/>
        <v>9.1428456811440135E-4</v>
      </c>
      <c r="AR4">
        <f t="shared" si="4"/>
        <v>3.6039585896636157E-3</v>
      </c>
      <c r="BB4">
        <v>70</v>
      </c>
      <c r="BC4">
        <f t="shared" si="5"/>
        <v>8.3628438476308312E-2</v>
      </c>
      <c r="BD4">
        <f t="shared" si="5"/>
        <v>0.18680509661488653</v>
      </c>
      <c r="BE4">
        <f t="shared" si="5"/>
        <v>0.25605269927096125</v>
      </c>
      <c r="BF4">
        <f t="shared" si="5"/>
        <v>0.30631136605000264</v>
      </c>
      <c r="BG4">
        <f t="shared" si="5"/>
        <v>0.34532998639685208</v>
      </c>
      <c r="BH4">
        <f t="shared" si="5"/>
        <v>0.37708254507071887</v>
      </c>
      <c r="BI4">
        <f t="shared" si="5"/>
        <v>0.4038060142169414</v>
      </c>
      <c r="BJ4">
        <f t="shared" si="5"/>
        <v>0.42686406412656341</v>
      </c>
      <c r="BK4">
        <f t="shared" si="5"/>
        <v>0.44714182657514107</v>
      </c>
      <c r="BL4">
        <f t="shared" si="5"/>
        <v>0.46524305179152847</v>
      </c>
      <c r="BM4">
        <f t="shared" si="5"/>
        <v>0.58430138165234069</v>
      </c>
      <c r="BN4">
        <f t="shared" si="5"/>
        <v>0.65470133157864674</v>
      </c>
      <c r="BO4">
        <f t="shared" si="5"/>
        <v>0.70501633387620233</v>
      </c>
      <c r="BP4">
        <f t="shared" si="5"/>
        <v>0.74397850773677987</v>
      </c>
    </row>
    <row r="5" spans="1:68" x14ac:dyDescent="0.3">
      <c r="D5">
        <v>75</v>
      </c>
      <c r="F5">
        <v>75</v>
      </c>
      <c r="G5">
        <f t="shared" si="3"/>
        <v>3.7438170434062595E-9</v>
      </c>
      <c r="H5">
        <f t="shared" si="3"/>
        <v>3.3602104388245363E-7</v>
      </c>
      <c r="I5">
        <f t="shared" si="3"/>
        <v>8.6200824501555906E-7</v>
      </c>
      <c r="J5">
        <f t="shared" si="3"/>
        <v>9.0257797650254718E-7</v>
      </c>
      <c r="K5">
        <f t="shared" si="3"/>
        <v>6.5992905895928448E-7</v>
      </c>
      <c r="L5">
        <f t="shared" si="3"/>
        <v>4.0337844345439249E-7</v>
      </c>
      <c r="M5">
        <f t="shared" si="3"/>
        <v>2.2269824300565424E-7</v>
      </c>
      <c r="N5">
        <f t="shared" si="3"/>
        <v>1.1542740342438195E-7</v>
      </c>
      <c r="O5">
        <f t="shared" si="3"/>
        <v>5.7386407513054304E-8</v>
      </c>
      <c r="P5">
        <f t="shared" si="3"/>
        <v>2.7719986100945788E-8</v>
      </c>
      <c r="Q5">
        <f t="shared" si="3"/>
        <v>1.04423857497123E-11</v>
      </c>
      <c r="R5">
        <f t="shared" si="3"/>
        <v>2.9199454897918583E-15</v>
      </c>
      <c r="S5">
        <f t="shared" si="3"/>
        <v>7.7253965601275362E-19</v>
      </c>
      <c r="T5">
        <f t="shared" si="3"/>
        <v>2.015137664953467E-22</v>
      </c>
      <c r="AD5">
        <v>75</v>
      </c>
      <c r="AE5">
        <f t="shared" si="4"/>
        <v>1.0404286248480753E-73</v>
      </c>
      <c r="AF5">
        <f t="shared" si="4"/>
        <v>1.2872346138313609E-37</v>
      </c>
      <c r="AG5">
        <f t="shared" si="4"/>
        <v>1.5062003876924661E-25</v>
      </c>
      <c r="AH5">
        <f t="shared" si="4"/>
        <v>1.6986255720667232E-19</v>
      </c>
      <c r="AI5">
        <f t="shared" si="4"/>
        <v>7.4495078851635179E-16</v>
      </c>
      <c r="AJ5">
        <f t="shared" si="4"/>
        <v>2.0286641184193698E-13</v>
      </c>
      <c r="AK5">
        <f t="shared" si="4"/>
        <v>1.1260522409817834E-11</v>
      </c>
      <c r="AL5">
        <f t="shared" si="4"/>
        <v>2.3096464603363748E-10</v>
      </c>
      <c r="AM5">
        <f t="shared" si="4"/>
        <v>2.4370144841640087E-9</v>
      </c>
      <c r="AN5">
        <f t="shared" si="4"/>
        <v>1.6136008103825268E-8</v>
      </c>
      <c r="AO5">
        <f t="shared" si="4"/>
        <v>8.8332406649593482E-5</v>
      </c>
      <c r="AP5">
        <f t="shared" si="4"/>
        <v>1.6830934402108488E-3</v>
      </c>
      <c r="AQ5">
        <f t="shared" si="4"/>
        <v>7.6158902561765133E-3</v>
      </c>
      <c r="AR5">
        <f t="shared" si="4"/>
        <v>1.9226575622006935E-2</v>
      </c>
      <c r="BB5">
        <v>75</v>
      </c>
      <c r="BC5">
        <f t="shared" si="5"/>
        <v>0.13781861784645225</v>
      </c>
      <c r="BD5">
        <f t="shared" si="5"/>
        <v>0.24697675969294064</v>
      </c>
      <c r="BE5">
        <f t="shared" si="5"/>
        <v>0.31291234390289491</v>
      </c>
      <c r="BF5">
        <f t="shared" si="5"/>
        <v>0.35909327094601673</v>
      </c>
      <c r="BG5">
        <f t="shared" si="5"/>
        <v>0.39440146966336181</v>
      </c>
      <c r="BH5">
        <f t="shared" si="5"/>
        <v>0.42293412254340235</v>
      </c>
      <c r="BI5">
        <f t="shared" si="5"/>
        <v>0.44687599050804677</v>
      </c>
      <c r="BJ5">
        <f t="shared" si="5"/>
        <v>0.46751611036884533</v>
      </c>
      <c r="BK5">
        <f t="shared" si="5"/>
        <v>0.48567332951872788</v>
      </c>
      <c r="BL5">
        <f t="shared" si="5"/>
        <v>0.50189785571136469</v>
      </c>
      <c r="BM5">
        <f t="shared" si="5"/>
        <v>0.6094773192079509</v>
      </c>
      <c r="BN5">
        <f t="shared" si="5"/>
        <v>0.67406118851988439</v>
      </c>
      <c r="BO5">
        <f t="shared" si="5"/>
        <v>0.72068533174429428</v>
      </c>
      <c r="BP5">
        <f t="shared" si="5"/>
        <v>0.75703579348128236</v>
      </c>
    </row>
    <row r="6" spans="1:68" x14ac:dyDescent="0.3">
      <c r="C6" t="s">
        <v>9</v>
      </c>
      <c r="D6">
        <v>80</v>
      </c>
      <c r="F6">
        <v>80</v>
      </c>
      <c r="G6">
        <f t="shared" si="3"/>
        <v>9.5912073574767238E-7</v>
      </c>
      <c r="H6">
        <f t="shared" si="3"/>
        <v>1.0567474692569148E-5</v>
      </c>
      <c r="I6">
        <f t="shared" si="3"/>
        <v>1.3321991847695873E-5</v>
      </c>
      <c r="J6">
        <f t="shared" si="3"/>
        <v>9.7313815700872507E-6</v>
      </c>
      <c r="K6">
        <f t="shared" si="3"/>
        <v>5.7186789876868981E-6</v>
      </c>
      <c r="L6">
        <f t="shared" si="3"/>
        <v>3.0174366155145256E-6</v>
      </c>
      <c r="M6">
        <f t="shared" si="3"/>
        <v>1.4984430747438558E-6</v>
      </c>
      <c r="N6">
        <f t="shared" si="3"/>
        <v>7.169402683784678E-7</v>
      </c>
      <c r="O6">
        <f t="shared" si="3"/>
        <v>3.3480038307116318E-7</v>
      </c>
      <c r="P6">
        <f t="shared" si="3"/>
        <v>1.5377708980084924E-7</v>
      </c>
      <c r="Q6">
        <f t="shared" si="3"/>
        <v>4.6000054022880347E-11</v>
      </c>
      <c r="R6">
        <f t="shared" si="3"/>
        <v>1.1888989213089483E-14</v>
      </c>
      <c r="S6">
        <f t="shared" si="3"/>
        <v>3.0226957739879619E-18</v>
      </c>
      <c r="T6">
        <f t="shared" si="3"/>
        <v>7.6970859062778693E-22</v>
      </c>
      <c r="AD6">
        <v>80</v>
      </c>
      <c r="AE6">
        <f t="shared" si="4"/>
        <v>4.3313396156152889E-45</v>
      </c>
      <c r="AF6">
        <f t="shared" si="4"/>
        <v>2.5758605861917426E-23</v>
      </c>
      <c r="AG6">
        <f t="shared" si="4"/>
        <v>5.0840412868022928E-16</v>
      </c>
      <c r="AH6">
        <f t="shared" si="4"/>
        <v>2.3539461757859681E-12</v>
      </c>
      <c r="AI6">
        <f t="shared" si="4"/>
        <v>3.8170690486470643E-10</v>
      </c>
      <c r="AJ6">
        <f t="shared" si="4"/>
        <v>1.1534179525057225E-8</v>
      </c>
      <c r="AK6">
        <f t="shared" si="4"/>
        <v>1.3311875426994638E-7</v>
      </c>
      <c r="AL6">
        <f t="shared" si="4"/>
        <v>8.4060086366252122E-7</v>
      </c>
      <c r="AM6">
        <f t="shared" si="4"/>
        <v>3.5473851276060835E-6</v>
      </c>
      <c r="AN6">
        <f t="shared" si="4"/>
        <v>1.1282466239244101E-5</v>
      </c>
      <c r="AO6">
        <f t="shared" si="4"/>
        <v>2.2732157059208715E-3</v>
      </c>
      <c r="AP6">
        <f t="shared" si="4"/>
        <v>1.4373877236313285E-2</v>
      </c>
      <c r="AQ6">
        <f t="shared" si="4"/>
        <v>3.7420665487091699E-2</v>
      </c>
      <c r="AR6">
        <f t="shared" si="4"/>
        <v>6.7752458640840257E-2</v>
      </c>
      <c r="BB6">
        <v>80</v>
      </c>
      <c r="BC6">
        <f t="shared" si="5"/>
        <v>0.20666316517997055</v>
      </c>
      <c r="BD6">
        <f t="shared" si="5"/>
        <v>0.31149485434919805</v>
      </c>
      <c r="BE6">
        <f t="shared" si="5"/>
        <v>0.37050942057486491</v>
      </c>
      <c r="BF6">
        <f t="shared" si="5"/>
        <v>0.41105796251681698</v>
      </c>
      <c r="BG6">
        <f t="shared" si="5"/>
        <v>0.44189344301688604</v>
      </c>
      <c r="BH6">
        <f t="shared" si="5"/>
        <v>0.46680607284924169</v>
      </c>
      <c r="BI6">
        <f t="shared" si="5"/>
        <v>0.48775156506913642</v>
      </c>
      <c r="BJ6">
        <f t="shared" si="5"/>
        <v>0.50586149836140359</v>
      </c>
      <c r="BK6">
        <f t="shared" si="5"/>
        <v>0.5218458176415719</v>
      </c>
      <c r="BL6">
        <f t="shared" si="5"/>
        <v>0.53617766106563125</v>
      </c>
      <c r="BM6">
        <f t="shared" si="5"/>
        <v>0.63262149784722954</v>
      </c>
      <c r="BN6">
        <f t="shared" si="5"/>
        <v>0.69175710561403425</v>
      </c>
      <c r="BO6">
        <f t="shared" si="5"/>
        <v>0.7349666827428305</v>
      </c>
      <c r="BP6">
        <f t="shared" si="5"/>
        <v>0.768916306085347</v>
      </c>
    </row>
    <row r="7" spans="1:68" x14ac:dyDescent="0.3">
      <c r="C7">
        <v>0.02</v>
      </c>
      <c r="D7">
        <v>85</v>
      </c>
      <c r="F7">
        <v>85</v>
      </c>
      <c r="G7">
        <f t="shared" si="3"/>
        <v>7.0341160301190354E-5</v>
      </c>
      <c r="H7">
        <f t="shared" si="3"/>
        <v>1.7126670814414361E-4</v>
      </c>
      <c r="I7">
        <f t="shared" si="3"/>
        <v>1.2890751982249206E-4</v>
      </c>
      <c r="J7">
        <f t="shared" si="3"/>
        <v>7.2396105569421195E-5</v>
      </c>
      <c r="K7">
        <f t="shared" si="3"/>
        <v>3.6247007293183358E-5</v>
      </c>
      <c r="L7">
        <f t="shared" si="3"/>
        <v>1.7165185643346489E-5</v>
      </c>
      <c r="M7">
        <f t="shared" si="3"/>
        <v>7.8840040486723295E-6</v>
      </c>
      <c r="N7">
        <f t="shared" si="3"/>
        <v>3.5557588399276808E-6</v>
      </c>
      <c r="O7">
        <f t="shared" si="3"/>
        <v>1.5853483180169187E-6</v>
      </c>
      <c r="P7">
        <f t="shared" si="3"/>
        <v>7.0150900961753958E-7</v>
      </c>
      <c r="Q7">
        <f t="shared" si="3"/>
        <v>1.7681940221909124E-10</v>
      </c>
      <c r="R7">
        <f t="shared" si="3"/>
        <v>4.3095971988866977E-14</v>
      </c>
      <c r="S7">
        <f t="shared" si="3"/>
        <v>1.063601128232391E-17</v>
      </c>
      <c r="T7">
        <f t="shared" si="3"/>
        <v>2.6601479902753497E-21</v>
      </c>
      <c r="AD7">
        <v>85</v>
      </c>
      <c r="AE7">
        <f t="shared" si="4"/>
        <v>9.1815180581363897E-25</v>
      </c>
      <c r="AF7">
        <f t="shared" si="4"/>
        <v>3.8205336062112562E-13</v>
      </c>
      <c r="AG7">
        <f t="shared" si="4"/>
        <v>3.1029117353354449E-9</v>
      </c>
      <c r="AH7">
        <f t="shared" si="4"/>
        <v>2.9114940797298593E-7</v>
      </c>
      <c r="AI7">
        <f t="shared" si="4"/>
        <v>4.5477298152321564E-6</v>
      </c>
      <c r="AJ7">
        <f t="shared" si="4"/>
        <v>2.8860814657643429E-5</v>
      </c>
      <c r="AK7">
        <f t="shared" si="4"/>
        <v>1.0921139892888408E-4</v>
      </c>
      <c r="AL7">
        <f t="shared" si="4"/>
        <v>2.9870492824258458E-4</v>
      </c>
      <c r="AM7">
        <f t="shared" si="4"/>
        <v>6.5736223302578041E-4</v>
      </c>
      <c r="AN7">
        <f t="shared" si="4"/>
        <v>1.2416103963112843E-3</v>
      </c>
      <c r="AO7">
        <f t="shared" si="4"/>
        <v>2.3842400671346822E-2</v>
      </c>
      <c r="AP7">
        <f t="shared" si="4"/>
        <v>6.8521203553902801E-2</v>
      </c>
      <c r="AQ7">
        <f t="shared" si="4"/>
        <v>0.11995949603877155</v>
      </c>
      <c r="AR7">
        <f t="shared" si="4"/>
        <v>0.17092958378259568</v>
      </c>
      <c r="BB7">
        <v>85</v>
      </c>
      <c r="BC7">
        <f t="shared" si="5"/>
        <v>0.28690875232341229</v>
      </c>
      <c r="BD7">
        <f t="shared" si="5"/>
        <v>0.37794976933142455</v>
      </c>
      <c r="BE7">
        <f t="shared" si="5"/>
        <v>0.42742860728396304</v>
      </c>
      <c r="BF7">
        <f t="shared" si="5"/>
        <v>0.46135667662966717</v>
      </c>
      <c r="BG7">
        <f t="shared" si="5"/>
        <v>0.48729364365005429</v>
      </c>
      <c r="BH7">
        <f t="shared" si="5"/>
        <v>0.50839857420493262</v>
      </c>
      <c r="BI7">
        <f t="shared" si="5"/>
        <v>0.52627391159760206</v>
      </c>
      <c r="BJ7">
        <f t="shared" si="5"/>
        <v>0.54183866842172901</v>
      </c>
      <c r="BK7">
        <f t="shared" si="5"/>
        <v>0.55566685344416378</v>
      </c>
      <c r="BL7">
        <f t="shared" si="5"/>
        <v>0.56814028178070453</v>
      </c>
      <c r="BM7">
        <f t="shared" si="5"/>
        <v>0.65393345098589306</v>
      </c>
      <c r="BN7">
        <f t="shared" si="5"/>
        <v>0.70798440235821269</v>
      </c>
      <c r="BO7">
        <f t="shared" si="5"/>
        <v>0.74803555301216429</v>
      </c>
      <c r="BP7">
        <f t="shared" si="5"/>
        <v>0.77977459197321464</v>
      </c>
    </row>
    <row r="8" spans="1:68" x14ac:dyDescent="0.3">
      <c r="C8">
        <v>0.2</v>
      </c>
      <c r="D8">
        <v>90</v>
      </c>
      <c r="F8">
        <v>90</v>
      </c>
      <c r="G8">
        <f t="shared" si="3"/>
        <v>1.8159607283567685E-3</v>
      </c>
      <c r="H8">
        <f t="shared" si="3"/>
        <v>1.5912670455778572E-3</v>
      </c>
      <c r="I8">
        <f t="shared" si="3"/>
        <v>8.4040940694090488E-4</v>
      </c>
      <c r="J8">
        <f t="shared" si="3"/>
        <v>3.9338378919120834E-4</v>
      </c>
      <c r="K8">
        <f t="shared" si="3"/>
        <v>1.7615108891629009E-4</v>
      </c>
      <c r="L8">
        <f t="shared" si="3"/>
        <v>7.7336916075159936E-5</v>
      </c>
      <c r="M8">
        <f t="shared" si="3"/>
        <v>3.3626257300870083E-5</v>
      </c>
      <c r="N8">
        <f t="shared" si="3"/>
        <v>1.454801584133941E-5</v>
      </c>
      <c r="O8">
        <f t="shared" si="3"/>
        <v>6.2778756295567387E-6</v>
      </c>
      <c r="P8">
        <f t="shared" si="3"/>
        <v>2.7057009627034809E-6</v>
      </c>
      <c r="Q8">
        <f t="shared" si="3"/>
        <v>6.0398905385241587E-10</v>
      </c>
      <c r="R8">
        <f t="shared" si="3"/>
        <v>1.4118324553878554E-13</v>
      </c>
      <c r="S8">
        <f t="shared" si="3"/>
        <v>3.4112572292634544E-17</v>
      </c>
      <c r="T8">
        <f t="shared" si="3"/>
        <v>8.4230067311360669E-21</v>
      </c>
      <c r="AD8">
        <v>90</v>
      </c>
      <c r="AE8">
        <f t="shared" si="4"/>
        <v>2.1633845029987181E-11</v>
      </c>
      <c r="AF8">
        <f t="shared" si="4"/>
        <v>2.0013468567857179E-6</v>
      </c>
      <c r="AG8">
        <f t="shared" si="4"/>
        <v>9.8051486444414724E-5</v>
      </c>
      <c r="AH8">
        <f t="shared" si="4"/>
        <v>7.1262144826417587E-4</v>
      </c>
      <c r="AI8">
        <f t="shared" si="4"/>
        <v>2.3941102915395981E-3</v>
      </c>
      <c r="AJ8">
        <f t="shared" si="4"/>
        <v>5.446502782428436E-3</v>
      </c>
      <c r="AK8">
        <f t="shared" si="4"/>
        <v>9.8938420423891529E-3</v>
      </c>
      <c r="AL8">
        <f t="shared" si="4"/>
        <v>1.5593182233513327E-2</v>
      </c>
      <c r="AM8">
        <f t="shared" si="4"/>
        <v>2.2335412936725696E-2</v>
      </c>
      <c r="AN8">
        <f t="shared" si="4"/>
        <v>2.9903732969221199E-2</v>
      </c>
      <c r="AO8">
        <f t="shared" si="4"/>
        <v>0.12063373189490968</v>
      </c>
      <c r="AP8">
        <f t="shared" si="4"/>
        <v>0.20415055342200186</v>
      </c>
      <c r="AQ8">
        <f t="shared" si="4"/>
        <v>0.27305309183411719</v>
      </c>
      <c r="AR8">
        <f t="shared" si="4"/>
        <v>0.33023737197832048</v>
      </c>
      <c r="BB8">
        <v>90</v>
      </c>
      <c r="BC8">
        <f t="shared" si="5"/>
        <v>0.37393956416347091</v>
      </c>
      <c r="BD8">
        <f t="shared" si="5"/>
        <v>0.44414969120003389</v>
      </c>
      <c r="BE8">
        <f t="shared" si="5"/>
        <v>0.48253887039046062</v>
      </c>
      <c r="BF8">
        <f t="shared" si="5"/>
        <v>0.50936793732569541</v>
      </c>
      <c r="BG8">
        <f t="shared" si="5"/>
        <v>0.53025999578611838</v>
      </c>
      <c r="BH8">
        <f t="shared" si="5"/>
        <v>0.54753737370314859</v>
      </c>
      <c r="BI8">
        <f t="shared" si="5"/>
        <v>0.5623761731733552</v>
      </c>
      <c r="BJ8">
        <f t="shared" si="5"/>
        <v>0.57545267279223011</v>
      </c>
      <c r="BK8">
        <f t="shared" si="5"/>
        <v>0.58719124720808646</v>
      </c>
      <c r="BL8">
        <f t="shared" si="5"/>
        <v>0.59787579000062485</v>
      </c>
      <c r="BM8">
        <f t="shared" si="5"/>
        <v>0.67359121080144102</v>
      </c>
      <c r="BN8">
        <f t="shared" si="5"/>
        <v>0.72290944965707815</v>
      </c>
      <c r="BO8">
        <f t="shared" si="5"/>
        <v>0.76003847200183272</v>
      </c>
      <c r="BP8">
        <f t="shared" si="5"/>
        <v>0.78973868203519904</v>
      </c>
    </row>
    <row r="9" spans="1:68" x14ac:dyDescent="0.3">
      <c r="C9">
        <v>0.8</v>
      </c>
      <c r="D9">
        <v>95</v>
      </c>
      <c r="F9">
        <v>95</v>
      </c>
      <c r="G9">
        <f t="shared" si="3"/>
        <v>1.9620719561015906E-2</v>
      </c>
      <c r="H9">
        <f t="shared" si="3"/>
        <v>9.253799884789058E-3</v>
      </c>
      <c r="I9">
        <f t="shared" si="3"/>
        <v>3.9201447910855759E-3</v>
      </c>
      <c r="J9">
        <f t="shared" si="3"/>
        <v>1.6355821996530964E-3</v>
      </c>
      <c r="K9">
        <f t="shared" si="3"/>
        <v>6.8208904328240119E-4</v>
      </c>
      <c r="L9">
        <f t="shared" si="3"/>
        <v>2.8527155678521881E-4</v>
      </c>
      <c r="M9">
        <f t="shared" si="3"/>
        <v>1.1973201996703142E-4</v>
      </c>
      <c r="N9">
        <f t="shared" si="3"/>
        <v>5.04262602846845E-5</v>
      </c>
      <c r="O9">
        <f t="shared" si="3"/>
        <v>2.1304336674215306E-5</v>
      </c>
      <c r="P9">
        <f t="shared" si="3"/>
        <v>9.0260695931521737E-6</v>
      </c>
      <c r="Q9">
        <f t="shared" si="3"/>
        <v>1.8610827565892889E-9</v>
      </c>
      <c r="R9">
        <f t="shared" si="3"/>
        <v>4.2323059486911422E-13</v>
      </c>
      <c r="S9">
        <f t="shared" si="3"/>
        <v>1.0084027849064041E-16</v>
      </c>
      <c r="T9">
        <f t="shared" si="3"/>
        <v>2.4689139558852525E-20</v>
      </c>
      <c r="AD9">
        <v>95</v>
      </c>
      <c r="AE9">
        <f t="shared" si="4"/>
        <v>7.5456653050280415E-4</v>
      </c>
      <c r="AF9">
        <f t="shared" si="4"/>
        <v>1.4143504981578929E-2</v>
      </c>
      <c r="AG9">
        <f t="shared" si="4"/>
        <v>4.0082568000292799E-2</v>
      </c>
      <c r="AH9">
        <f t="shared" si="4"/>
        <v>6.9472138144277717E-2</v>
      </c>
      <c r="AI9">
        <f t="shared" si="4"/>
        <v>9.8231494302977507E-2</v>
      </c>
      <c r="AJ9">
        <f t="shared" si="4"/>
        <v>0.12505074282541714</v>
      </c>
      <c r="AK9">
        <f t="shared" si="4"/>
        <v>0.14965929563304667</v>
      </c>
      <c r="AL9">
        <f t="shared" si="4"/>
        <v>0.17214907343060046</v>
      </c>
      <c r="AM9">
        <f t="shared" si="4"/>
        <v>0.19272348530140992</v>
      </c>
      <c r="AN9">
        <f t="shared" si="4"/>
        <v>0.21160464510740096</v>
      </c>
      <c r="AO9">
        <f t="shared" si="4"/>
        <v>0.34193103760672594</v>
      </c>
      <c r="AP9">
        <f t="shared" si="4"/>
        <v>0.41973458731592983</v>
      </c>
      <c r="AQ9">
        <f t="shared" si="4"/>
        <v>0.47490995070516628</v>
      </c>
      <c r="AR9">
        <f t="shared" si="4"/>
        <v>0.51768096381841744</v>
      </c>
      <c r="BB9">
        <v>95</v>
      </c>
      <c r="BC9">
        <f t="shared" si="5"/>
        <v>0.46276519573811548</v>
      </c>
      <c r="BD9">
        <f t="shared" si="5"/>
        <v>0.50827382428539103</v>
      </c>
      <c r="BE9">
        <f t="shared" si="5"/>
        <v>0.53499589444218165</v>
      </c>
      <c r="BF9">
        <f t="shared" si="5"/>
        <v>0.55466948074671341</v>
      </c>
      <c r="BG9">
        <f t="shared" si="5"/>
        <v>0.57058886601407466</v>
      </c>
      <c r="BH9">
        <f t="shared" si="5"/>
        <v>0.58414511067082064</v>
      </c>
      <c r="BI9">
        <f t="shared" si="5"/>
        <v>0.59605928404144159</v>
      </c>
      <c r="BJ9">
        <f t="shared" si="5"/>
        <v>0.60675539942458512</v>
      </c>
      <c r="BK9">
        <f t="shared" si="5"/>
        <v>0.61650517351467782</v>
      </c>
      <c r="BL9">
        <f t="shared" si="5"/>
        <v>0.62549395466192192</v>
      </c>
      <c r="BM9">
        <f t="shared" si="5"/>
        <v>0.69175337783895097</v>
      </c>
      <c r="BN9">
        <f t="shared" si="5"/>
        <v>0.7366747966216125</v>
      </c>
      <c r="BO9">
        <f t="shared" si="5"/>
        <v>0.77109903351677445</v>
      </c>
      <c r="BP9">
        <f t="shared" si="5"/>
        <v>0.798915650552107</v>
      </c>
    </row>
    <row r="10" spans="1:68" x14ac:dyDescent="0.3">
      <c r="D10">
        <v>100</v>
      </c>
      <c r="F10">
        <v>100</v>
      </c>
      <c r="G10">
        <f t="shared" si="3"/>
        <v>0.10312262887532489</v>
      </c>
      <c r="H10">
        <f t="shared" si="3"/>
        <v>3.6263305548747772E-2</v>
      </c>
      <c r="I10">
        <f t="shared" si="3"/>
        <v>1.3753297027604326E-2</v>
      </c>
      <c r="J10">
        <f t="shared" si="3"/>
        <v>5.4075197795748729E-3</v>
      </c>
      <c r="K10">
        <f t="shared" si="3"/>
        <v>2.1724158793383101E-3</v>
      </c>
      <c r="L10">
        <f t="shared" si="3"/>
        <v>8.8544071404300737E-4</v>
      </c>
      <c r="M10">
        <f t="shared" si="3"/>
        <v>3.6466349039317408E-4</v>
      </c>
      <c r="N10">
        <f t="shared" si="3"/>
        <v>1.5137028620476619E-4</v>
      </c>
      <c r="O10">
        <f t="shared" si="3"/>
        <v>6.3221747458280691E-5</v>
      </c>
      <c r="P10">
        <f t="shared" si="3"/>
        <v>2.6536879939084106E-5</v>
      </c>
      <c r="Q10">
        <f t="shared" si="3"/>
        <v>5.2378309856117154E-9</v>
      </c>
      <c r="R10">
        <f t="shared" si="3"/>
        <v>1.1730507133833854E-12</v>
      </c>
      <c r="S10">
        <f t="shared" si="3"/>
        <v>2.773179727533986E-16</v>
      </c>
      <c r="T10">
        <f t="shared" si="3"/>
        <v>6.7575181443133478E-20</v>
      </c>
      <c r="AD10">
        <v>100</v>
      </c>
      <c r="AE10">
        <f t="shared" si="4"/>
        <v>0.52836130900185174</v>
      </c>
      <c r="AF10">
        <f t="shared" si="4"/>
        <v>0.54007515440860199</v>
      </c>
      <c r="AG10">
        <f t="shared" si="4"/>
        <v>0.54904051427844991</v>
      </c>
      <c r="AH10">
        <f t="shared" si="4"/>
        <v>0.55657946195545982</v>
      </c>
      <c r="AI10">
        <f t="shared" si="4"/>
        <v>0.56320457211528641</v>
      </c>
      <c r="AJ10">
        <f t="shared" si="4"/>
        <v>0.56917896198055484</v>
      </c>
      <c r="AK10">
        <f t="shared" si="4"/>
        <v>0.57465907506793834</v>
      </c>
      <c r="AL10">
        <f t="shared" si="4"/>
        <v>0.57974693392650745</v>
      </c>
      <c r="AM10">
        <f t="shared" si="4"/>
        <v>0.58451346694099515</v>
      </c>
      <c r="AN10">
        <f t="shared" si="4"/>
        <v>0.58901036286872965</v>
      </c>
      <c r="AO10">
        <f t="shared" si="4"/>
        <v>0.62483264466500543</v>
      </c>
      <c r="AP10">
        <f t="shared" si="4"/>
        <v>0.6516250288454507</v>
      </c>
      <c r="AQ10">
        <f t="shared" si="4"/>
        <v>0.67364477971207992</v>
      </c>
      <c r="AR10">
        <f t="shared" si="4"/>
        <v>0.69255839307148281</v>
      </c>
      <c r="BB10">
        <v>100</v>
      </c>
      <c r="BC10">
        <f t="shared" si="5"/>
        <v>0.54886796863060561</v>
      </c>
      <c r="BD10">
        <f t="shared" si="5"/>
        <v>0.56893678507139533</v>
      </c>
      <c r="BE10">
        <f t="shared" si="5"/>
        <v>0.58421909793148497</v>
      </c>
      <c r="BF10">
        <f t="shared" si="5"/>
        <v>0.59700543533482464</v>
      </c>
      <c r="BG10">
        <f t="shared" si="5"/>
        <v>0.60818557879721724</v>
      </c>
      <c r="BH10">
        <f t="shared" si="5"/>
        <v>0.61821714650136994</v>
      </c>
      <c r="BI10">
        <f t="shared" si="5"/>
        <v>0.62737274813604205</v>
      </c>
      <c r="BJ10">
        <f t="shared" si="5"/>
        <v>0.63583050552351361</v>
      </c>
      <c r="BK10">
        <f t="shared" si="5"/>
        <v>0.64371449461398611</v>
      </c>
      <c r="BL10">
        <f t="shared" si="5"/>
        <v>0.65111531370199183</v>
      </c>
      <c r="BM10">
        <f t="shared" si="5"/>
        <v>0.70856118595748319</v>
      </c>
      <c r="BN10">
        <f t="shared" si="5"/>
        <v>0.74940325571601751</v>
      </c>
      <c r="BO10">
        <f t="shared" si="5"/>
        <v>0.78132227104075325</v>
      </c>
      <c r="BP10">
        <f t="shared" si="5"/>
        <v>0.80739581112051217</v>
      </c>
    </row>
    <row r="11" spans="1:68" x14ac:dyDescent="0.3">
      <c r="D11">
        <v>105</v>
      </c>
      <c r="F11">
        <v>105</v>
      </c>
      <c r="G11">
        <f t="shared" si="3"/>
        <v>0.30258404190280364</v>
      </c>
      <c r="H11">
        <f t="shared" si="3"/>
        <v>0.10203668425273305</v>
      </c>
      <c r="I11">
        <f t="shared" si="3"/>
        <v>3.7854212821564849E-2</v>
      </c>
      <c r="J11">
        <f t="shared" si="3"/>
        <v>1.4682468446548736E-2</v>
      </c>
      <c r="K11">
        <f t="shared" si="3"/>
        <v>5.8441653171727986E-3</v>
      </c>
      <c r="L11">
        <f t="shared" si="3"/>
        <v>2.3660091433270873E-3</v>
      </c>
      <c r="M11">
        <f t="shared" si="3"/>
        <v>9.6944972175709544E-4</v>
      </c>
      <c r="N11">
        <f t="shared" si="3"/>
        <v>4.0079522390535759E-4</v>
      </c>
      <c r="O11">
        <f t="shared" si="3"/>
        <v>1.6685248496555507E-4</v>
      </c>
      <c r="P11">
        <f t="shared" si="3"/>
        <v>6.9846893809131697E-5</v>
      </c>
      <c r="Q11">
        <f t="shared" si="3"/>
        <v>1.360592914772645E-8</v>
      </c>
      <c r="R11">
        <f t="shared" si="3"/>
        <v>3.0324269513150315E-12</v>
      </c>
      <c r="S11">
        <f t="shared" si="3"/>
        <v>7.150830149998037E-16</v>
      </c>
      <c r="T11">
        <f t="shared" si="3"/>
        <v>1.7397769067735975E-19</v>
      </c>
      <c r="AD11">
        <v>105</v>
      </c>
      <c r="AE11">
        <f t="shared" si="4"/>
        <v>0.99920275317662521</v>
      </c>
      <c r="AF11">
        <f t="shared" si="4"/>
        <v>0.98877260304276526</v>
      </c>
      <c r="AG11">
        <f t="shared" si="4"/>
        <v>0.9715971240018757</v>
      </c>
      <c r="AH11">
        <f t="shared" si="4"/>
        <v>0.95402336086086736</v>
      </c>
      <c r="AI11">
        <f t="shared" si="4"/>
        <v>0.93810923527972589</v>
      </c>
      <c r="AJ11">
        <f t="shared" si="4"/>
        <v>0.92421970029170719</v>
      </c>
      <c r="AK11">
        <f t="shared" si="4"/>
        <v>0.91222055081627429</v>
      </c>
      <c r="AL11">
        <f t="shared" si="4"/>
        <v>0.9018607895069084</v>
      </c>
      <c r="AM11">
        <f t="shared" si="4"/>
        <v>0.89288923014673138</v>
      </c>
      <c r="AN11">
        <f t="shared" si="4"/>
        <v>0.88508624103716704</v>
      </c>
      <c r="AO11">
        <f t="shared" si="4"/>
        <v>0.8433196119840275</v>
      </c>
      <c r="AP11">
        <f t="shared" si="4"/>
        <v>0.82972819951931209</v>
      </c>
      <c r="AQ11">
        <f t="shared" si="4"/>
        <v>0.8258525202797028</v>
      </c>
      <c r="AR11">
        <f t="shared" si="4"/>
        <v>0.82626495267175237</v>
      </c>
      <c r="BB11">
        <v>105</v>
      </c>
      <c r="BC11">
        <f t="shared" si="5"/>
        <v>0.628740426643426</v>
      </c>
      <c r="BD11">
        <f t="shared" si="5"/>
        <v>0.62518683273510978</v>
      </c>
      <c r="BE11">
        <f t="shared" si="5"/>
        <v>0.62985522077957357</v>
      </c>
      <c r="BF11">
        <f t="shared" si="5"/>
        <v>0.63625347490564876</v>
      </c>
      <c r="BG11">
        <f t="shared" si="5"/>
        <v>0.64303859122951312</v>
      </c>
      <c r="BH11">
        <f t="shared" si="5"/>
        <v>0.64980182165101763</v>
      </c>
      <c r="BI11">
        <f t="shared" si="5"/>
        <v>0.65639965694704494</v>
      </c>
      <c r="BJ11">
        <f t="shared" si="5"/>
        <v>0.66278210152107231</v>
      </c>
      <c r="BK11">
        <f t="shared" si="5"/>
        <v>0.6689362804545772</v>
      </c>
      <c r="BL11">
        <f t="shared" si="5"/>
        <v>0.67486491090513767</v>
      </c>
      <c r="BM11">
        <f t="shared" si="5"/>
        <v>0.72414045122891246</v>
      </c>
      <c r="BN11">
        <f t="shared" si="5"/>
        <v>0.76120118136043724</v>
      </c>
      <c r="BO11">
        <f t="shared" si="5"/>
        <v>0.7907980569661921</v>
      </c>
      <c r="BP11">
        <f t="shared" si="5"/>
        <v>0.81525592873204666</v>
      </c>
    </row>
    <row r="12" spans="1:68" x14ac:dyDescent="0.3">
      <c r="D12">
        <v>110</v>
      </c>
      <c r="F12">
        <v>110</v>
      </c>
      <c r="G12">
        <f t="shared" si="3"/>
        <v>0.56670499470883695</v>
      </c>
      <c r="H12">
        <f t="shared" si="3"/>
        <v>0.21802668661390959</v>
      </c>
      <c r="I12">
        <f t="shared" si="3"/>
        <v>8.4746035141609069E-2</v>
      </c>
      <c r="J12">
        <f t="shared" si="3"/>
        <v>3.3647375561016449E-2</v>
      </c>
      <c r="K12">
        <f t="shared" si="3"/>
        <v>1.3580422560070072E-2</v>
      </c>
      <c r="L12">
        <f t="shared" si="3"/>
        <v>5.5487111000939813E-3</v>
      </c>
      <c r="M12">
        <f t="shared" si="3"/>
        <v>2.288330317762152E-3</v>
      </c>
      <c r="N12">
        <f t="shared" si="3"/>
        <v>9.5062555593113487E-4</v>
      </c>
      <c r="O12">
        <f t="shared" si="3"/>
        <v>3.9722269761859893E-4</v>
      </c>
      <c r="P12">
        <f t="shared" si="3"/>
        <v>1.6677466661852228E-4</v>
      </c>
      <c r="Q12">
        <f t="shared" si="3"/>
        <v>3.2910936388323924E-8</v>
      </c>
      <c r="R12">
        <f t="shared" si="3"/>
        <v>7.3657102544235711E-12</v>
      </c>
      <c r="S12">
        <f t="shared" si="3"/>
        <v>1.7404904640264464E-15</v>
      </c>
      <c r="T12">
        <f t="shared" si="3"/>
        <v>4.2397270033822264E-19</v>
      </c>
      <c r="AD12">
        <v>110</v>
      </c>
      <c r="AE12">
        <f t="shared" si="4"/>
        <v>0.99999999946665097</v>
      </c>
      <c r="AF12">
        <f t="shared" si="4"/>
        <v>0.99999358615320744</v>
      </c>
      <c r="AG12">
        <f t="shared" si="4"/>
        <v>0.99984300347511301</v>
      </c>
      <c r="AH12">
        <f t="shared" si="4"/>
        <v>0.99920100944181667</v>
      </c>
      <c r="AI12">
        <f t="shared" si="4"/>
        <v>0.99784733183292618</v>
      </c>
      <c r="AJ12">
        <f t="shared" si="4"/>
        <v>0.99579539732471112</v>
      </c>
      <c r="AK12">
        <f t="shared" si="4"/>
        <v>0.99317982212385825</v>
      </c>
      <c r="AL12">
        <f t="shared" si="4"/>
        <v>0.99016139358503918</v>
      </c>
      <c r="AM12">
        <f t="shared" si="4"/>
        <v>0.98688430161007179</v>
      </c>
      <c r="AN12">
        <f t="shared" si="4"/>
        <v>0.98346381355380319</v>
      </c>
      <c r="AO12">
        <f t="shared" si="4"/>
        <v>0.95215201011943384</v>
      </c>
      <c r="AP12">
        <f t="shared" si="4"/>
        <v>0.93192187204147803</v>
      </c>
      <c r="AQ12">
        <f t="shared" si="4"/>
        <v>0.91970675745652564</v>
      </c>
      <c r="AR12">
        <f t="shared" si="4"/>
        <v>0.91238604125034095</v>
      </c>
      <c r="BB12">
        <v>110</v>
      </c>
      <c r="BC12">
        <f t="shared" si="5"/>
        <v>0.70009187938078421</v>
      </c>
      <c r="BD12">
        <f t="shared" si="5"/>
        <v>0.67646199143480101</v>
      </c>
      <c r="BE12">
        <f t="shared" si="5"/>
        <v>0.67173700580665341</v>
      </c>
      <c r="BF12">
        <f t="shared" si="5"/>
        <v>0.67239460587795308</v>
      </c>
      <c r="BG12">
        <f t="shared" si="5"/>
        <v>0.67519776340776172</v>
      </c>
      <c r="BH12">
        <f t="shared" si="5"/>
        <v>0.67898471105720093</v>
      </c>
      <c r="BI12">
        <f t="shared" si="5"/>
        <v>0.68324520438774694</v>
      </c>
      <c r="BJ12">
        <f t="shared" si="5"/>
        <v>0.68772636623043093</v>
      </c>
      <c r="BK12">
        <f t="shared" si="5"/>
        <v>0.6922927327573617</v>
      </c>
      <c r="BL12">
        <f t="shared" si="5"/>
        <v>0.69686797513727661</v>
      </c>
      <c r="BM12">
        <f t="shared" si="5"/>
        <v>0.7386033551003155</v>
      </c>
      <c r="BN12">
        <f t="shared" si="5"/>
        <v>0.77216111978356117</v>
      </c>
      <c r="BO12">
        <f t="shared" si="5"/>
        <v>0.79960377303019248</v>
      </c>
      <c r="BP12">
        <f t="shared" si="5"/>
        <v>0.82256171010701928</v>
      </c>
    </row>
    <row r="13" spans="1:68" x14ac:dyDescent="0.3">
      <c r="D13">
        <v>115</v>
      </c>
      <c r="F13">
        <v>115</v>
      </c>
      <c r="G13">
        <f t="shared" si="3"/>
        <v>0.77494456812815071</v>
      </c>
      <c r="H13">
        <f t="shared" si="3"/>
        <v>0.37218320692967044</v>
      </c>
      <c r="I13">
        <f t="shared" si="3"/>
        <v>0.15925642613737906</v>
      </c>
      <c r="J13">
        <f t="shared" si="3"/>
        <v>6.6626187211610066E-2</v>
      </c>
      <c r="K13">
        <f t="shared" si="3"/>
        <v>2.7785181500499495E-2</v>
      </c>
      <c r="L13">
        <f t="shared" si="3"/>
        <v>1.1609017937085794E-2</v>
      </c>
      <c r="M13">
        <f t="shared" si="3"/>
        <v>4.8659043190428242E-3</v>
      </c>
      <c r="N13">
        <f t="shared" si="3"/>
        <v>2.0464171093055447E-3</v>
      </c>
      <c r="O13">
        <f t="shared" si="3"/>
        <v>8.6338761895446826E-4</v>
      </c>
      <c r="P13">
        <f t="shared" si="3"/>
        <v>3.6531908176734356E-4</v>
      </c>
      <c r="Q13">
        <f t="shared" si="3"/>
        <v>7.4690770911065557E-8</v>
      </c>
      <c r="R13">
        <f t="shared" si="3"/>
        <v>1.691774849981224E-11</v>
      </c>
      <c r="S13">
        <f t="shared" si="3"/>
        <v>4.0217266474426319E-15</v>
      </c>
      <c r="T13">
        <f t="shared" si="3"/>
        <v>9.8321909809792048E-19</v>
      </c>
      <c r="AD13">
        <v>115</v>
      </c>
      <c r="AE13">
        <f t="shared" si="4"/>
        <v>1</v>
      </c>
      <c r="AF13">
        <f t="shared" si="4"/>
        <v>0.99999999989301724</v>
      </c>
      <c r="AG13">
        <f t="shared" si="4"/>
        <v>0.99999991368260444</v>
      </c>
      <c r="AH13">
        <f t="shared" si="4"/>
        <v>0.99999746612316398</v>
      </c>
      <c r="AI13">
        <f t="shared" si="4"/>
        <v>0.99998040159115298</v>
      </c>
      <c r="AJ13">
        <f t="shared" si="4"/>
        <v>0.99992250102787705</v>
      </c>
      <c r="AK13">
        <f t="shared" si="4"/>
        <v>0.99979158938598267</v>
      </c>
      <c r="AL13">
        <f t="shared" si="4"/>
        <v>0.99956015075205285</v>
      </c>
      <c r="AM13">
        <f t="shared" si="4"/>
        <v>0.99921086779639845</v>
      </c>
      <c r="AN13">
        <f t="shared" si="4"/>
        <v>0.99873712290517369</v>
      </c>
      <c r="AO13">
        <f t="shared" si="4"/>
        <v>0.98912571013143469</v>
      </c>
      <c r="AP13">
        <f t="shared" si="4"/>
        <v>0.9774404993445992</v>
      </c>
      <c r="AQ13">
        <f t="shared" si="4"/>
        <v>0.96767129111176242</v>
      </c>
      <c r="AR13">
        <f t="shared" si="4"/>
        <v>0.96021479519873587</v>
      </c>
      <c r="BB13">
        <v>115</v>
      </c>
      <c r="BC13">
        <f t="shared" si="5"/>
        <v>0.76179543763935165</v>
      </c>
      <c r="BD13">
        <f t="shared" si="5"/>
        <v>0.72252451853258526</v>
      </c>
      <c r="BE13">
        <f t="shared" si="5"/>
        <v>0.70984246695588715</v>
      </c>
      <c r="BF13">
        <f t="shared" si="5"/>
        <v>0.70548685858145432</v>
      </c>
      <c r="BG13">
        <f t="shared" si="5"/>
        <v>0.7047566177911323</v>
      </c>
      <c r="BH13">
        <f t="shared" si="5"/>
        <v>0.70587631525520922</v>
      </c>
      <c r="BI13">
        <f t="shared" si="5"/>
        <v>0.70802801653166281</v>
      </c>
      <c r="BJ13">
        <f t="shared" si="5"/>
        <v>0.71078542198773864</v>
      </c>
      <c r="BK13">
        <f t="shared" si="5"/>
        <v>0.71390690249454813</v>
      </c>
      <c r="BL13">
        <f t="shared" si="5"/>
        <v>0.7172470078877351</v>
      </c>
      <c r="BM13">
        <f t="shared" si="5"/>
        <v>0.7520500459446724</v>
      </c>
      <c r="BN13">
        <f t="shared" si="5"/>
        <v>0.7823639652705191</v>
      </c>
      <c r="BO13">
        <f t="shared" si="5"/>
        <v>0.80780642962240878</v>
      </c>
      <c r="BP13">
        <f t="shared" si="5"/>
        <v>0.82936975677724023</v>
      </c>
    </row>
    <row r="14" spans="1:68" x14ac:dyDescent="0.3">
      <c r="D14">
        <v>120</v>
      </c>
      <c r="F14">
        <v>120</v>
      </c>
      <c r="G14">
        <f t="shared" si="3"/>
        <v>0.87887281045745724</v>
      </c>
      <c r="H14">
        <f t="shared" si="3"/>
        <v>0.53194510787051918</v>
      </c>
      <c r="I14">
        <f t="shared" si="3"/>
        <v>0.25831841007967077</v>
      </c>
      <c r="J14">
        <f t="shared" si="3"/>
        <v>0.1163398437955625</v>
      </c>
      <c r="K14">
        <f t="shared" si="3"/>
        <v>5.0882021726251621E-2</v>
      </c>
      <c r="L14">
        <f t="shared" si="3"/>
        <v>2.1974593261682714E-2</v>
      </c>
      <c r="M14">
        <f t="shared" si="3"/>
        <v>9.4372076905240056E-3</v>
      </c>
      <c r="N14">
        <f t="shared" si="3"/>
        <v>4.0433838163696787E-3</v>
      </c>
      <c r="O14">
        <f t="shared" si="3"/>
        <v>1.731110034180491E-3</v>
      </c>
      <c r="P14">
        <f t="shared" si="3"/>
        <v>7.4121160544485536E-4</v>
      </c>
      <c r="Q14">
        <f t="shared" si="3"/>
        <v>1.6007570974654936E-7</v>
      </c>
      <c r="R14">
        <f t="shared" si="3"/>
        <v>3.6944219351474926E-11</v>
      </c>
      <c r="S14">
        <f t="shared" si="3"/>
        <v>8.8660159537009413E-15</v>
      </c>
      <c r="T14">
        <f t="shared" si="3"/>
        <v>2.1799467823363685E-18</v>
      </c>
      <c r="AD14">
        <v>120</v>
      </c>
      <c r="AE14">
        <f>DeltaC($AD14,$A$2,AE$1,$B$2,0,$C$3)</f>
        <v>1</v>
      </c>
      <c r="AF14">
        <f t="shared" si="4"/>
        <v>0.99999999999999989</v>
      </c>
      <c r="AG14">
        <f t="shared" si="4"/>
        <v>0.99999999999401945</v>
      </c>
      <c r="AH14">
        <f t="shared" si="4"/>
        <v>0.99999999826663921</v>
      </c>
      <c r="AI14">
        <f t="shared" si="4"/>
        <v>0.99999994694343552</v>
      </c>
      <c r="AJ14">
        <f t="shared" si="4"/>
        <v>0.99999947440838299</v>
      </c>
      <c r="AK14">
        <f t="shared" si="4"/>
        <v>0.9999972736033107</v>
      </c>
      <c r="AL14">
        <f t="shared" si="4"/>
        <v>0.99999057438900363</v>
      </c>
      <c r="AM14">
        <f t="shared" si="4"/>
        <v>0.99997516024645405</v>
      </c>
      <c r="AN14">
        <f t="shared" si="4"/>
        <v>0.99994590088697366</v>
      </c>
      <c r="AO14">
        <f t="shared" si="4"/>
        <v>0.99811393359429523</v>
      </c>
      <c r="AP14">
        <f t="shared" si="4"/>
        <v>0.99370177838692031</v>
      </c>
      <c r="AQ14">
        <f t="shared" si="4"/>
        <v>0.98849340370177485</v>
      </c>
      <c r="AR14">
        <f t="shared" si="4"/>
        <v>0.98357242315619375</v>
      </c>
      <c r="BB14">
        <v>120</v>
      </c>
      <c r="BC14">
        <f t="shared" si="5"/>
        <v>0.81367941475896055</v>
      </c>
      <c r="BD14">
        <f t="shared" si="5"/>
        <v>0.76338877993746324</v>
      </c>
      <c r="BE14">
        <f t="shared" si="5"/>
        <v>0.74425789659534769</v>
      </c>
      <c r="BF14">
        <f t="shared" si="5"/>
        <v>0.73564327184987299</v>
      </c>
      <c r="BG14">
        <f t="shared" si="5"/>
        <v>0.73183820596954197</v>
      </c>
      <c r="BH14">
        <f t="shared" si="5"/>
        <v>0.73060260794878429</v>
      </c>
      <c r="BI14">
        <f t="shared" si="5"/>
        <v>0.73087370724470246</v>
      </c>
      <c r="BJ14">
        <f t="shared" si="5"/>
        <v>0.7320829339441971</v>
      </c>
      <c r="BK14">
        <f t="shared" si="5"/>
        <v>0.73389973592479141</v>
      </c>
      <c r="BL14">
        <f t="shared" si="5"/>
        <v>0.73611988619047031</v>
      </c>
      <c r="BM14">
        <f t="shared" si="5"/>
        <v>0.76457006113356085</v>
      </c>
      <c r="BN14">
        <f t="shared" si="5"/>
        <v>0.79188072617016736</v>
      </c>
      <c r="BO14">
        <f t="shared" si="5"/>
        <v>0.81546436343268536</v>
      </c>
      <c r="BP14">
        <f t="shared" si="5"/>
        <v>0.83572911292700658</v>
      </c>
    </row>
    <row r="15" spans="1:68" x14ac:dyDescent="0.3">
      <c r="D15">
        <v>125</v>
      </c>
      <c r="F15">
        <v>125</v>
      </c>
      <c r="G15">
        <f t="shared" si="3"/>
        <v>0.91349394850203591</v>
      </c>
      <c r="H15">
        <f t="shared" si="3"/>
        <v>0.66488786094435226</v>
      </c>
      <c r="I15">
        <f t="shared" si="3"/>
        <v>0.37082634318212748</v>
      </c>
      <c r="J15">
        <f t="shared" si="3"/>
        <v>0.18237837427974257</v>
      </c>
      <c r="K15">
        <f t="shared" si="3"/>
        <v>8.4600153947859594E-2</v>
      </c>
      <c r="L15">
        <f t="shared" si="3"/>
        <v>3.8092103497254122E-2</v>
      </c>
      <c r="M15">
        <f t="shared" si="3"/>
        <v>1.6873294149300364E-2</v>
      </c>
      <c r="N15">
        <f t="shared" si="3"/>
        <v>7.4038002848680713E-3</v>
      </c>
      <c r="O15">
        <f t="shared" si="3"/>
        <v>3.230314971738629E-3</v>
      </c>
      <c r="P15">
        <f t="shared" si="3"/>
        <v>1.4045221585384175E-3</v>
      </c>
      <c r="Q15">
        <f t="shared" si="3"/>
        <v>3.2580020170561376E-7</v>
      </c>
      <c r="R15">
        <f t="shared" si="3"/>
        <v>7.7069730850330358E-11</v>
      </c>
      <c r="S15">
        <f t="shared" si="3"/>
        <v>1.8727824797558056E-14</v>
      </c>
      <c r="T15">
        <f t="shared" si="3"/>
        <v>4.6395760258610065E-18</v>
      </c>
      <c r="AD15">
        <v>125</v>
      </c>
      <c r="AE15">
        <f t="shared" si="4"/>
        <v>1</v>
      </c>
      <c r="AF15">
        <f t="shared" si="4"/>
        <v>1</v>
      </c>
      <c r="AG15">
        <f t="shared" si="4"/>
        <v>0.99999999999999989</v>
      </c>
      <c r="AH15">
        <f t="shared" si="4"/>
        <v>0.99999999999969613</v>
      </c>
      <c r="AI15">
        <f t="shared" si="4"/>
        <v>0.99999999995117717</v>
      </c>
      <c r="AJ15">
        <f t="shared" si="4"/>
        <v>0.99999999853815102</v>
      </c>
      <c r="AK15">
        <f t="shared" si="4"/>
        <v>0.99999998327995909</v>
      </c>
      <c r="AL15">
        <f t="shared" si="4"/>
        <v>0.99999989535303313</v>
      </c>
      <c r="AM15">
        <f t="shared" si="4"/>
        <v>0.99999956223859732</v>
      </c>
      <c r="AN15">
        <f t="shared" si="4"/>
        <v>0.99999861969050008</v>
      </c>
      <c r="AO15">
        <f t="shared" si="4"/>
        <v>0.99974354725487879</v>
      </c>
      <c r="AP15">
        <f t="shared" si="4"/>
        <v>0.99849321936174029</v>
      </c>
      <c r="AQ15">
        <f t="shared" si="4"/>
        <v>0.99633464790514792</v>
      </c>
      <c r="AR15">
        <f t="shared" si="4"/>
        <v>0.9937722905272045</v>
      </c>
      <c r="BB15">
        <v>125</v>
      </c>
      <c r="BC15">
        <f t="shared" si="5"/>
        <v>0.8562580819188863</v>
      </c>
      <c r="BD15">
        <f t="shared" si="5"/>
        <v>0.79925229208524651</v>
      </c>
      <c r="BE15">
        <f t="shared" si="5"/>
        <v>0.77514610933724293</v>
      </c>
      <c r="BF15">
        <f t="shared" si="5"/>
        <v>0.76301404338171686</v>
      </c>
      <c r="BG15">
        <f t="shared" si="5"/>
        <v>0.75658408944160893</v>
      </c>
      <c r="BH15">
        <f t="shared" si="5"/>
        <v>0.75329790309122435</v>
      </c>
      <c r="BI15">
        <f t="shared" si="5"/>
        <v>0.75191016993775706</v>
      </c>
      <c r="BJ15">
        <f t="shared" si="5"/>
        <v>0.75174101303259655</v>
      </c>
      <c r="BK15">
        <f t="shared" si="5"/>
        <v>0.75238809820338859</v>
      </c>
      <c r="BL15">
        <f t="shared" si="5"/>
        <v>0.75359869285227865</v>
      </c>
      <c r="BM15">
        <f t="shared" si="5"/>
        <v>0.77624358080583544</v>
      </c>
      <c r="BN15">
        <f t="shared" si="5"/>
        <v>0.80077398024781288</v>
      </c>
      <c r="BO15">
        <f t="shared" si="5"/>
        <v>0.82262860902226098</v>
      </c>
      <c r="BP15">
        <f t="shared" si="5"/>
        <v>0.84168250385946419</v>
      </c>
    </row>
    <row r="16" spans="1:68" x14ac:dyDescent="0.3">
      <c r="D16">
        <v>130</v>
      </c>
      <c r="F16">
        <v>130</v>
      </c>
      <c r="G16">
        <f t="shared" si="3"/>
        <v>0.9215561959533124</v>
      </c>
      <c r="H16">
        <f t="shared" si="3"/>
        <v>0.75598577522296695</v>
      </c>
      <c r="I16">
        <f t="shared" si="3"/>
        <v>0.4819524648541928</v>
      </c>
      <c r="J16">
        <f t="shared" si="3"/>
        <v>0.26078273677980951</v>
      </c>
      <c r="K16">
        <f t="shared" si="3"/>
        <v>0.12932192401925788</v>
      </c>
      <c r="L16">
        <f t="shared" si="3"/>
        <v>6.1111722641807038E-2</v>
      </c>
      <c r="M16">
        <f t="shared" si="3"/>
        <v>2.8071261245598451E-2</v>
      </c>
      <c r="N16">
        <f t="shared" si="3"/>
        <v>1.2669455347185809E-2</v>
      </c>
      <c r="O16">
        <f t="shared" si="3"/>
        <v>5.6533478186780398E-3</v>
      </c>
      <c r="P16">
        <f t="shared" si="3"/>
        <v>2.5034605170215687E-3</v>
      </c>
      <c r="Q16">
        <f t="shared" si="3"/>
        <v>6.3279480624218981E-7</v>
      </c>
      <c r="R16">
        <f t="shared" si="3"/>
        <v>1.5422307015723159E-10</v>
      </c>
      <c r="S16">
        <f t="shared" si="3"/>
        <v>3.8047104224372568E-14</v>
      </c>
      <c r="T16">
        <f t="shared" si="3"/>
        <v>9.5122320579702039E-18</v>
      </c>
      <c r="AD16">
        <v>130</v>
      </c>
      <c r="AE16">
        <f t="shared" si="4"/>
        <v>1</v>
      </c>
      <c r="AF16">
        <f t="shared" si="4"/>
        <v>1</v>
      </c>
      <c r="AG16">
        <f t="shared" si="4"/>
        <v>1</v>
      </c>
      <c r="AH16">
        <f t="shared" si="4"/>
        <v>1</v>
      </c>
      <c r="AI16">
        <f t="shared" si="4"/>
        <v>0.99999999999998268</v>
      </c>
      <c r="AJ16">
        <f t="shared" si="4"/>
        <v>0.99999999999815403</v>
      </c>
      <c r="AK16">
        <f t="shared" si="4"/>
        <v>0.99999999994763256</v>
      </c>
      <c r="AL16">
        <f t="shared" si="4"/>
        <v>0.99999999935198958</v>
      </c>
      <c r="AM16">
        <f t="shared" si="4"/>
        <v>0.99999999539247697</v>
      </c>
      <c r="AN16">
        <f t="shared" si="4"/>
        <v>0.99999997778655669</v>
      </c>
      <c r="AO16">
        <f t="shared" si="4"/>
        <v>0.99997194369841946</v>
      </c>
      <c r="AP16">
        <f t="shared" si="4"/>
        <v>0.99968601036528271</v>
      </c>
      <c r="AQ16">
        <f t="shared" si="4"/>
        <v>0.99894268716503409</v>
      </c>
      <c r="AR16">
        <f t="shared" si="4"/>
        <v>0.99781247528007733</v>
      </c>
      <c r="BB16">
        <v>130</v>
      </c>
      <c r="BC16">
        <f t="shared" si="5"/>
        <v>0.89046909329722712</v>
      </c>
      <c r="BD16">
        <f t="shared" si="5"/>
        <v>0.83043534967074206</v>
      </c>
      <c r="BE16">
        <f t="shared" si="5"/>
        <v>0.8027203381196244</v>
      </c>
      <c r="BF16">
        <f t="shared" si="5"/>
        <v>0.7877724464129523</v>
      </c>
      <c r="BG16">
        <f t="shared" si="5"/>
        <v>0.77914592307854869</v>
      </c>
      <c r="BH16">
        <f t="shared" si="5"/>
        <v>0.7740995718182172</v>
      </c>
      <c r="BI16">
        <f t="shared" si="5"/>
        <v>0.77126420810796592</v>
      </c>
      <c r="BJ16">
        <f t="shared" si="5"/>
        <v>0.76987809661391204</v>
      </c>
      <c r="BK16">
        <f t="shared" si="5"/>
        <v>0.76948351112245228</v>
      </c>
      <c r="BL16">
        <f t="shared" si="5"/>
        <v>0.76978906335260189</v>
      </c>
      <c r="BM16">
        <f t="shared" si="5"/>
        <v>0.78714252848824506</v>
      </c>
      <c r="BN16">
        <f t="shared" si="5"/>
        <v>0.80909908108254069</v>
      </c>
      <c r="BO16">
        <f t="shared" si="5"/>
        <v>0.82934401573773442</v>
      </c>
      <c r="BP16">
        <f t="shared" si="5"/>
        <v>0.8472673356579794</v>
      </c>
    </row>
    <row r="17" spans="4:68" x14ac:dyDescent="0.3">
      <c r="D17">
        <v>135</v>
      </c>
      <c r="F17">
        <v>135</v>
      </c>
      <c r="G17">
        <f t="shared" si="3"/>
        <v>0.92292278925556592</v>
      </c>
      <c r="H17">
        <f t="shared" si="3"/>
        <v>0.8085293270858589</v>
      </c>
      <c r="I17">
        <f t="shared" si="3"/>
        <v>0.57889992079914498</v>
      </c>
      <c r="J17">
        <f t="shared" si="3"/>
        <v>0.34500408976193608</v>
      </c>
      <c r="K17">
        <f t="shared" si="3"/>
        <v>0.1837700940559637</v>
      </c>
      <c r="L17">
        <f t="shared" si="3"/>
        <v>9.1582707029073687E-2</v>
      </c>
      <c r="M17">
        <f t="shared" si="3"/>
        <v>4.3807726458522558E-2</v>
      </c>
      <c r="N17">
        <f t="shared" si="3"/>
        <v>2.0409147216544951E-2</v>
      </c>
      <c r="O17">
        <f t="shared" si="3"/>
        <v>9.3415162241989921E-3</v>
      </c>
      <c r="P17">
        <f t="shared" si="3"/>
        <v>4.2236481469136635E-3</v>
      </c>
      <c r="Q17">
        <f t="shared" si="3"/>
        <v>1.1779105130924559E-6</v>
      </c>
      <c r="R17">
        <f t="shared" si="3"/>
        <v>2.9710982069390863E-10</v>
      </c>
      <c r="S17">
        <f t="shared" si="3"/>
        <v>7.4587472819530746E-14</v>
      </c>
      <c r="T17">
        <f t="shared" si="3"/>
        <v>1.8845554152266072E-17</v>
      </c>
      <c r="AD17">
        <v>135</v>
      </c>
      <c r="AE17">
        <f t="shared" si="4"/>
        <v>1</v>
      </c>
      <c r="AF17">
        <f t="shared" si="4"/>
        <v>1</v>
      </c>
      <c r="AG17">
        <f t="shared" si="4"/>
        <v>1</v>
      </c>
      <c r="AH17">
        <f t="shared" si="4"/>
        <v>1</v>
      </c>
      <c r="AI17">
        <f t="shared" si="4"/>
        <v>1</v>
      </c>
      <c r="AJ17">
        <f t="shared" si="4"/>
        <v>0.99999999999999889</v>
      </c>
      <c r="AK17">
        <f t="shared" si="4"/>
        <v>0.99999999999990952</v>
      </c>
      <c r="AL17">
        <f t="shared" si="4"/>
        <v>0.99999999999760714</v>
      </c>
      <c r="AM17">
        <f t="shared" si="4"/>
        <v>0.99999999996928457</v>
      </c>
      <c r="AN17">
        <f t="shared" si="4"/>
        <v>0.99999999976241372</v>
      </c>
      <c r="AO17">
        <f t="shared" si="4"/>
        <v>0.99999747040161946</v>
      </c>
      <c r="AP17">
        <f t="shared" si="4"/>
        <v>0.99994214009939286</v>
      </c>
      <c r="AQ17">
        <f t="shared" si="4"/>
        <v>0.99972079072987197</v>
      </c>
      <c r="AR17">
        <f t="shared" si="4"/>
        <v>0.99928204168011003</v>
      </c>
      <c r="BB17">
        <v>135</v>
      </c>
      <c r="BC17">
        <f t="shared" si="5"/>
        <v>0.91745489864078855</v>
      </c>
      <c r="BD17">
        <f t="shared" si="5"/>
        <v>0.85733151321232948</v>
      </c>
      <c r="BE17">
        <f t="shared" si="5"/>
        <v>0.82722354997945047</v>
      </c>
      <c r="BF17">
        <f t="shared" si="5"/>
        <v>0.81010399739742345</v>
      </c>
      <c r="BG17">
        <f t="shared" si="5"/>
        <v>0.79967916198613265</v>
      </c>
      <c r="BH17">
        <f t="shared" si="5"/>
        <v>0.79314421318744366</v>
      </c>
      <c r="BI17">
        <f t="shared" si="5"/>
        <v>0.78905918786531815</v>
      </c>
      <c r="BJ17">
        <f t="shared" si="5"/>
        <v>0.78660755629398493</v>
      </c>
      <c r="BK17">
        <f t="shared" si="5"/>
        <v>0.78529140814315124</v>
      </c>
      <c r="BL17">
        <f t="shared" si="5"/>
        <v>0.7847898957710755</v>
      </c>
      <c r="BM17">
        <f t="shared" si="5"/>
        <v>0.79733153490001163</v>
      </c>
      <c r="BN17">
        <f t="shared" si="5"/>
        <v>0.81690516366968469</v>
      </c>
      <c r="BO17">
        <f t="shared" si="5"/>
        <v>0.83565016392512037</v>
      </c>
      <c r="BP17">
        <f t="shared" si="5"/>
        <v>0.85251650863846895</v>
      </c>
    </row>
    <row r="18" spans="4:68" x14ac:dyDescent="0.3">
      <c r="D18">
        <v>140</v>
      </c>
      <c r="F18">
        <v>140</v>
      </c>
      <c r="G18">
        <f t="shared" si="3"/>
        <v>0.92309749153109077</v>
      </c>
      <c r="H18">
        <f t="shared" si="3"/>
        <v>0.83452988955981544</v>
      </c>
      <c r="I18">
        <f t="shared" si="3"/>
        <v>0.65461787764245849</v>
      </c>
      <c r="J18">
        <f t="shared" si="3"/>
        <v>0.42773551742886334</v>
      </c>
      <c r="K18">
        <f t="shared" si="3"/>
        <v>0.24516647470282335</v>
      </c>
      <c r="L18">
        <f t="shared" si="3"/>
        <v>0.1292577510066619</v>
      </c>
      <c r="M18">
        <f t="shared" si="3"/>
        <v>6.4589583933108888E-2</v>
      </c>
      <c r="N18">
        <f t="shared" si="3"/>
        <v>3.1148454236820527E-2</v>
      </c>
      <c r="O18">
        <f t="shared" si="3"/>
        <v>1.465986831018647E-2</v>
      </c>
      <c r="P18">
        <f t="shared" si="3"/>
        <v>6.7817620317415497E-3</v>
      </c>
      <c r="Q18">
        <f t="shared" si="3"/>
        <v>2.1092458864327558E-6</v>
      </c>
      <c r="R18">
        <f t="shared" si="3"/>
        <v>5.5280772751342663E-10</v>
      </c>
      <c r="S18">
        <f t="shared" si="3"/>
        <v>1.4150995307877398E-13</v>
      </c>
      <c r="T18">
        <f t="shared" si="3"/>
        <v>3.6178615950007124E-17</v>
      </c>
      <c r="AD18">
        <v>140</v>
      </c>
      <c r="AE18">
        <f>DeltaC($AD18,$A$2,AE$1,$B$2,0,$C$3)</f>
        <v>1</v>
      </c>
      <c r="AF18">
        <f t="shared" si="4"/>
        <v>1</v>
      </c>
      <c r="AG18">
        <f t="shared" si="4"/>
        <v>1</v>
      </c>
      <c r="AH18">
        <f t="shared" si="4"/>
        <v>1</v>
      </c>
      <c r="AI18">
        <f t="shared" si="4"/>
        <v>1</v>
      </c>
      <c r="AJ18">
        <f t="shared" si="4"/>
        <v>1</v>
      </c>
      <c r="AK18">
        <f t="shared" si="4"/>
        <v>0.99999999999999989</v>
      </c>
      <c r="AL18">
        <f t="shared" si="4"/>
        <v>0.99999999999999445</v>
      </c>
      <c r="AM18">
        <f t="shared" si="4"/>
        <v>0.99999999999986333</v>
      </c>
      <c r="AN18">
        <f t="shared" si="4"/>
        <v>0.99999999999823019</v>
      </c>
      <c r="AO18">
        <f t="shared" si="4"/>
        <v>0.99999980791011267</v>
      </c>
      <c r="AP18">
        <f t="shared" si="4"/>
        <v>0.99999044134034476</v>
      </c>
      <c r="AQ18">
        <f t="shared" si="4"/>
        <v>0.99993183193784485</v>
      </c>
      <c r="AR18">
        <f t="shared" si="4"/>
        <v>0.99977813959038175</v>
      </c>
      <c r="BB18">
        <v>140</v>
      </c>
      <c r="BC18">
        <f t="shared" si="5"/>
        <v>0.93840161367198327</v>
      </c>
      <c r="BD18">
        <f t="shared" si="5"/>
        <v>0.88036918285939558</v>
      </c>
      <c r="BE18">
        <f t="shared" si="5"/>
        <v>0.84891260510983468</v>
      </c>
      <c r="BF18">
        <f t="shared" si="5"/>
        <v>0.83019833743736016</v>
      </c>
      <c r="BG18">
        <f t="shared" si="5"/>
        <v>0.81833846763296003</v>
      </c>
      <c r="BH18">
        <f t="shared" si="5"/>
        <v>0.81056495301412168</v>
      </c>
      <c r="BI18">
        <f t="shared" si="5"/>
        <v>0.80541346305244554</v>
      </c>
      <c r="BJ18">
        <f t="shared" si="5"/>
        <v>0.80203684173004486</v>
      </c>
      <c r="BK18">
        <f t="shared" si="5"/>
        <v>0.79991076022083418</v>
      </c>
      <c r="BL18">
        <f t="shared" si="5"/>
        <v>0.79869331195957249</v>
      </c>
      <c r="BM18">
        <f t="shared" si="5"/>
        <v>0.80686878094489434</v>
      </c>
      <c r="BN18">
        <f t="shared" si="5"/>
        <v>0.82423598707433487</v>
      </c>
      <c r="BO18">
        <f t="shared" si="5"/>
        <v>0.84158212162830115</v>
      </c>
      <c r="BP18">
        <f t="shared" si="5"/>
        <v>0.85745908424240047</v>
      </c>
    </row>
    <row r="21" spans="4:68" x14ac:dyDescent="0.3">
      <c r="G21">
        <v>0.1</v>
      </c>
      <c r="H21">
        <v>0.2</v>
      </c>
      <c r="I21">
        <v>0.3</v>
      </c>
      <c r="J21">
        <v>0.4</v>
      </c>
      <c r="K21">
        <v>0.5</v>
      </c>
      <c r="L21">
        <v>0.6</v>
      </c>
      <c r="M21">
        <v>0.7</v>
      </c>
      <c r="N21">
        <v>0.8</v>
      </c>
      <c r="O21">
        <v>0.9</v>
      </c>
      <c r="P21">
        <v>1</v>
      </c>
      <c r="Q21">
        <v>2</v>
      </c>
      <c r="R21">
        <v>3</v>
      </c>
      <c r="S21">
        <v>4</v>
      </c>
      <c r="T21">
        <v>5</v>
      </c>
      <c r="AE21">
        <v>0.1</v>
      </c>
      <c r="AF21">
        <v>0.2</v>
      </c>
      <c r="AG21">
        <v>0.3</v>
      </c>
      <c r="AH21">
        <v>0.4</v>
      </c>
      <c r="AI21">
        <v>0.5</v>
      </c>
      <c r="AJ21">
        <v>0.6</v>
      </c>
      <c r="AK21">
        <v>0.7</v>
      </c>
      <c r="AL21">
        <v>0.8</v>
      </c>
      <c r="AM21">
        <v>0.9</v>
      </c>
      <c r="AN21">
        <v>1</v>
      </c>
      <c r="AO21">
        <v>2</v>
      </c>
      <c r="AP21">
        <v>3</v>
      </c>
      <c r="AQ21">
        <v>4</v>
      </c>
      <c r="AR21">
        <v>5</v>
      </c>
      <c r="BC21">
        <v>0.1</v>
      </c>
      <c r="BD21">
        <v>0.2</v>
      </c>
      <c r="BE21">
        <v>0.3</v>
      </c>
      <c r="BF21">
        <v>0.4</v>
      </c>
      <c r="BG21">
        <v>0.5</v>
      </c>
      <c r="BH21">
        <v>0.6</v>
      </c>
      <c r="BI21">
        <v>0.7</v>
      </c>
      <c r="BJ21">
        <v>0.8</v>
      </c>
      <c r="BK21">
        <v>0.9</v>
      </c>
      <c r="BL21">
        <v>1</v>
      </c>
      <c r="BM21">
        <v>2</v>
      </c>
      <c r="BN21">
        <v>3</v>
      </c>
      <c r="BO21">
        <v>4</v>
      </c>
      <c r="BP21">
        <v>5</v>
      </c>
    </row>
    <row r="22" spans="4:68" x14ac:dyDescent="0.3">
      <c r="E22" t="s">
        <v>8</v>
      </c>
      <c r="F22">
        <v>60</v>
      </c>
      <c r="G22">
        <f>GammaCP($D2,$A$2,G$1,$B$2,$C$9,$C$2)</f>
        <v>1.6934683921760464E-20</v>
      </c>
      <c r="H22">
        <f t="shared" ref="H22:T22" si="6">GammaCP($D2,$A$2,H$1,$B$2,$C$9,$C$2)</f>
        <v>6.3757115413858121E-14</v>
      </c>
      <c r="I22">
        <f t="shared" si="6"/>
        <v>5.2581363888526855E-12</v>
      </c>
      <c r="J22">
        <f t="shared" si="6"/>
        <v>3.0355113332059258E-11</v>
      </c>
      <c r="K22">
        <f t="shared" si="6"/>
        <v>6.101750671480458E-11</v>
      </c>
      <c r="L22">
        <f t="shared" si="6"/>
        <v>7.2685126855816714E-11</v>
      </c>
      <c r="M22">
        <f t="shared" si="6"/>
        <v>6.4363839096655522E-11</v>
      </c>
      <c r="N22">
        <f t="shared" si="6"/>
        <v>4.7423738779861153E-11</v>
      </c>
      <c r="O22">
        <f t="shared" si="6"/>
        <v>3.0942545972157936E-11</v>
      </c>
      <c r="P22">
        <f t="shared" si="6"/>
        <v>1.8555151358002778E-11</v>
      </c>
      <c r="Q22">
        <f t="shared" si="6"/>
        <v>1.8202733084623893E-14</v>
      </c>
      <c r="R22">
        <f t="shared" si="6"/>
        <v>6.9516243231999166E-18</v>
      </c>
      <c r="S22">
        <f t="shared" si="6"/>
        <v>2.1456767974555815E-21</v>
      </c>
      <c r="T22">
        <f t="shared" si="6"/>
        <v>6.1353239687220188E-25</v>
      </c>
      <c r="AD22">
        <v>60</v>
      </c>
      <c r="AE22">
        <f>GammaCP($AD2,$A$2,AE$1,$B$2,0,$C$3)</f>
        <v>9.3101583467928755E-227</v>
      </c>
      <c r="AF22">
        <f t="shared" ref="AF22:AR22" si="7">GammaCP($AD2,$A$2,AF$1,$B$2,0,$C$3)</f>
        <v>1.3911330426641347E-113</v>
      </c>
      <c r="AG22">
        <f t="shared" si="7"/>
        <v>6.7540721705607701E-76</v>
      </c>
      <c r="AH22">
        <f t="shared" si="7"/>
        <v>4.5047221070814994E-57</v>
      </c>
      <c r="AI22">
        <f t="shared" si="7"/>
        <v>8.6440303065243816E-46</v>
      </c>
      <c r="AJ22">
        <f t="shared" si="7"/>
        <v>2.8254963042635182E-38</v>
      </c>
      <c r="AK22">
        <f t="shared" si="7"/>
        <v>6.5012888927917462E-33</v>
      </c>
      <c r="AL22">
        <f t="shared" si="7"/>
        <v>6.7649135570946765E-29</v>
      </c>
      <c r="AM22">
        <f t="shared" si="7"/>
        <v>8.9440011499926398E-26</v>
      </c>
      <c r="AN22">
        <f t="shared" si="7"/>
        <v>2.7919647089365428E-23</v>
      </c>
      <c r="AO22">
        <f t="shared" si="7"/>
        <v>4.1400390540221403E-12</v>
      </c>
      <c r="AP22">
        <f t="shared" si="7"/>
        <v>1.9746945436819669E-8</v>
      </c>
      <c r="AQ22">
        <f t="shared" si="7"/>
        <v>1.2906383845160562E-6</v>
      </c>
      <c r="AR22">
        <f t="shared" si="7"/>
        <v>1.5297369277765619E-5</v>
      </c>
      <c r="BB22">
        <v>60</v>
      </c>
      <c r="BC22">
        <f>GammaCP($BB2,$A$2,BC$1,$B$2,0,$C$4)</f>
        <v>3.5640912241776718E-3</v>
      </c>
      <c r="BD22">
        <f t="shared" ref="BD22:BP22" si="8">GammaCP($BB2,$A$2,BD$1,$B$2,0,$C$4)</f>
        <v>7.9768311487014489E-3</v>
      </c>
      <c r="BE22">
        <f t="shared" si="8"/>
        <v>9.5148191423501359E-3</v>
      </c>
      <c r="BF22">
        <f t="shared" si="8"/>
        <v>9.9220573508907051E-3</v>
      </c>
      <c r="BG22">
        <f t="shared" si="8"/>
        <v>9.8909773740112859E-3</v>
      </c>
      <c r="BH22">
        <f t="shared" si="8"/>
        <v>9.6817090303202066E-3</v>
      </c>
      <c r="BI22">
        <f t="shared" si="8"/>
        <v>9.4013091685363204E-3</v>
      </c>
      <c r="BJ22">
        <f t="shared" si="8"/>
        <v>9.09716305326848E-3</v>
      </c>
      <c r="BK22">
        <f t="shared" si="8"/>
        <v>8.7911551418330541E-3</v>
      </c>
      <c r="BL22">
        <f t="shared" si="8"/>
        <v>8.4934718600915768E-3</v>
      </c>
      <c r="BM22">
        <f t="shared" si="8"/>
        <v>6.2544765697532144E-3</v>
      </c>
      <c r="BN22">
        <f t="shared" si="8"/>
        <v>4.9225254951363248E-3</v>
      </c>
      <c r="BO22">
        <f t="shared" si="8"/>
        <v>4.0305723303489683E-3</v>
      </c>
      <c r="BP22">
        <f t="shared" si="8"/>
        <v>3.3822212809542355E-3</v>
      </c>
    </row>
    <row r="23" spans="4:68" x14ac:dyDescent="0.3">
      <c r="F23">
        <v>65</v>
      </c>
      <c r="G23">
        <f t="shared" ref="G23:T23" si="9">GammaCP($D3,$A$2,G$1,$B$2,$C$9,$C$2)</f>
        <v>9.0099534877586191E-16</v>
      </c>
      <c r="H23">
        <f t="shared" si="9"/>
        <v>3.0528509871125903E-11</v>
      </c>
      <c r="I23">
        <f t="shared" si="9"/>
        <v>5.2370408041406928E-10</v>
      </c>
      <c r="J23">
        <f t="shared" si="9"/>
        <v>1.3788739013406613E-9</v>
      </c>
      <c r="K23">
        <f t="shared" si="9"/>
        <v>1.7304948046301145E-9</v>
      </c>
      <c r="L23">
        <f t="shared" si="9"/>
        <v>1.5058330602163844E-9</v>
      </c>
      <c r="M23">
        <f t="shared" si="9"/>
        <v>1.0655054305253526E-9</v>
      </c>
      <c r="N23">
        <f t="shared" si="9"/>
        <v>6.6350829374375354E-10</v>
      </c>
      <c r="O23">
        <f t="shared" si="9"/>
        <v>3.7982164287651174E-10</v>
      </c>
      <c r="P23">
        <f t="shared" si="9"/>
        <v>2.0512880122882284E-10</v>
      </c>
      <c r="Q23">
        <f t="shared" si="9"/>
        <v>1.2563825355738058E-13</v>
      </c>
      <c r="R23">
        <f t="shared" si="9"/>
        <v>4.1009011454416447E-17</v>
      </c>
      <c r="S23">
        <f t="shared" si="9"/>
        <v>1.1702028986030448E-20</v>
      </c>
      <c r="T23">
        <f t="shared" si="9"/>
        <v>3.1921014070258354E-24</v>
      </c>
      <c r="AD23">
        <v>65</v>
      </c>
      <c r="AE23">
        <f t="shared" ref="AE23:AR38" si="10">GammaCP($AD3,$A$2,AE$1,$B$2,0,$C$3)</f>
        <v>1.747260734780941E-161</v>
      </c>
      <c r="AF23">
        <f t="shared" si="10"/>
        <v>4.8358542051806851E-81</v>
      </c>
      <c r="AG23">
        <f t="shared" si="10"/>
        <v>2.8833997555930231E-54</v>
      </c>
      <c r="AH23">
        <f t="shared" si="10"/>
        <v>6.7394503624664835E-41</v>
      </c>
      <c r="AI23">
        <f t="shared" si="10"/>
        <v>6.8935533867542682E-33</v>
      </c>
      <c r="AJ23">
        <f t="shared" si="10"/>
        <v>1.4813870081129759E-27</v>
      </c>
      <c r="AK23">
        <f t="shared" si="10"/>
        <v>9.4165644966110279E-24</v>
      </c>
      <c r="AL23">
        <f t="shared" si="10"/>
        <v>6.6396425029528092E-21</v>
      </c>
      <c r="AM23">
        <f t="shared" si="10"/>
        <v>1.0818918358551828E-18</v>
      </c>
      <c r="AN23">
        <f t="shared" si="10"/>
        <v>6.3267046889793476E-17</v>
      </c>
      <c r="AO23">
        <f t="shared" si="10"/>
        <v>5.0008343065501171E-9</v>
      </c>
      <c r="AP23">
        <f t="shared" si="10"/>
        <v>1.9340220277297138E-6</v>
      </c>
      <c r="AQ23">
        <f t="shared" si="10"/>
        <v>3.5993808243163999E-5</v>
      </c>
      <c r="AR23">
        <f t="shared" si="10"/>
        <v>2.0077841012360655E-4</v>
      </c>
      <c r="BB23">
        <v>65</v>
      </c>
      <c r="BC23">
        <f t="shared" ref="BC23:BP38" si="11">GammaCP($BB3,$A$2,BC$1,$B$2,0,$C$4)</f>
        <v>6.1679579222858726E-3</v>
      </c>
      <c r="BD23">
        <f t="shared" si="11"/>
        <v>9.8752049643105622E-3</v>
      </c>
      <c r="BE23">
        <f t="shared" si="11"/>
        <v>1.0534743511259973E-2</v>
      </c>
      <c r="BF23">
        <f t="shared" si="11"/>
        <v>1.0389126070921035E-2</v>
      </c>
      <c r="BG23">
        <f t="shared" si="11"/>
        <v>1.0015411660234378E-2</v>
      </c>
      <c r="BH23">
        <f t="shared" si="11"/>
        <v>9.587009651051295E-3</v>
      </c>
      <c r="BI23">
        <f t="shared" si="11"/>
        <v>9.1620361934598975E-3</v>
      </c>
      <c r="BJ23">
        <f t="shared" si="11"/>
        <v>8.7602004626309779E-3</v>
      </c>
      <c r="BK23">
        <f t="shared" si="11"/>
        <v>8.3871224881761613E-3</v>
      </c>
      <c r="BL23">
        <f t="shared" si="11"/>
        <v>8.0430260292625108E-3</v>
      </c>
      <c r="BM23">
        <f t="shared" si="11"/>
        <v>5.7276636243960661E-3</v>
      </c>
      <c r="BN23">
        <f t="shared" si="11"/>
        <v>4.4578482431100108E-3</v>
      </c>
      <c r="BO23">
        <f t="shared" si="11"/>
        <v>3.6297725363507016E-3</v>
      </c>
      <c r="BP23">
        <f t="shared" si="11"/>
        <v>3.0357076165704951E-3</v>
      </c>
    </row>
    <row r="24" spans="4:68" x14ac:dyDescent="0.3">
      <c r="F24">
        <v>70</v>
      </c>
      <c r="G24">
        <f t="shared" ref="G24:T24" si="12">GammaCP($D4,$A$2,G$1,$B$2,$C$9,$C$2)</f>
        <v>5.1298333566580544E-12</v>
      </c>
      <c r="H24">
        <f t="shared" si="12"/>
        <v>4.5298226219088806E-9</v>
      </c>
      <c r="I24">
        <f t="shared" si="12"/>
        <v>2.3038799299469922E-8</v>
      </c>
      <c r="J24">
        <f t="shared" si="12"/>
        <v>3.3029164063794601E-8</v>
      </c>
      <c r="K24">
        <f t="shared" si="12"/>
        <v>2.8783448087497456E-8</v>
      </c>
      <c r="L24">
        <f t="shared" si="12"/>
        <v>1.9640340165661064E-8</v>
      </c>
      <c r="M24">
        <f t="shared" si="12"/>
        <v>1.168151120762259E-8</v>
      </c>
      <c r="N24">
        <f t="shared" si="12"/>
        <v>6.3858410888824534E-9</v>
      </c>
      <c r="O24">
        <f t="shared" si="12"/>
        <v>3.3033250966422709E-9</v>
      </c>
      <c r="P24">
        <f t="shared" si="12"/>
        <v>1.6451221024641266E-9</v>
      </c>
      <c r="Q24">
        <f t="shared" si="12"/>
        <v>6.9966938986352515E-13</v>
      </c>
      <c r="R24">
        <f t="shared" si="12"/>
        <v>2.0223211006083708E-16</v>
      </c>
      <c r="S24">
        <f t="shared" si="12"/>
        <v>5.4304009544871195E-20</v>
      </c>
      <c r="T24">
        <f t="shared" si="12"/>
        <v>1.4282602710094336E-23</v>
      </c>
      <c r="AD24">
        <v>70</v>
      </c>
      <c r="AE24">
        <f t="shared" si="10"/>
        <v>5.6689907148791594E-111</v>
      </c>
      <c r="AF24">
        <f t="shared" si="10"/>
        <v>7.104595130701376E-56</v>
      </c>
      <c r="AG24">
        <f t="shared" si="10"/>
        <v>1.509884387261748E-37</v>
      </c>
      <c r="AH24">
        <f t="shared" si="10"/>
        <v>2.1069278662432505E-28</v>
      </c>
      <c r="AI24">
        <f t="shared" si="10"/>
        <v>6.2959336441174637E-23</v>
      </c>
      <c r="AJ24">
        <f t="shared" si="10"/>
        <v>2.7649040891237604E-19</v>
      </c>
      <c r="AK24">
        <f t="shared" si="10"/>
        <v>1.0915483615128318E-16</v>
      </c>
      <c r="AL24">
        <f t="shared" si="10"/>
        <v>9.575234332808135E-15</v>
      </c>
      <c r="AM24">
        <f t="shared" si="10"/>
        <v>3.0845107171406205E-13</v>
      </c>
      <c r="AN24">
        <f t="shared" si="10"/>
        <v>4.9314903037006907E-12</v>
      </c>
      <c r="AO24">
        <f t="shared" si="10"/>
        <v>1.1387670594531286E-6</v>
      </c>
      <c r="AP24">
        <f t="shared" si="10"/>
        <v>6.2958028121505588E-5</v>
      </c>
      <c r="AQ24">
        <f t="shared" si="10"/>
        <v>4.4301265744327967E-4</v>
      </c>
      <c r="AR24">
        <f t="shared" si="10"/>
        <v>1.3786833416076696E-3</v>
      </c>
      <c r="BB24">
        <v>70</v>
      </c>
      <c r="BC24">
        <f t="shared" si="11"/>
        <v>9.2591886581185317E-3</v>
      </c>
      <c r="BD24">
        <f t="shared" si="11"/>
        <v>1.1437662705395179E-2</v>
      </c>
      <c r="BE24">
        <f t="shared" si="11"/>
        <v>1.1190985811170413E-2</v>
      </c>
      <c r="BF24">
        <f t="shared" si="11"/>
        <v>1.0569391897434091E-2</v>
      </c>
      <c r="BG24">
        <f t="shared" si="11"/>
        <v>9.928319692961287E-3</v>
      </c>
      <c r="BH24">
        <f t="shared" si="11"/>
        <v>9.3407286377079918E-3</v>
      </c>
      <c r="BI24">
        <f t="shared" si="11"/>
        <v>8.8171000118514638E-3</v>
      </c>
      <c r="BJ24">
        <f t="shared" si="11"/>
        <v>8.3526625892235678E-3</v>
      </c>
      <c r="BK24">
        <f t="shared" si="11"/>
        <v>7.9395334070458349E-3</v>
      </c>
      <c r="BL24">
        <f t="shared" si="11"/>
        <v>7.5700430585008702E-3</v>
      </c>
      <c r="BM24">
        <f t="shared" si="11"/>
        <v>5.2528178825648267E-3</v>
      </c>
      <c r="BN24">
        <f t="shared" si="11"/>
        <v>4.0530824665671811E-3</v>
      </c>
      <c r="BO24">
        <f t="shared" si="11"/>
        <v>3.2859596888884244E-3</v>
      </c>
      <c r="BP24">
        <f t="shared" si="11"/>
        <v>2.7410462128943493E-3</v>
      </c>
    </row>
    <row r="25" spans="4:68" x14ac:dyDescent="0.3">
      <c r="F25">
        <v>75</v>
      </c>
      <c r="G25">
        <f t="shared" ref="G25:T25" si="13">GammaCP($D5,$A$2,G$1,$B$2,$C$9,$C$2)</f>
        <v>4.6806776814297255E-9</v>
      </c>
      <c r="H25">
        <f t="shared" si="13"/>
        <v>2.5680196881854878E-7</v>
      </c>
      <c r="I25">
        <f t="shared" si="13"/>
        <v>5.1730604348217786E-7</v>
      </c>
      <c r="J25">
        <f t="shared" si="13"/>
        <v>4.6673521762716238E-7</v>
      </c>
      <c r="K25">
        <f t="shared" si="13"/>
        <v>3.0806827422460949E-7</v>
      </c>
      <c r="L25">
        <f t="shared" si="13"/>
        <v>1.746655573554327E-7</v>
      </c>
      <c r="M25">
        <f t="shared" si="13"/>
        <v>9.1011432430546806E-8</v>
      </c>
      <c r="N25">
        <f t="shared" si="13"/>
        <v>4.5052512424622596E-8</v>
      </c>
      <c r="O25">
        <f t="shared" si="13"/>
        <v>2.1574120735865382E-8</v>
      </c>
      <c r="P25">
        <f t="shared" si="13"/>
        <v>1.0101005999680664E-8</v>
      </c>
      <c r="Q25">
        <f t="shared" si="13"/>
        <v>3.2537975921515786E-12</v>
      </c>
      <c r="R25">
        <f t="shared" si="13"/>
        <v>8.5728421710490476E-16</v>
      </c>
      <c r="S25">
        <f t="shared" si="13"/>
        <v>2.1978352771947461E-19</v>
      </c>
      <c r="T25">
        <f t="shared" si="13"/>
        <v>5.6221666617838636E-23</v>
      </c>
      <c r="AD25">
        <v>75</v>
      </c>
      <c r="AE25">
        <f t="shared" si="10"/>
        <v>1.594903646367211E-72</v>
      </c>
      <c r="AF25">
        <f t="shared" si="10"/>
        <v>9.8572284584128059E-37</v>
      </c>
      <c r="AG25">
        <f t="shared" si="10"/>
        <v>7.6822442390037691E-25</v>
      </c>
      <c r="AH25">
        <f t="shared" si="10"/>
        <v>6.4917015757331346E-19</v>
      </c>
      <c r="AI25">
        <f t="shared" si="10"/>
        <v>2.2754521137474166E-15</v>
      </c>
      <c r="AJ25">
        <f t="shared" si="10"/>
        <v>5.1588561072055873E-13</v>
      </c>
      <c r="AK25">
        <f t="shared" si="10"/>
        <v>2.4520806151785752E-11</v>
      </c>
      <c r="AL25">
        <f t="shared" si="10"/>
        <v>4.3964788356021523E-10</v>
      </c>
      <c r="AM25">
        <f t="shared" si="10"/>
        <v>4.119418703534871E-9</v>
      </c>
      <c r="AN25">
        <f t="shared" si="10"/>
        <v>2.4523536448340282E-8</v>
      </c>
      <c r="AO25">
        <f t="shared" si="10"/>
        <v>6.6426059345663912E-5</v>
      </c>
      <c r="AP25">
        <f t="shared" si="10"/>
        <v>8.3442556817073222E-4</v>
      </c>
      <c r="AQ25">
        <f t="shared" si="10"/>
        <v>2.7987819670287147E-3</v>
      </c>
      <c r="AR25">
        <f t="shared" si="10"/>
        <v>5.5840246687423965E-3</v>
      </c>
      <c r="BB25">
        <v>75</v>
      </c>
      <c r="BC25">
        <f t="shared" si="11"/>
        <v>1.2379791024908039E-2</v>
      </c>
      <c r="BD25">
        <f t="shared" si="11"/>
        <v>1.2550722235922447E-2</v>
      </c>
      <c r="BE25">
        <f t="shared" si="11"/>
        <v>1.1497324673621774E-2</v>
      </c>
      <c r="BF25">
        <f t="shared" si="11"/>
        <v>1.0506957133550196E-2</v>
      </c>
      <c r="BG25">
        <f t="shared" si="11"/>
        <v>9.6765783525446809E-3</v>
      </c>
      <c r="BH25">
        <f t="shared" si="11"/>
        <v>8.984754673468617E-3</v>
      </c>
      <c r="BI25">
        <f t="shared" si="11"/>
        <v>8.4016598479436343E-3</v>
      </c>
      <c r="BJ25">
        <f t="shared" si="11"/>
        <v>7.9031397303747954E-3</v>
      </c>
      <c r="BK25">
        <f t="shared" si="11"/>
        <v>7.4711270329462847E-3</v>
      </c>
      <c r="BL25">
        <f t="shared" si="11"/>
        <v>7.0922269535199341E-3</v>
      </c>
      <c r="BM25">
        <f t="shared" si="11"/>
        <v>4.8249822949538229E-3</v>
      </c>
      <c r="BN25">
        <f t="shared" si="11"/>
        <v>3.6985246894668607E-3</v>
      </c>
      <c r="BO25">
        <f t="shared" si="11"/>
        <v>2.988650731010855E-3</v>
      </c>
      <c r="BP25">
        <f t="shared" si="11"/>
        <v>2.4881193053131923E-3</v>
      </c>
    </row>
    <row r="26" spans="4:68" x14ac:dyDescent="0.3">
      <c r="F26">
        <v>80</v>
      </c>
      <c r="G26">
        <f t="shared" ref="G26:T26" si="14">GammaCP($D6,$A$2,G$1,$B$2,$C$9,$C$2)</f>
        <v>9.3660553233583619E-7</v>
      </c>
      <c r="H26">
        <f t="shared" si="14"/>
        <v>6.5461272491894253E-6</v>
      </c>
      <c r="I26">
        <f t="shared" si="14"/>
        <v>6.6350828510115823E-6</v>
      </c>
      <c r="J26">
        <f t="shared" si="14"/>
        <v>4.246447135695221E-6</v>
      </c>
      <c r="K26">
        <f t="shared" si="14"/>
        <v>2.2809509005688716E-6</v>
      </c>
      <c r="L26">
        <f t="shared" si="14"/>
        <v>1.1272461895391569E-6</v>
      </c>
      <c r="M26">
        <f t="shared" si="14"/>
        <v>5.324697997374107E-7</v>
      </c>
      <c r="N26">
        <f t="shared" si="14"/>
        <v>2.4488303151523224E-7</v>
      </c>
      <c r="O26">
        <f t="shared" si="14"/>
        <v>1.1074280206011386E-7</v>
      </c>
      <c r="P26">
        <f t="shared" si="14"/>
        <v>4.9529188504121591E-8</v>
      </c>
      <c r="Q26">
        <f t="shared" si="14"/>
        <v>1.2983773419638318E-11</v>
      </c>
      <c r="R26">
        <f t="shared" si="14"/>
        <v>3.1937910036774944E-15</v>
      </c>
      <c r="S26">
        <f t="shared" si="14"/>
        <v>7.9115657200436095E-19</v>
      </c>
      <c r="T26">
        <f t="shared" si="14"/>
        <v>1.9825420009946568E-22</v>
      </c>
      <c r="AD26">
        <v>80</v>
      </c>
      <c r="AE26">
        <f t="shared" si="10"/>
        <v>4.8323335546016243E-44</v>
      </c>
      <c r="AF26">
        <f t="shared" si="10"/>
        <v>1.4367693634291653E-22</v>
      </c>
      <c r="AG26">
        <f t="shared" si="10"/>
        <v>1.8902689834889985E-15</v>
      </c>
      <c r="AH26">
        <f t="shared" si="10"/>
        <v>6.5628983163221472E-12</v>
      </c>
      <c r="AI26">
        <f t="shared" si="10"/>
        <v>8.5118861694752196E-10</v>
      </c>
      <c r="AJ26">
        <f t="shared" si="10"/>
        <v>2.1428519843035006E-8</v>
      </c>
      <c r="AK26">
        <f t="shared" si="10"/>
        <v>2.1192098747547336E-7</v>
      </c>
      <c r="AL26">
        <f t="shared" si="10"/>
        <v>1.1705623764161017E-6</v>
      </c>
      <c r="AM26">
        <f t="shared" si="10"/>
        <v>4.3894399894835474E-6</v>
      </c>
      <c r="AN26">
        <f t="shared" si="10"/>
        <v>1.2559812667617155E-5</v>
      </c>
      <c r="AO26">
        <f t="shared" si="10"/>
        <v>1.2588081064107146E-3</v>
      </c>
      <c r="AP26">
        <f t="shared" si="10"/>
        <v>5.2692520247691792E-3</v>
      </c>
      <c r="AQ26">
        <f t="shared" si="10"/>
        <v>1.0202358921395954E-2</v>
      </c>
      <c r="AR26">
        <f t="shared" si="10"/>
        <v>1.4638647635320289E-2</v>
      </c>
      <c r="BB26">
        <v>80</v>
      </c>
      <c r="BC26">
        <f t="shared" si="11"/>
        <v>1.5046697371351966E-2</v>
      </c>
      <c r="BD26">
        <f t="shared" si="11"/>
        <v>1.3175344131841037E-2</v>
      </c>
      <c r="BE26">
        <f t="shared" si="11"/>
        <v>1.1494193496736712E-2</v>
      </c>
      <c r="BF26">
        <f t="shared" si="11"/>
        <v>1.0250685240454008E-2</v>
      </c>
      <c r="BG26">
        <f t="shared" si="11"/>
        <v>9.3032414600947872E-3</v>
      </c>
      <c r="BH26">
        <f t="shared" si="11"/>
        <v>8.5541407238847629E-3</v>
      </c>
      <c r="BI26">
        <f t="shared" si="11"/>
        <v>7.9433745604244009E-3</v>
      </c>
      <c r="BJ26">
        <f t="shared" si="11"/>
        <v>7.4330480878803829E-3</v>
      </c>
      <c r="BK26">
        <f t="shared" si="11"/>
        <v>6.9981907261955356E-3</v>
      </c>
      <c r="BL26">
        <f t="shared" si="11"/>
        <v>6.6216797921410725E-3</v>
      </c>
      <c r="BM26">
        <f t="shared" si="11"/>
        <v>4.4393339131336747E-3</v>
      </c>
      <c r="BN26">
        <f t="shared" si="11"/>
        <v>3.3863313915210584E-3</v>
      </c>
      <c r="BO26">
        <f t="shared" si="11"/>
        <v>2.7297037820502518E-3</v>
      </c>
      <c r="BP26">
        <f t="shared" si="11"/>
        <v>2.2692127342182193E-3</v>
      </c>
    </row>
    <row r="27" spans="4:68" x14ac:dyDescent="0.3">
      <c r="F27">
        <v>85</v>
      </c>
      <c r="G27">
        <f t="shared" ref="G27:T27" si="15">GammaCP($D7,$A$2,G$1,$B$2,$C$9,$C$2)</f>
        <v>5.2640539126550854E-5</v>
      </c>
      <c r="H27">
        <f t="shared" si="15"/>
        <v>8.5333157159255557E-5</v>
      </c>
      <c r="I27">
        <f t="shared" si="15"/>
        <v>5.3141805789341547E-5</v>
      </c>
      <c r="J27">
        <f t="shared" si="15"/>
        <v>2.6659007270686413E-5</v>
      </c>
      <c r="K27">
        <f t="shared" si="15"/>
        <v>1.2372890348383635E-5</v>
      </c>
      <c r="L27">
        <f t="shared" si="15"/>
        <v>5.5470913842947275E-6</v>
      </c>
      <c r="M27">
        <f t="shared" si="15"/>
        <v>2.4441116319284497E-6</v>
      </c>
      <c r="N27">
        <f t="shared" si="15"/>
        <v>1.0668893610418053E-6</v>
      </c>
      <c r="O27">
        <f t="shared" si="15"/>
        <v>4.6328429875618785E-7</v>
      </c>
      <c r="P27">
        <f t="shared" si="15"/>
        <v>2.0058127702261233E-7</v>
      </c>
      <c r="Q27">
        <f t="shared" si="15"/>
        <v>4.5432546900009873E-11</v>
      </c>
      <c r="R27">
        <f t="shared" si="15"/>
        <v>1.064432944236423E-14</v>
      </c>
      <c r="S27">
        <f t="shared" si="15"/>
        <v>2.5733394841999481E-18</v>
      </c>
      <c r="T27">
        <f t="shared" si="15"/>
        <v>6.3549295158449115E-22</v>
      </c>
      <c r="AD27">
        <v>85</v>
      </c>
      <c r="AE27">
        <f t="shared" si="10"/>
        <v>7.0390717286317978E-24</v>
      </c>
      <c r="AF27">
        <f t="shared" si="10"/>
        <v>1.4677825516503268E-12</v>
      </c>
      <c r="AG27">
        <f t="shared" si="10"/>
        <v>7.9634940852201505E-9</v>
      </c>
      <c r="AH27">
        <f t="shared" si="10"/>
        <v>5.6147241572816821E-7</v>
      </c>
      <c r="AI27">
        <f t="shared" si="10"/>
        <v>7.0282981093247269E-6</v>
      </c>
      <c r="AJ27">
        <f t="shared" si="10"/>
        <v>3.7228678365683759E-5</v>
      </c>
      <c r="AK27">
        <f t="shared" si="10"/>
        <v>1.2092932063345321E-4</v>
      </c>
      <c r="AL27">
        <f t="shared" si="10"/>
        <v>2.8980532050387742E-4</v>
      </c>
      <c r="AM27">
        <f t="shared" si="10"/>
        <v>5.6762697386015246E-4</v>
      </c>
      <c r="AN27">
        <f t="shared" si="10"/>
        <v>9.6603033416123535E-4</v>
      </c>
      <c r="AO27">
        <f t="shared" si="10"/>
        <v>9.3445577105268299E-3</v>
      </c>
      <c r="AP27">
        <f t="shared" si="10"/>
        <v>1.7942325442778528E-2</v>
      </c>
      <c r="AQ27">
        <f t="shared" si="10"/>
        <v>2.3528575066977357E-2</v>
      </c>
      <c r="AR27">
        <f t="shared" si="10"/>
        <v>2.6721150130813758E-2</v>
      </c>
      <c r="BB27">
        <v>85</v>
      </c>
      <c r="BC27">
        <f t="shared" si="11"/>
        <v>1.689422333307428E-2</v>
      </c>
      <c r="BD27">
        <f t="shared" si="11"/>
        <v>1.3333057463960447E-2</v>
      </c>
      <c r="BE27">
        <f t="shared" si="11"/>
        <v>1.123577930406785E-2</v>
      </c>
      <c r="BF27">
        <f t="shared" si="11"/>
        <v>9.8481816553691436E-3</v>
      </c>
      <c r="BG27">
        <f t="shared" si="11"/>
        <v>8.8455434358059564E-3</v>
      </c>
      <c r="BH27">
        <f t="shared" si="11"/>
        <v>8.0771472360603065E-3</v>
      </c>
      <c r="BI27">
        <f t="shared" si="11"/>
        <v>7.4634158114234668E-3</v>
      </c>
      <c r="BJ27">
        <f t="shared" si="11"/>
        <v>6.9580537569465337E-3</v>
      </c>
      <c r="BK27">
        <f t="shared" si="11"/>
        <v>6.532102953095368E-3</v>
      </c>
      <c r="BL27">
        <f t="shared" si="11"/>
        <v>6.1664121645432597E-3</v>
      </c>
      <c r="BM27">
        <f t="shared" si="11"/>
        <v>4.0913747501651514E-3</v>
      </c>
      <c r="BN27">
        <f t="shared" si="11"/>
        <v>3.1101160601766922E-3</v>
      </c>
      <c r="BO27">
        <f t="shared" si="11"/>
        <v>2.5027098704838444E-3</v>
      </c>
      <c r="BP27">
        <f t="shared" si="11"/>
        <v>2.0783510461361266E-3</v>
      </c>
    </row>
    <row r="28" spans="4:68" x14ac:dyDescent="0.3">
      <c r="F28">
        <v>90</v>
      </c>
      <c r="G28">
        <f t="shared" ref="G28:T28" si="16">GammaCP($D8,$A$2,G$1,$B$2,$C$9,$C$2)</f>
        <v>1.0129003259453683E-3</v>
      </c>
      <c r="H28">
        <f t="shared" si="16"/>
        <v>6.3060325284887842E-4</v>
      </c>
      <c r="I28">
        <f t="shared" si="16"/>
        <v>2.8545568985054274E-4</v>
      </c>
      <c r="J28">
        <f t="shared" si="16"/>
        <v>1.2208951568110185E-4</v>
      </c>
      <c r="K28">
        <f t="shared" si="16"/>
        <v>5.1492593110968956E-5</v>
      </c>
      <c r="L28">
        <f t="shared" si="16"/>
        <v>2.1658666803420556E-5</v>
      </c>
      <c r="M28">
        <f t="shared" si="16"/>
        <v>9.117936867106359E-6</v>
      </c>
      <c r="N28">
        <f t="shared" si="16"/>
        <v>3.8463764307990261E-6</v>
      </c>
      <c r="O28">
        <f t="shared" si="16"/>
        <v>1.6264297728011119E-6</v>
      </c>
      <c r="P28">
        <f t="shared" si="16"/>
        <v>6.8935414753413794E-7</v>
      </c>
      <c r="Q28">
        <f t="shared" si="16"/>
        <v>1.4189212261824499E-10</v>
      </c>
      <c r="R28">
        <f t="shared" si="16"/>
        <v>3.220000282598765E-14</v>
      </c>
      <c r="S28">
        <f t="shared" si="16"/>
        <v>7.6613955685005562E-18</v>
      </c>
      <c r="T28">
        <f t="shared" si="16"/>
        <v>1.8739821964820445E-21</v>
      </c>
      <c r="AD28">
        <v>90</v>
      </c>
      <c r="AE28">
        <f t="shared" si="10"/>
        <v>1.0243334389117949E-10</v>
      </c>
      <c r="AF28">
        <f t="shared" si="10"/>
        <v>4.7847565457410146E-6</v>
      </c>
      <c r="AG28">
        <f t="shared" si="10"/>
        <v>1.5766156796582912E-4</v>
      </c>
      <c r="AH28">
        <f t="shared" si="10"/>
        <v>8.6628866509568772E-4</v>
      </c>
      <c r="AI28">
        <f t="shared" si="10"/>
        <v>2.3453712521940293E-3</v>
      </c>
      <c r="AJ28">
        <f t="shared" si="10"/>
        <v>4.4763481165341866E-3</v>
      </c>
      <c r="AK28">
        <f t="shared" si="10"/>
        <v>7.0133278491487849E-3</v>
      </c>
      <c r="AL28">
        <f t="shared" si="10"/>
        <v>9.7276649245573495E-3</v>
      </c>
      <c r="AM28">
        <f t="shared" si="10"/>
        <v>1.2452329709849587E-2</v>
      </c>
      <c r="AN28">
        <f t="shared" si="10"/>
        <v>1.5080183297684386E-2</v>
      </c>
      <c r="AO28">
        <f t="shared" si="10"/>
        <v>3.155017870683352E-2</v>
      </c>
      <c r="AP28">
        <f t="shared" si="10"/>
        <v>3.6363376976884097E-2</v>
      </c>
      <c r="AQ28">
        <f t="shared" si="10"/>
        <v>3.694471388708355E-2</v>
      </c>
      <c r="AR28">
        <f t="shared" si="10"/>
        <v>3.6000998812288999E-2</v>
      </c>
      <c r="BB28">
        <v>90</v>
      </c>
      <c r="BC28">
        <f t="shared" si="11"/>
        <v>1.7748850820279893E-2</v>
      </c>
      <c r="BD28">
        <f t="shared" si="11"/>
        <v>1.3086014978526975E-2</v>
      </c>
      <c r="BE28">
        <f t="shared" si="11"/>
        <v>1.0780264425388464E-2</v>
      </c>
      <c r="BF28">
        <f t="shared" si="11"/>
        <v>9.3423587434009123E-3</v>
      </c>
      <c r="BG28">
        <f t="shared" si="11"/>
        <v>8.3343085372608889E-3</v>
      </c>
      <c r="BH28">
        <f t="shared" si="11"/>
        <v>7.575874375181162E-3</v>
      </c>
      <c r="BI28">
        <f t="shared" si="11"/>
        <v>6.9775836769747947E-3</v>
      </c>
      <c r="BJ28">
        <f t="shared" si="11"/>
        <v>6.4893273506362037E-3</v>
      </c>
      <c r="BK28">
        <f t="shared" si="11"/>
        <v>6.0805654817316429E-3</v>
      </c>
      <c r="BL28">
        <f t="shared" si="11"/>
        <v>5.7314793913605024E-3</v>
      </c>
      <c r="BM28">
        <f t="shared" si="11"/>
        <v>3.777008928387381E-3</v>
      </c>
      <c r="BN28">
        <f t="shared" si="11"/>
        <v>2.8646409896694132E-3</v>
      </c>
      <c r="BO28">
        <f t="shared" si="11"/>
        <v>2.3025630970834061E-3</v>
      </c>
      <c r="BP28">
        <f t="shared" si="11"/>
        <v>1.9108403106798978E-3</v>
      </c>
    </row>
    <row r="29" spans="4:68" x14ac:dyDescent="0.3">
      <c r="F29">
        <v>95</v>
      </c>
      <c r="G29">
        <f t="shared" ref="G29:T29" si="17">GammaCP($D9,$A$2,G$1,$B$2,$C$9,$C$2)</f>
        <v>7.8324404431691919E-3</v>
      </c>
      <c r="H29">
        <f t="shared" si="17"/>
        <v>2.8720130004569371E-3</v>
      </c>
      <c r="I29">
        <f t="shared" si="17"/>
        <v>1.0897716364348868E-3</v>
      </c>
      <c r="J29">
        <f t="shared" si="17"/>
        <v>4.2673520008018525E-4</v>
      </c>
      <c r="K29">
        <f t="shared" si="17"/>
        <v>1.7070051856761935E-4</v>
      </c>
      <c r="L29">
        <f t="shared" si="17"/>
        <v>6.9309875373506629E-5</v>
      </c>
      <c r="M29">
        <f t="shared" si="17"/>
        <v>2.8451970531772437E-5</v>
      </c>
      <c r="N29">
        <f t="shared" si="17"/>
        <v>1.1777600882730989E-5</v>
      </c>
      <c r="O29">
        <f t="shared" si="17"/>
        <v>4.907431512224848E-6</v>
      </c>
      <c r="P29">
        <f t="shared" si="17"/>
        <v>2.0556654243813546E-6</v>
      </c>
      <c r="Q29">
        <f t="shared" si="17"/>
        <v>4.0130844995694789E-10</v>
      </c>
      <c r="R29">
        <f t="shared" si="17"/>
        <v>8.9477241918611597E-14</v>
      </c>
      <c r="S29">
        <f t="shared" si="17"/>
        <v>2.1102450740959215E-17</v>
      </c>
      <c r="T29">
        <f t="shared" si="17"/>
        <v>5.1344209013130381E-21</v>
      </c>
      <c r="AD29">
        <v>95</v>
      </c>
      <c r="AE29">
        <f t="shared" si="10"/>
        <v>1.7302210081327572E-3</v>
      </c>
      <c r="AF29">
        <f t="shared" si="10"/>
        <v>1.6947941136303581E-2</v>
      </c>
      <c r="AG29">
        <f t="shared" si="10"/>
        <v>3.3177875014810738E-2</v>
      </c>
      <c r="AH29">
        <f t="shared" si="10"/>
        <v>4.443428223202623E-2</v>
      </c>
      <c r="AI29">
        <f t="shared" si="10"/>
        <v>5.1573525705671544E-2</v>
      </c>
      <c r="AJ29">
        <f t="shared" si="10"/>
        <v>5.5964445164286031E-2</v>
      </c>
      <c r="AK29">
        <f t="shared" si="10"/>
        <v>5.8580144216244641E-2</v>
      </c>
      <c r="AL29">
        <f t="shared" si="10"/>
        <v>6.0043134715278217E-2</v>
      </c>
      <c r="AM29">
        <f t="shared" si="10"/>
        <v>6.0747372987125799E-2</v>
      </c>
      <c r="AN29">
        <f t="shared" si="10"/>
        <v>6.0945440301272628E-2</v>
      </c>
      <c r="AO29">
        <f t="shared" si="10"/>
        <v>5.4663333092534912E-2</v>
      </c>
      <c r="AP29">
        <f t="shared" si="10"/>
        <v>4.7505627206650643E-2</v>
      </c>
      <c r="AQ29">
        <f t="shared" si="10"/>
        <v>4.191084690578592E-2</v>
      </c>
      <c r="AR29">
        <f t="shared" si="10"/>
        <v>3.7523612980548814E-2</v>
      </c>
      <c r="BB29">
        <v>95</v>
      </c>
      <c r="BC29">
        <f t="shared" si="11"/>
        <v>1.7629015937239905E-2</v>
      </c>
      <c r="BD29">
        <f t="shared" si="11"/>
        <v>1.251747653457045E-2</v>
      </c>
      <c r="BE29">
        <f t="shared" si="11"/>
        <v>1.0183317870272683E-2</v>
      </c>
      <c r="BF29">
        <f t="shared" si="11"/>
        <v>8.7698402768537215E-3</v>
      </c>
      <c r="BG29">
        <f t="shared" si="11"/>
        <v>7.7941699621379363E-3</v>
      </c>
      <c r="BH29">
        <f t="shared" si="11"/>
        <v>7.0671313812671367E-3</v>
      </c>
      <c r="BI29">
        <f t="shared" si="11"/>
        <v>6.4973603821948164E-3</v>
      </c>
      <c r="BJ29">
        <f t="shared" si="11"/>
        <v>6.0345892054843751E-3</v>
      </c>
      <c r="BK29">
        <f t="shared" si="11"/>
        <v>5.648561674688835E-3</v>
      </c>
      <c r="BL29">
        <f t="shared" si="11"/>
        <v>5.3198249423273627E-3</v>
      </c>
      <c r="BM29">
        <f t="shared" si="11"/>
        <v>3.4925591640127323E-3</v>
      </c>
      <c r="BN29">
        <f t="shared" si="11"/>
        <v>2.6455806997906519E-3</v>
      </c>
      <c r="BO29">
        <f t="shared" si="11"/>
        <v>2.1251514095138994E-3</v>
      </c>
      <c r="BP29">
        <f t="shared" si="11"/>
        <v>1.7629469641809213E-3</v>
      </c>
    </row>
    <row r="30" spans="4:68" x14ac:dyDescent="0.3">
      <c r="F30">
        <v>100</v>
      </c>
      <c r="G30">
        <f t="shared" ref="G30:T30" si="18">GammaCP($D10,$A$2,G$1,$B$2,$C$9,$C$2)</f>
        <v>2.7750448957785192E-2</v>
      </c>
      <c r="H30">
        <f t="shared" si="18"/>
        <v>8.6326664203074943E-3</v>
      </c>
      <c r="I30">
        <f t="shared" si="18"/>
        <v>3.1009107987484464E-3</v>
      </c>
      <c r="J30">
        <f t="shared" si="18"/>
        <v>1.1814350435249835E-3</v>
      </c>
      <c r="K30">
        <f t="shared" si="18"/>
        <v>4.6488419961413364E-4</v>
      </c>
      <c r="L30">
        <f t="shared" si="18"/>
        <v>1.8669990899141414E-4</v>
      </c>
      <c r="M30">
        <f t="shared" si="18"/>
        <v>7.6043247399723758E-5</v>
      </c>
      <c r="N30">
        <f t="shared" si="18"/>
        <v>3.1293535005371927E-5</v>
      </c>
      <c r="O30">
        <f t="shared" si="18"/>
        <v>1.2979809166309188E-5</v>
      </c>
      <c r="P30">
        <f t="shared" si="18"/>
        <v>5.4172578257036832E-6</v>
      </c>
      <c r="Q30">
        <f t="shared" si="18"/>
        <v>1.0403128028564099E-9</v>
      </c>
      <c r="R30">
        <f t="shared" si="18"/>
        <v>2.3068414652658849E-13</v>
      </c>
      <c r="S30">
        <f t="shared" si="18"/>
        <v>5.4256005490215223E-17</v>
      </c>
      <c r="T30">
        <f t="shared" si="18"/>
        <v>1.3179297008420563E-20</v>
      </c>
      <c r="AD30">
        <v>100</v>
      </c>
      <c r="AE30">
        <f t="shared" si="10"/>
        <v>0.25167539191488181</v>
      </c>
      <c r="AF30">
        <f t="shared" si="10"/>
        <v>0.17751148118577875</v>
      </c>
      <c r="AG30">
        <f t="shared" si="10"/>
        <v>0.14457110830475553</v>
      </c>
      <c r="AH30">
        <f t="shared" si="10"/>
        <v>0.12488573500507283</v>
      </c>
      <c r="AI30">
        <f t="shared" si="10"/>
        <v>0.11141881104694058</v>
      </c>
      <c r="AJ30">
        <f t="shared" si="10"/>
        <v>0.10145386318349017</v>
      </c>
      <c r="AK30">
        <f t="shared" si="10"/>
        <v>9.3690571075047593E-2</v>
      </c>
      <c r="AL30">
        <f t="shared" si="10"/>
        <v>8.741794736449704E-2</v>
      </c>
      <c r="AM30">
        <f t="shared" si="10"/>
        <v>8.2210073332029704E-2</v>
      </c>
      <c r="AN30">
        <f t="shared" si="10"/>
        <v>7.7794157607349895E-2</v>
      </c>
      <c r="AO30">
        <f t="shared" si="10"/>
        <v>5.3633841658164212E-2</v>
      </c>
      <c r="AP30">
        <f t="shared" si="10"/>
        <v>4.2697278763395782E-2</v>
      </c>
      <c r="AQ30">
        <f t="shared" si="10"/>
        <v>3.6052696246164792E-2</v>
      </c>
      <c r="AR30">
        <f t="shared" si="10"/>
        <v>3.1440515920966292E-2</v>
      </c>
      <c r="BB30">
        <v>100</v>
      </c>
      <c r="BC30">
        <f t="shared" si="11"/>
        <v>1.6694528647598027E-2</v>
      </c>
      <c r="BD30">
        <f t="shared" si="11"/>
        <v>1.1716139206999238E-2</v>
      </c>
      <c r="BE30">
        <f t="shared" si="11"/>
        <v>9.4943284753756744E-3</v>
      </c>
      <c r="BF30">
        <f t="shared" si="11"/>
        <v>8.1605652925364584E-3</v>
      </c>
      <c r="BG30">
        <f t="shared" si="11"/>
        <v>7.2442027483114041E-3</v>
      </c>
      <c r="BH30">
        <f t="shared" si="11"/>
        <v>6.563346504695677E-3</v>
      </c>
      <c r="BI30">
        <f t="shared" si="11"/>
        <v>6.0308329286539479E-3</v>
      </c>
      <c r="BJ30">
        <f t="shared" si="11"/>
        <v>5.5989512128803284E-3</v>
      </c>
      <c r="BK30">
        <f t="shared" si="11"/>
        <v>5.2390890618918429E-3</v>
      </c>
      <c r="BL30">
        <f t="shared" si="11"/>
        <v>4.9329009517839681E-3</v>
      </c>
      <c r="BM30">
        <f t="shared" si="11"/>
        <v>3.2347520022121398E-3</v>
      </c>
      <c r="BN30">
        <f t="shared" si="11"/>
        <v>2.449339315973644E-3</v>
      </c>
      <c r="BO30">
        <f t="shared" si="11"/>
        <v>1.9671305279964015E-3</v>
      </c>
      <c r="BP30">
        <f t="shared" si="11"/>
        <v>1.6316678810599919E-3</v>
      </c>
    </row>
    <row r="31" spans="4:68" x14ac:dyDescent="0.3">
      <c r="F31">
        <v>105</v>
      </c>
      <c r="G31">
        <f t="shared" ref="G31:T31" si="19">GammaCP($D11,$A$2,G$1,$B$2,$C$9,$C$2)</f>
        <v>5.0204893390860789E-2</v>
      </c>
      <c r="H31">
        <f t="shared" si="19"/>
        <v>1.8123218695691407E-2</v>
      </c>
      <c r="I31">
        <f t="shared" si="19"/>
        <v>6.8409711245172051E-3</v>
      </c>
      <c r="J31">
        <f t="shared" si="19"/>
        <v>2.6718211819516707E-3</v>
      </c>
      <c r="K31">
        <f t="shared" si="19"/>
        <v>1.0670966567416641E-3</v>
      </c>
      <c r="L31">
        <f t="shared" si="19"/>
        <v>4.3282337002261198E-4</v>
      </c>
      <c r="M31">
        <f t="shared" si="19"/>
        <v>1.7754323304370668E-4</v>
      </c>
      <c r="N31">
        <f t="shared" si="19"/>
        <v>7.3452359139137064E-5</v>
      </c>
      <c r="O31">
        <f t="shared" si="19"/>
        <v>3.0592451063190882E-5</v>
      </c>
      <c r="P31">
        <f t="shared" si="19"/>
        <v>1.2810360348998885E-5</v>
      </c>
      <c r="Q31">
        <f t="shared" si="19"/>
        <v>2.4969348889627532E-9</v>
      </c>
      <c r="R31">
        <f t="shared" si="19"/>
        <v>5.5643550651663724E-13</v>
      </c>
      <c r="S31">
        <f t="shared" si="19"/>
        <v>1.3119636656895826E-16</v>
      </c>
      <c r="T31">
        <f t="shared" si="19"/>
        <v>3.1916288338302654E-20</v>
      </c>
      <c r="AD31">
        <v>105</v>
      </c>
      <c r="AE31">
        <f t="shared" si="10"/>
        <v>1.6467999615219216E-3</v>
      </c>
      <c r="AF31">
        <f t="shared" si="10"/>
        <v>1.2556133445484124E-2</v>
      </c>
      <c r="AG31">
        <f t="shared" si="10"/>
        <v>2.2611052516179491E-2</v>
      </c>
      <c r="AH31">
        <f t="shared" si="10"/>
        <v>2.9044038192609183E-2</v>
      </c>
      <c r="AI31">
        <f t="shared" si="10"/>
        <v>3.287650348444731E-2</v>
      </c>
      <c r="AJ31">
        <f t="shared" si="10"/>
        <v>3.5084690564418708E-2</v>
      </c>
      <c r="AK31">
        <f t="shared" si="10"/>
        <v>3.6288993115417535E-2</v>
      </c>
      <c r="AL31">
        <f t="shared" si="10"/>
        <v>3.6863970917085209E-2</v>
      </c>
      <c r="AM31">
        <f t="shared" si="10"/>
        <v>3.7037701602682646E-2</v>
      </c>
      <c r="AN31">
        <f t="shared" si="10"/>
        <v>3.6952171211840808E-2</v>
      </c>
      <c r="AO31">
        <f t="shared" si="10"/>
        <v>3.2323235216493842E-2</v>
      </c>
      <c r="AP31">
        <f t="shared" si="10"/>
        <v>2.7857176339322005E-2</v>
      </c>
      <c r="AQ31">
        <f t="shared" si="10"/>
        <v>2.4474010139679654E-2</v>
      </c>
      <c r="AR31">
        <f t="shared" si="10"/>
        <v>2.1857241150467711E-2</v>
      </c>
      <c r="BB31">
        <v>105</v>
      </c>
      <c r="BC31">
        <f t="shared" si="11"/>
        <v>1.5178327523995488E-2</v>
      </c>
      <c r="BD31">
        <f t="shared" si="11"/>
        <v>1.0765372919737004E-2</v>
      </c>
      <c r="BE31">
        <f t="shared" si="11"/>
        <v>8.7546826424342132E-3</v>
      </c>
      <c r="BF31">
        <f t="shared" si="11"/>
        <v>7.5381052689482125E-3</v>
      </c>
      <c r="BG31">
        <f t="shared" si="11"/>
        <v>6.6987231691622105E-3</v>
      </c>
      <c r="BH31">
        <f t="shared" si="11"/>
        <v>6.0734168025344832E-3</v>
      </c>
      <c r="BI31">
        <f t="shared" si="11"/>
        <v>5.5834656796491773E-3</v>
      </c>
      <c r="BJ31">
        <f t="shared" si="11"/>
        <v>5.1855799759518767E-3</v>
      </c>
      <c r="BK31">
        <f t="shared" si="11"/>
        <v>4.8537127213026726E-3</v>
      </c>
      <c r="BL31">
        <f t="shared" si="11"/>
        <v>4.5711217489427594E-3</v>
      </c>
      <c r="BM31">
        <f t="shared" si="11"/>
        <v>3.0006881511147523E-3</v>
      </c>
      <c r="BN31">
        <f t="shared" si="11"/>
        <v>2.2729086771875562E-3</v>
      </c>
      <c r="BO31">
        <f t="shared" si="11"/>
        <v>1.825756229606425E-3</v>
      </c>
      <c r="BP31">
        <f t="shared" si="11"/>
        <v>1.5145629388970266E-3</v>
      </c>
    </row>
    <row r="32" spans="4:68" x14ac:dyDescent="0.3">
      <c r="F32">
        <v>110</v>
      </c>
      <c r="G32">
        <f t="shared" ref="G32:T32" si="20">GammaCP($D12,$A$2,G$1,$B$2,$C$9,$C$2)</f>
        <v>5.0762556363940496E-2</v>
      </c>
      <c r="H32">
        <f t="shared" si="20"/>
        <v>2.7860566765143705E-2</v>
      </c>
      <c r="I32">
        <f t="shared" si="20"/>
        <v>1.2092741423164556E-2</v>
      </c>
      <c r="J32">
        <f t="shared" si="20"/>
        <v>5.0645468683501241E-3</v>
      </c>
      <c r="K32">
        <f t="shared" si="20"/>
        <v>2.109272464708815E-3</v>
      </c>
      <c r="L32">
        <f t="shared" si="20"/>
        <v>8.7977193729480373E-4</v>
      </c>
      <c r="M32">
        <f t="shared" si="20"/>
        <v>3.6815283943265566E-4</v>
      </c>
      <c r="N32">
        <f t="shared" si="20"/>
        <v>1.5460667848383319E-4</v>
      </c>
      <c r="O32">
        <f t="shared" si="20"/>
        <v>6.5146507946757805E-5</v>
      </c>
      <c r="P32">
        <f t="shared" si="20"/>
        <v>2.7534786060515359E-5</v>
      </c>
      <c r="Q32">
        <f t="shared" si="20"/>
        <v>5.5965874692211905E-9</v>
      </c>
      <c r="R32">
        <f t="shared" si="20"/>
        <v>1.2647251422345397E-12</v>
      </c>
      <c r="S32">
        <f t="shared" si="20"/>
        <v>3.0028645620307642E-16</v>
      </c>
      <c r="T32">
        <f t="shared" si="20"/>
        <v>7.3357730822796835E-20</v>
      </c>
      <c r="AD32">
        <v>110</v>
      </c>
      <c r="AE32">
        <f t="shared" si="10"/>
        <v>1.9181936774384374E-9</v>
      </c>
      <c r="AF32">
        <f t="shared" si="10"/>
        <v>1.1924012275408867E-5</v>
      </c>
      <c r="AG32">
        <f t="shared" si="10"/>
        <v>2.0059752270192165E-4</v>
      </c>
      <c r="AH32">
        <f t="shared" si="10"/>
        <v>7.8755507296034036E-4</v>
      </c>
      <c r="AI32">
        <f t="shared" si="10"/>
        <v>1.7427738925379489E-3</v>
      </c>
      <c r="AJ32">
        <f t="shared" si="10"/>
        <v>2.9077745568898135E-3</v>
      </c>
      <c r="AK32">
        <f t="shared" si="10"/>
        <v>4.1385865503333411E-3</v>
      </c>
      <c r="AL32">
        <f t="shared" si="10"/>
        <v>5.3413959170241524E-3</v>
      </c>
      <c r="AM32">
        <f t="shared" si="10"/>
        <v>6.4649704130358083E-3</v>
      </c>
      <c r="AN32">
        <f t="shared" si="10"/>
        <v>7.4861471767366855E-3</v>
      </c>
      <c r="AO32">
        <f t="shared" si="10"/>
        <v>1.2801613487678228E-2</v>
      </c>
      <c r="AP32">
        <f t="shared" si="10"/>
        <v>1.3795289249153533E-2</v>
      </c>
      <c r="AQ32">
        <f t="shared" si="10"/>
        <v>1.3552542188871287E-2</v>
      </c>
      <c r="AR32">
        <f t="shared" si="10"/>
        <v>1.2942677357926544E-2</v>
      </c>
      <c r="BB32">
        <v>110</v>
      </c>
      <c r="BC32">
        <f t="shared" si="11"/>
        <v>1.3325432539633324E-2</v>
      </c>
      <c r="BD32">
        <f t="shared" si="11"/>
        <v>9.7370107832508157E-3</v>
      </c>
      <c r="BE32">
        <f t="shared" si="11"/>
        <v>7.9974224761243003E-3</v>
      </c>
      <c r="BF32">
        <f t="shared" si="11"/>
        <v>6.9203547692940539E-3</v>
      </c>
      <c r="BG32">
        <f t="shared" si="11"/>
        <v>6.1681099861691227E-3</v>
      </c>
      <c r="BH32">
        <f t="shared" si="11"/>
        <v>5.6034535617525355E-3</v>
      </c>
      <c r="BI32">
        <f t="shared" si="11"/>
        <v>5.1587287477210053E-3</v>
      </c>
      <c r="BJ32">
        <f t="shared" si="11"/>
        <v>4.7962111228223364E-3</v>
      </c>
      <c r="BK32">
        <f t="shared" si="11"/>
        <v>4.4929795803850987E-3</v>
      </c>
      <c r="BL32">
        <f t="shared" si="11"/>
        <v>4.2341935154567257E-3</v>
      </c>
      <c r="BM32">
        <f t="shared" si="11"/>
        <v>2.7878069420033975E-3</v>
      </c>
      <c r="BN32">
        <f t="shared" si="11"/>
        <v>2.1137573189807203E-3</v>
      </c>
      <c r="BO32">
        <f t="shared" si="11"/>
        <v>1.6987582615898822E-3</v>
      </c>
      <c r="BP32">
        <f t="shared" si="11"/>
        <v>1.4096312141666579E-3</v>
      </c>
    </row>
    <row r="33" spans="5:68" x14ac:dyDescent="0.3">
      <c r="F33">
        <v>115</v>
      </c>
      <c r="G33">
        <f t="shared" ref="G33:T33" si="21">GammaCP($D13,$A$2,G$1,$B$2,$C$9,$C$2)</f>
        <v>3.0945648763037001E-2</v>
      </c>
      <c r="H33">
        <f t="shared" si="21"/>
        <v>3.2634543477731454E-2</v>
      </c>
      <c r="I33">
        <f t="shared" si="21"/>
        <v>1.7609871644789412E-2</v>
      </c>
      <c r="J33">
        <f t="shared" si="21"/>
        <v>8.223258319352611E-3</v>
      </c>
      <c r="K33">
        <f t="shared" si="21"/>
        <v>3.6559409335790659E-3</v>
      </c>
      <c r="L33">
        <f t="shared" si="21"/>
        <v>1.5927417271644432E-3</v>
      </c>
      <c r="M33">
        <f t="shared" si="21"/>
        <v>6.8755852119479469E-4</v>
      </c>
      <c r="N33">
        <f t="shared" si="21"/>
        <v>2.9555578236124499E-4</v>
      </c>
      <c r="O33">
        <f t="shared" si="21"/>
        <v>1.268180304291663E-4</v>
      </c>
      <c r="P33">
        <f t="shared" si="21"/>
        <v>5.4384418752567554E-5</v>
      </c>
      <c r="Q33">
        <f t="shared" si="21"/>
        <v>1.1799924520713288E-8</v>
      </c>
      <c r="R33">
        <f t="shared" si="21"/>
        <v>2.7252507555869919E-12</v>
      </c>
      <c r="S33">
        <f t="shared" si="21"/>
        <v>6.5414383485336024E-16</v>
      </c>
      <c r="T33">
        <f t="shared" si="21"/>
        <v>1.6084949866666327E-19</v>
      </c>
      <c r="AD33">
        <v>115</v>
      </c>
      <c r="AE33">
        <f t="shared" si="10"/>
        <v>1.2603945019359544E-18</v>
      </c>
      <c r="AF33">
        <f t="shared" si="10"/>
        <v>2.7048317777097782E-10</v>
      </c>
      <c r="AG33">
        <f t="shared" si="10"/>
        <v>1.4816467677254767E-7</v>
      </c>
      <c r="AH33">
        <f t="shared" si="10"/>
        <v>3.3193318974190836E-6</v>
      </c>
      <c r="AI33">
        <f t="shared" si="10"/>
        <v>2.0884360030794242E-5</v>
      </c>
      <c r="AJ33">
        <f t="shared" si="10"/>
        <v>6.9932831332127887E-5</v>
      </c>
      <c r="AK33">
        <f t="shared" si="10"/>
        <v>1.6370901766348724E-4</v>
      </c>
      <c r="AL33">
        <f t="shared" si="10"/>
        <v>3.0686719695878099E-4</v>
      </c>
      <c r="AM33">
        <f t="shared" si="10"/>
        <v>4.9650162794330922E-4</v>
      </c>
      <c r="AN33">
        <f t="shared" si="10"/>
        <v>7.2520242441002014E-4</v>
      </c>
      <c r="AO33">
        <f t="shared" si="10"/>
        <v>3.525948599674633E-3</v>
      </c>
      <c r="AP33">
        <f t="shared" si="10"/>
        <v>5.3828490839793056E-3</v>
      </c>
      <c r="AQ33">
        <f t="shared" si="10"/>
        <v>6.2941519657690485E-3</v>
      </c>
      <c r="AR33">
        <f t="shared" si="10"/>
        <v>6.6730075984318847E-3</v>
      </c>
      <c r="BB33">
        <v>115</v>
      </c>
      <c r="BC33">
        <f t="shared" si="11"/>
        <v>1.1351197472443777E-2</v>
      </c>
      <c r="BD33">
        <f t="shared" si="11"/>
        <v>8.6887112607413556E-3</v>
      </c>
      <c r="BE33">
        <f t="shared" si="11"/>
        <v>7.2477444135741814E-3</v>
      </c>
      <c r="BF33">
        <f t="shared" si="11"/>
        <v>6.3203735698089489E-3</v>
      </c>
      <c r="BG33">
        <f t="shared" si="11"/>
        <v>5.6595699703709153E-3</v>
      </c>
      <c r="BH33">
        <f t="shared" si="11"/>
        <v>5.1574107932801398E-3</v>
      </c>
      <c r="BI33">
        <f t="shared" si="11"/>
        <v>4.7585987446599467E-3</v>
      </c>
      <c r="BJ33">
        <f t="shared" si="11"/>
        <v>4.4315435215360232E-3</v>
      </c>
      <c r="BK33">
        <f t="shared" si="11"/>
        <v>4.1567263206098671E-3</v>
      </c>
      <c r="BL33">
        <f t="shared" si="11"/>
        <v>3.9213526197272811E-3</v>
      </c>
      <c r="BM33">
        <f t="shared" si="11"/>
        <v>2.5938498029899407E-3</v>
      </c>
      <c r="BN33">
        <f t="shared" si="11"/>
        <v>1.9697429986299609E-3</v>
      </c>
      <c r="BO33">
        <f t="shared" si="11"/>
        <v>1.584244393211844E-3</v>
      </c>
      <c r="BP33">
        <f t="shared" si="11"/>
        <v>1.3152181648839667E-3</v>
      </c>
    </row>
    <row r="34" spans="5:68" x14ac:dyDescent="0.3">
      <c r="F34">
        <v>120</v>
      </c>
      <c r="G34">
        <f t="shared" ref="G34:T34" si="22">GammaCP($D14,$A$2,G$1,$B$2,$C$9,$C$2)</f>
        <v>1.2127512977663278E-2</v>
      </c>
      <c r="H34">
        <f t="shared" si="22"/>
        <v>3.0124836380533808E-2</v>
      </c>
      <c r="I34">
        <f t="shared" si="22"/>
        <v>2.1628596826389328E-2</v>
      </c>
      <c r="J34">
        <f t="shared" si="22"/>
        <v>1.1650071413503341E-2</v>
      </c>
      <c r="K34">
        <f t="shared" si="22"/>
        <v>5.6427566972096369E-3</v>
      </c>
      <c r="L34">
        <f t="shared" si="22"/>
        <v>2.6028102736073287E-3</v>
      </c>
      <c r="M34">
        <f t="shared" si="22"/>
        <v>1.1703740401035891E-3</v>
      </c>
      <c r="N34">
        <f t="shared" si="22"/>
        <v>5.1873179060518151E-4</v>
      </c>
      <c r="O34">
        <f t="shared" si="22"/>
        <v>2.2793962257974346E-4</v>
      </c>
      <c r="P34">
        <f t="shared" si="22"/>
        <v>9.9628053521937833E-5</v>
      </c>
      <c r="Q34">
        <f t="shared" si="22"/>
        <v>2.3550161152882308E-8</v>
      </c>
      <c r="R34">
        <f t="shared" si="22"/>
        <v>5.5965916826844722E-12</v>
      </c>
      <c r="S34">
        <f t="shared" si="22"/>
        <v>1.3626730178993306E-15</v>
      </c>
      <c r="T34">
        <f t="shared" si="22"/>
        <v>3.3795499178246659E-19</v>
      </c>
      <c r="AD34">
        <v>120</v>
      </c>
      <c r="AE34">
        <f t="shared" si="10"/>
        <v>1.2372224837677597E-30</v>
      </c>
      <c r="AF34">
        <f t="shared" si="10"/>
        <v>2.3838643903555184E-16</v>
      </c>
      <c r="AG34">
        <f t="shared" si="10"/>
        <v>1.2597546157314941E-11</v>
      </c>
      <c r="AH34">
        <f t="shared" si="10"/>
        <v>2.7719918992984113E-9</v>
      </c>
      <c r="AI34">
        <f t="shared" si="10"/>
        <v>6.8688249271277048E-8</v>
      </c>
      <c r="AJ34">
        <f t="shared" si="10"/>
        <v>5.7361749178651353E-7</v>
      </c>
      <c r="AK34">
        <f t="shared" si="10"/>
        <v>2.5792865323747171E-6</v>
      </c>
      <c r="AL34">
        <f t="shared" si="10"/>
        <v>7.8884511305600306E-6</v>
      </c>
      <c r="AM34">
        <f t="shared" si="10"/>
        <v>1.8677924521023835E-5</v>
      </c>
      <c r="AN34">
        <f t="shared" si="10"/>
        <v>3.6996489716055837E-5</v>
      </c>
      <c r="AO34">
        <f t="shared" si="10"/>
        <v>7.0843049486281329E-4</v>
      </c>
      <c r="AP34">
        <f t="shared" si="10"/>
        <v>1.7079433975186139E-3</v>
      </c>
      <c r="AQ34">
        <f t="shared" si="10"/>
        <v>2.5096808328419697E-3</v>
      </c>
      <c r="AR34">
        <f t="shared" si="10"/>
        <v>3.0516511716559593E-3</v>
      </c>
      <c r="BB34">
        <v>120</v>
      </c>
      <c r="BC34">
        <f t="shared" si="11"/>
        <v>9.4204281903909545E-3</v>
      </c>
      <c r="BD34">
        <f t="shared" si="11"/>
        <v>7.6637794174414936E-3</v>
      </c>
      <c r="BE34">
        <f t="shared" si="11"/>
        <v>6.5239414744894531E-3</v>
      </c>
      <c r="BF34">
        <f t="shared" si="11"/>
        <v>5.7472450193937121E-3</v>
      </c>
      <c r="BG34">
        <f t="shared" si="11"/>
        <v>5.1778118428223371E-3</v>
      </c>
      <c r="BH34">
        <f t="shared" si="11"/>
        <v>4.7376008378893419E-3</v>
      </c>
      <c r="BI34">
        <f t="shared" si="11"/>
        <v>4.3839517359887609E-3</v>
      </c>
      <c r="BJ34">
        <f t="shared" si="11"/>
        <v>4.091538571976811E-3</v>
      </c>
      <c r="BK34">
        <f t="shared" si="11"/>
        <v>3.8443066717426958E-3</v>
      </c>
      <c r="BL34">
        <f t="shared" si="11"/>
        <v>3.6315368999453286E-3</v>
      </c>
      <c r="BM34">
        <f t="shared" si="11"/>
        <v>2.4168252830142237E-3</v>
      </c>
      <c r="BN34">
        <f t="shared" si="11"/>
        <v>1.8390432880971913E-3</v>
      </c>
      <c r="BO34">
        <f t="shared" si="11"/>
        <v>1.4806265852243877E-3</v>
      </c>
      <c r="BP34">
        <f t="shared" si="11"/>
        <v>1.2299451642468694E-3</v>
      </c>
    </row>
    <row r="35" spans="5:68" x14ac:dyDescent="0.3">
      <c r="F35">
        <v>125</v>
      </c>
      <c r="G35">
        <f t="shared" ref="G35:T35" si="23">GammaCP($D15,$A$2,G$1,$B$2,$C$9,$C$2)</f>
        <v>3.2268010793146773E-3</v>
      </c>
      <c r="H35">
        <f t="shared" si="23"/>
        <v>2.2552771410965459E-2</v>
      </c>
      <c r="I35">
        <f t="shared" si="23"/>
        <v>2.2859241981617456E-2</v>
      </c>
      <c r="J35">
        <f t="shared" si="23"/>
        <v>1.462989457956866E-2</v>
      </c>
      <c r="K35">
        <f t="shared" si="23"/>
        <v>7.8583507930639653E-3</v>
      </c>
      <c r="L35">
        <f t="shared" si="23"/>
        <v>3.883597838661987E-3</v>
      </c>
      <c r="M35">
        <f t="shared" si="23"/>
        <v>1.8344693311923151E-3</v>
      </c>
      <c r="N35">
        <f t="shared" si="23"/>
        <v>8.4367303322298542E-4</v>
      </c>
      <c r="O35">
        <f t="shared" si="23"/>
        <v>3.8153201201226235E-4</v>
      </c>
      <c r="P35">
        <f t="shared" si="23"/>
        <v>1.7063836738621122E-4</v>
      </c>
      <c r="Q35">
        <f t="shared" si="23"/>
        <v>4.4731802917691565E-8</v>
      </c>
      <c r="R35">
        <f t="shared" si="23"/>
        <v>1.1003275020242723E-11</v>
      </c>
      <c r="S35">
        <f t="shared" si="23"/>
        <v>2.7256991255259871E-15</v>
      </c>
      <c r="T35">
        <f t="shared" si="23"/>
        <v>6.8302699991978247E-19</v>
      </c>
      <c r="AD35">
        <v>125</v>
      </c>
      <c r="AE35">
        <f t="shared" si="10"/>
        <v>4.1509429160752225E-45</v>
      </c>
      <c r="AF35">
        <f t="shared" si="10"/>
        <v>1.2341754855645672E-23</v>
      </c>
      <c r="AG35">
        <f t="shared" si="10"/>
        <v>1.6237286929456729E-16</v>
      </c>
      <c r="AH35">
        <f t="shared" si="10"/>
        <v>5.6374867271153429E-13</v>
      </c>
      <c r="AI35">
        <f t="shared" si="10"/>
        <v>7.3116545450341144E-11</v>
      </c>
      <c r="AJ35">
        <f t="shared" si="10"/>
        <v>1.8406958385504246E-9</v>
      </c>
      <c r="AK35">
        <f t="shared" si="10"/>
        <v>1.8203874210863437E-8</v>
      </c>
      <c r="AL35">
        <f t="shared" si="10"/>
        <v>1.0055054249270303E-7</v>
      </c>
      <c r="AM35">
        <f t="shared" si="10"/>
        <v>3.7705002405172358E-7</v>
      </c>
      <c r="AN35">
        <f t="shared" si="10"/>
        <v>1.0788796930260339E-6</v>
      </c>
      <c r="AO35">
        <f t="shared" si="10"/>
        <v>1.0813079297947399E-4</v>
      </c>
      <c r="AP35">
        <f t="shared" si="10"/>
        <v>4.5262530241530716E-4</v>
      </c>
      <c r="AQ35">
        <f t="shared" si="10"/>
        <v>8.7637595818898875E-4</v>
      </c>
      <c r="AR35">
        <f t="shared" si="10"/>
        <v>1.2574502570273684E-3</v>
      </c>
      <c r="BB35">
        <v>125</v>
      </c>
      <c r="BC35">
        <f t="shared" si="11"/>
        <v>7.6430281279013515E-3</v>
      </c>
      <c r="BD35">
        <f t="shared" si="11"/>
        <v>6.692467011808657E-3</v>
      </c>
      <c r="BE35">
        <f t="shared" si="11"/>
        <v>5.8385200442963399E-3</v>
      </c>
      <c r="BF35">
        <f t="shared" si="11"/>
        <v>5.2068752158344039E-3</v>
      </c>
      <c r="BG35">
        <f t="shared" si="11"/>
        <v>4.7256174830459571E-3</v>
      </c>
      <c r="BH35">
        <f t="shared" si="11"/>
        <v>4.3451088666910066E-3</v>
      </c>
      <c r="BI35">
        <f t="shared" si="11"/>
        <v>4.0348678316193664E-3</v>
      </c>
      <c r="BJ35">
        <f t="shared" si="11"/>
        <v>3.7756455260327063E-3</v>
      </c>
      <c r="BK35">
        <f t="shared" si="11"/>
        <v>3.554758047208932E-3</v>
      </c>
      <c r="BL35">
        <f t="shared" si="11"/>
        <v>3.3635078619742888E-3</v>
      </c>
      <c r="BM35">
        <f t="shared" si="11"/>
        <v>2.2549768317815513E-3</v>
      </c>
      <c r="BN35">
        <f t="shared" si="11"/>
        <v>1.7201001280897868E-3</v>
      </c>
      <c r="BO35">
        <f t="shared" si="11"/>
        <v>1.3865635941326965E-3</v>
      </c>
      <c r="BP35">
        <f t="shared" si="11"/>
        <v>1.1526553852836236E-3</v>
      </c>
    </row>
    <row r="36" spans="5:68" x14ac:dyDescent="0.3">
      <c r="F36">
        <v>130</v>
      </c>
      <c r="G36">
        <f t="shared" ref="G36:T36" si="24">GammaCP($D16,$A$2,G$1,$B$2,$C$9,$C$2)</f>
        <v>6.108058894804399E-4</v>
      </c>
      <c r="H36">
        <f t="shared" si="24"/>
        <v>1.4034425851268245E-2</v>
      </c>
      <c r="I36">
        <f t="shared" si="24"/>
        <v>2.1151660182105726E-2</v>
      </c>
      <c r="J36">
        <f t="shared" si="24"/>
        <v>1.6506986037607353E-2</v>
      </c>
      <c r="K36">
        <f t="shared" si="24"/>
        <v>9.9872143236689383E-3</v>
      </c>
      <c r="L36">
        <f t="shared" si="24"/>
        <v>5.3432413285271528E-3</v>
      </c>
      <c r="M36">
        <f t="shared" si="24"/>
        <v>2.6711209408411367E-3</v>
      </c>
      <c r="N36">
        <f t="shared" si="24"/>
        <v>1.2817894197297446E-3</v>
      </c>
      <c r="O36">
        <f t="shared" si="24"/>
        <v>5.9914345959735963E-4</v>
      </c>
      <c r="P36">
        <f t="shared" si="24"/>
        <v>2.7514548299912027E-4</v>
      </c>
      <c r="Q36">
        <f t="shared" si="24"/>
        <v>8.1243471808105361E-8</v>
      </c>
      <c r="R36">
        <f t="shared" si="24"/>
        <v>2.0793271755342934E-11</v>
      </c>
      <c r="S36">
        <f t="shared" si="24"/>
        <v>5.2540375407156737E-15</v>
      </c>
      <c r="T36">
        <f t="shared" si="24"/>
        <v>1.3323605508015612E-18</v>
      </c>
      <c r="AD36">
        <v>130</v>
      </c>
      <c r="AE36">
        <f t="shared" si="10"/>
        <v>9.6566096893110887E-62</v>
      </c>
      <c r="AF36">
        <f t="shared" si="10"/>
        <v>5.344095263071139E-32</v>
      </c>
      <c r="AG36">
        <f t="shared" si="10"/>
        <v>4.0143681049703798E-22</v>
      </c>
      <c r="AH36">
        <f t="shared" si="10"/>
        <v>3.3303700096947886E-17</v>
      </c>
      <c r="AI36">
        <f t="shared" si="10"/>
        <v>2.9000437821153298E-14</v>
      </c>
      <c r="AJ36">
        <f t="shared" si="10"/>
        <v>2.5983174590481587E-12</v>
      </c>
      <c r="AK36">
        <f t="shared" si="10"/>
        <v>6.3631905510395873E-11</v>
      </c>
      <c r="AL36">
        <f t="shared" si="10"/>
        <v>6.9381903775030267E-10</v>
      </c>
      <c r="AM36">
        <f t="shared" si="10"/>
        <v>4.4154805034579883E-9</v>
      </c>
      <c r="AN36">
        <f t="shared" si="10"/>
        <v>1.9289713659538069E-8</v>
      </c>
      <c r="AO36">
        <f t="shared" si="10"/>
        <v>1.2980280750592524E-5</v>
      </c>
      <c r="AP36">
        <f t="shared" si="10"/>
        <v>1.0250243237476428E-4</v>
      </c>
      <c r="AQ36">
        <f t="shared" si="10"/>
        <v>2.7259389231645972E-4</v>
      </c>
      <c r="AR36">
        <f t="shared" si="10"/>
        <v>4.7316724559099516E-4</v>
      </c>
      <c r="BB36">
        <v>130</v>
      </c>
      <c r="BC36">
        <f t="shared" si="11"/>
        <v>6.0799936907532087E-3</v>
      </c>
      <c r="BD36">
        <f t="shared" si="11"/>
        <v>5.7940022909421154E-3</v>
      </c>
      <c r="BE36">
        <f t="shared" si="11"/>
        <v>5.1993228208663516E-3</v>
      </c>
      <c r="BF36">
        <f t="shared" si="11"/>
        <v>4.702696697069921E-3</v>
      </c>
      <c r="BG36">
        <f t="shared" si="11"/>
        <v>4.3043129494858123E-3</v>
      </c>
      <c r="BH36">
        <f t="shared" si="11"/>
        <v>3.9801208054010386E-3</v>
      </c>
      <c r="BI36">
        <f t="shared" si="11"/>
        <v>3.7108647980314846E-3</v>
      </c>
      <c r="BJ36">
        <f t="shared" si="11"/>
        <v>3.4829697457515758E-3</v>
      </c>
      <c r="BK36">
        <f t="shared" si="11"/>
        <v>3.286922765384892E-3</v>
      </c>
      <c r="BL36">
        <f t="shared" si="11"/>
        <v>3.1159370322698223E-3</v>
      </c>
      <c r="BM36">
        <f t="shared" si="11"/>
        <v>2.1067537956444217E-3</v>
      </c>
      <c r="BN36">
        <f t="shared" si="11"/>
        <v>1.6115752442479958E-3</v>
      </c>
      <c r="BO36">
        <f t="shared" si="11"/>
        <v>1.3009159295222568E-3</v>
      </c>
      <c r="BP36">
        <f t="shared" si="11"/>
        <v>1.0823718025351483E-3</v>
      </c>
    </row>
    <row r="37" spans="5:68" x14ac:dyDescent="0.3">
      <c r="F37">
        <v>135</v>
      </c>
      <c r="G37">
        <f t="shared" ref="G37:T37" si="25">GammaCP($D17,$A$2,G$1,$B$2,$C$9,$C$2)</f>
        <v>8.5632964532823412E-5</v>
      </c>
      <c r="H37">
        <f t="shared" si="25"/>
        <v>7.4152548168330877E-3</v>
      </c>
      <c r="I37">
        <f t="shared" si="25"/>
        <v>1.7391636322333034E-2</v>
      </c>
      <c r="J37">
        <f t="shared" si="25"/>
        <v>1.6931523835083062E-2</v>
      </c>
      <c r="K37">
        <f t="shared" si="25"/>
        <v>1.1697471583523458E-2</v>
      </c>
      <c r="L37">
        <f t="shared" si="25"/>
        <v>6.8369960609068357E-3</v>
      </c>
      <c r="M37">
        <f t="shared" si="25"/>
        <v>3.6407586145415578E-3</v>
      </c>
      <c r="N37">
        <f t="shared" si="25"/>
        <v>1.8318645628548015E-3</v>
      </c>
      <c r="O37">
        <f t="shared" si="25"/>
        <v>8.8840886053843926E-4</v>
      </c>
      <c r="P37">
        <f t="shared" si="25"/>
        <v>4.2019293855256938E-4</v>
      </c>
      <c r="Q37">
        <f t="shared" si="25"/>
        <v>1.4167532018722456E-7</v>
      </c>
      <c r="R37">
        <f t="shared" si="25"/>
        <v>3.7899633821773308E-11</v>
      </c>
      <c r="S37">
        <f t="shared" si="25"/>
        <v>9.7905836799464608E-15</v>
      </c>
      <c r="T37">
        <f t="shared" si="25"/>
        <v>2.515933247060736E-18</v>
      </c>
      <c r="AD37">
        <v>135</v>
      </c>
      <c r="AE37">
        <f t="shared" si="10"/>
        <v>2.8607510988780266E-80</v>
      </c>
      <c r="AF37">
        <f t="shared" si="10"/>
        <v>2.6219731763750563E-41</v>
      </c>
      <c r="AG37">
        <f t="shared" si="10"/>
        <v>2.3302586702529361E-28</v>
      </c>
      <c r="AH37">
        <f t="shared" si="10"/>
        <v>6.6496053217831917E-22</v>
      </c>
      <c r="AI37">
        <f t="shared" si="10"/>
        <v>4.8374646273030467E-18</v>
      </c>
      <c r="AJ37">
        <f t="shared" si="10"/>
        <v>1.784481445107195E-15</v>
      </c>
      <c r="AK37">
        <f t="shared" si="10"/>
        <v>1.2008795570947284E-13</v>
      </c>
      <c r="AL37">
        <f t="shared" si="10"/>
        <v>2.794629626717462E-12</v>
      </c>
      <c r="AM37">
        <f t="shared" si="10"/>
        <v>3.2073185186166751E-11</v>
      </c>
      <c r="AN37">
        <f t="shared" si="10"/>
        <v>2.2457363071221918E-10</v>
      </c>
      <c r="AO37">
        <f t="shared" si="10"/>
        <v>1.2624870473504024E-6</v>
      </c>
      <c r="AP37">
        <f t="shared" si="10"/>
        <v>2.022927438346784E-5</v>
      </c>
      <c r="AQ37">
        <f t="shared" si="10"/>
        <v>7.663265970618857E-5</v>
      </c>
      <c r="AR37">
        <f t="shared" si="10"/>
        <v>1.644763418366338E-4</v>
      </c>
      <c r="BB37">
        <v>135</v>
      </c>
      <c r="BC37">
        <f t="shared" si="11"/>
        <v>4.754212346138909E-3</v>
      </c>
      <c r="BD37">
        <f t="shared" si="11"/>
        <v>4.9788366903278673E-3</v>
      </c>
      <c r="BE37">
        <f t="shared" si="11"/>
        <v>4.6105626299001914E-3</v>
      </c>
      <c r="BF37">
        <f t="shared" si="11"/>
        <v>4.2362645572319524E-3</v>
      </c>
      <c r="BG37">
        <f t="shared" si="11"/>
        <v>3.914148707208155E-3</v>
      </c>
      <c r="BH37">
        <f t="shared" si="11"/>
        <v>3.6421792907790785E-3</v>
      </c>
      <c r="BI37">
        <f t="shared" si="11"/>
        <v>3.4110754844177875E-3</v>
      </c>
      <c r="BJ37">
        <f t="shared" si="11"/>
        <v>3.2123972809277573E-3</v>
      </c>
      <c r="BK37">
        <f t="shared" si="11"/>
        <v>3.0395354104679607E-3</v>
      </c>
      <c r="BL37">
        <f t="shared" si="11"/>
        <v>2.8874661982852441E-3</v>
      </c>
      <c r="BM37">
        <f t="shared" si="11"/>
        <v>1.9707856819602683E-3</v>
      </c>
      <c r="BN37">
        <f t="shared" si="11"/>
        <v>1.5123140718873308E-3</v>
      </c>
      <c r="BO37">
        <f t="shared" si="11"/>
        <v>1.2227101954486968E-3</v>
      </c>
      <c r="BP37">
        <f t="shared" si="11"/>
        <v>1.0182642801707545E-3</v>
      </c>
    </row>
    <row r="38" spans="5:68" x14ac:dyDescent="0.3">
      <c r="F38">
        <v>140</v>
      </c>
      <c r="G38">
        <f t="shared" ref="G38:T38" si="26">GammaCP($D18,$A$2,G$1,$B$2,$C$9,$C$2)</f>
        <v>9.206685122521549E-6</v>
      </c>
      <c r="H38">
        <f t="shared" si="26"/>
        <v>3.3882849222241353E-3</v>
      </c>
      <c r="I38">
        <f t="shared" si="26"/>
        <v>1.2872358691817277E-2</v>
      </c>
      <c r="J38">
        <f t="shared" si="26"/>
        <v>1.5949447967919798E-2</v>
      </c>
      <c r="K38">
        <f t="shared" si="26"/>
        <v>1.2734466694672987E-2</v>
      </c>
      <c r="L38">
        <f t="shared" si="26"/>
        <v>8.196847619905084E-3</v>
      </c>
      <c r="M38">
        <f t="shared" si="26"/>
        <v>4.676240339437367E-3</v>
      </c>
      <c r="N38">
        <f t="shared" si="26"/>
        <v>2.4776551210862539E-3</v>
      </c>
      <c r="O38">
        <f t="shared" si="26"/>
        <v>1.2508801321476173E-3</v>
      </c>
      <c r="P38">
        <f t="shared" si="26"/>
        <v>6.1096427902706163E-4</v>
      </c>
      <c r="Q38">
        <f t="shared" si="26"/>
        <v>2.3806767229742531E-7</v>
      </c>
      <c r="R38">
        <f t="shared" si="26"/>
        <v>6.6832486784750426E-11</v>
      </c>
      <c r="S38">
        <f t="shared" si="26"/>
        <v>1.7686193945260392E-14</v>
      </c>
      <c r="T38">
        <f t="shared" si="26"/>
        <v>4.611145530009779E-18</v>
      </c>
      <c r="AD38">
        <v>140</v>
      </c>
      <c r="AE38">
        <f t="shared" si="10"/>
        <v>1.8242424684528806E-100</v>
      </c>
      <c r="AF38">
        <f t="shared" si="10"/>
        <v>1.8945028104927025E-51</v>
      </c>
      <c r="AG38">
        <f t="shared" si="10"/>
        <v>3.7817485497671273E-35</v>
      </c>
      <c r="AH38">
        <f t="shared" si="10"/>
        <v>5.1144052719762048E-27</v>
      </c>
      <c r="AI38">
        <f t="shared" si="10"/>
        <v>3.7674155366953325E-22</v>
      </c>
      <c r="AJ38">
        <f t="shared" si="10"/>
        <v>6.5046219455217613E-19</v>
      </c>
      <c r="AK38">
        <f t="shared" si="10"/>
        <v>1.3182081010252938E-16</v>
      </c>
      <c r="AL38">
        <f t="shared" si="10"/>
        <v>7.0127710274450392E-15</v>
      </c>
      <c r="AM38">
        <f t="shared" si="10"/>
        <v>1.5310614357413416E-13</v>
      </c>
      <c r="AN38">
        <f t="shared" si="10"/>
        <v>1.7932357427730639E-12</v>
      </c>
      <c r="AO38">
        <f t="shared" si="10"/>
        <v>1.02077966415812E-7</v>
      </c>
      <c r="AP38">
        <f t="shared" si="10"/>
        <v>3.5385679053475662E-6</v>
      </c>
      <c r="AQ38">
        <f t="shared" si="10"/>
        <v>1.9716608063862224E-5</v>
      </c>
      <c r="AR38">
        <f t="shared" si="10"/>
        <v>5.3341397273610855E-5</v>
      </c>
      <c r="BB38">
        <v>140</v>
      </c>
      <c r="BC38">
        <f t="shared" si="11"/>
        <v>3.6621417257134766E-3</v>
      </c>
      <c r="BD38">
        <f t="shared" si="11"/>
        <v>4.2507941426638551E-3</v>
      </c>
      <c r="BE38">
        <f t="shared" si="11"/>
        <v>4.0737214022612154E-3</v>
      </c>
      <c r="BF38">
        <f t="shared" si="11"/>
        <v>3.8077469281621351E-3</v>
      </c>
      <c r="BG38">
        <f t="shared" si="11"/>
        <v>3.5546012204446622E-3</v>
      </c>
      <c r="BH38">
        <f t="shared" si="11"/>
        <v>3.330381046090891E-3</v>
      </c>
      <c r="BI38">
        <f t="shared" si="11"/>
        <v>3.1343812618704605E-3</v>
      </c>
      <c r="BJ38">
        <f t="shared" si="11"/>
        <v>2.9626862156062928E-3</v>
      </c>
      <c r="BK38">
        <f t="shared" si="11"/>
        <v>2.8112850411137892E-3</v>
      </c>
      <c r="BL38">
        <f t="shared" si="11"/>
        <v>2.676748679852025E-3</v>
      </c>
      <c r="BM38">
        <f t="shared" si="11"/>
        <v>1.8458595322539831E-3</v>
      </c>
      <c r="BN38">
        <f t="shared" si="11"/>
        <v>1.4213163899482603E-3</v>
      </c>
      <c r="BO38">
        <f t="shared" si="11"/>
        <v>1.1511106308926332E-3</v>
      </c>
      <c r="BP38">
        <f t="shared" si="11"/>
        <v>9.5962354871231641E-4</v>
      </c>
    </row>
    <row r="41" spans="5:68" x14ac:dyDescent="0.3">
      <c r="G41">
        <v>0.1</v>
      </c>
      <c r="H41">
        <v>0.2</v>
      </c>
      <c r="I41">
        <v>0.3</v>
      </c>
      <c r="J41">
        <v>0.4</v>
      </c>
      <c r="K41">
        <v>0.5</v>
      </c>
      <c r="L41">
        <v>0.6</v>
      </c>
      <c r="M41">
        <v>0.7</v>
      </c>
      <c r="N41">
        <v>0.8</v>
      </c>
      <c r="O41">
        <v>0.9</v>
      </c>
      <c r="P41">
        <v>1</v>
      </c>
      <c r="Q41">
        <v>2</v>
      </c>
      <c r="R41">
        <v>3</v>
      </c>
      <c r="S41">
        <v>4</v>
      </c>
      <c r="T41">
        <v>5</v>
      </c>
      <c r="AE41">
        <v>0.1</v>
      </c>
      <c r="AF41">
        <v>0.2</v>
      </c>
      <c r="AG41">
        <v>0.3</v>
      </c>
      <c r="AH41">
        <v>0.4</v>
      </c>
      <c r="AI41">
        <v>0.5</v>
      </c>
      <c r="AJ41">
        <v>0.6</v>
      </c>
      <c r="AK41">
        <v>0.7</v>
      </c>
      <c r="AL41">
        <v>0.8</v>
      </c>
      <c r="AM41">
        <v>0.9</v>
      </c>
      <c r="AN41">
        <v>1</v>
      </c>
      <c r="AO41">
        <v>2</v>
      </c>
      <c r="AP41">
        <v>3</v>
      </c>
      <c r="AQ41">
        <v>4</v>
      </c>
      <c r="AR41">
        <v>5</v>
      </c>
      <c r="BC41">
        <v>0.1</v>
      </c>
      <c r="BD41">
        <v>0.2</v>
      </c>
      <c r="BE41">
        <v>0.3</v>
      </c>
      <c r="BF41">
        <v>0.4</v>
      </c>
      <c r="BG41">
        <v>0.5</v>
      </c>
      <c r="BH41">
        <v>0.6</v>
      </c>
      <c r="BI41">
        <v>0.7</v>
      </c>
      <c r="BJ41">
        <v>0.8</v>
      </c>
      <c r="BK41">
        <v>0.9</v>
      </c>
      <c r="BL41">
        <v>1</v>
      </c>
      <c r="BM41">
        <v>2</v>
      </c>
      <c r="BN41">
        <v>3</v>
      </c>
      <c r="BO41">
        <v>4</v>
      </c>
      <c r="BP41">
        <v>5</v>
      </c>
    </row>
    <row r="42" spans="5:68" x14ac:dyDescent="0.3">
      <c r="E42" t="s">
        <v>5</v>
      </c>
      <c r="F42">
        <v>60</v>
      </c>
      <c r="G42">
        <f>vega($D2,$A$2,G$1,$B$2,$C$9,$C$2)</f>
        <v>1.2192972423667532E-18</v>
      </c>
      <c r="H42">
        <f t="shared" ref="H42:T42" si="27">vega($D2,$A$2,H$1,$B$2,$C$9,$C$2)</f>
        <v>9.1810246195955689E-12</v>
      </c>
      <c r="I42">
        <f t="shared" si="27"/>
        <v>1.1357574599921799E-9</v>
      </c>
      <c r="J42">
        <f t="shared" si="27"/>
        <v>8.742272639633066E-9</v>
      </c>
      <c r="K42">
        <f t="shared" si="27"/>
        <v>2.1966302417329652E-8</v>
      </c>
      <c r="L42">
        <f t="shared" si="27"/>
        <v>3.1399974801712828E-8</v>
      </c>
      <c r="M42">
        <f t="shared" si="27"/>
        <v>3.2439374904714386E-8</v>
      </c>
      <c r="N42">
        <f t="shared" si="27"/>
        <v>2.7316073537200023E-8</v>
      </c>
      <c r="O42">
        <f t="shared" si="27"/>
        <v>2.0050769789958343E-8</v>
      </c>
      <c r="P42">
        <f t="shared" si="27"/>
        <v>1.3359708977762E-8</v>
      </c>
      <c r="Q42">
        <f t="shared" si="27"/>
        <v>2.6211935641858414E-11</v>
      </c>
      <c r="R42">
        <f t="shared" si="27"/>
        <v>1.5015508538111817E-14</v>
      </c>
      <c r="S42">
        <f t="shared" si="27"/>
        <v>6.1795491766720743E-18</v>
      </c>
      <c r="T42">
        <f t="shared" si="27"/>
        <v>2.2087166287399272E-21</v>
      </c>
      <c r="AD42">
        <v>60</v>
      </c>
      <c r="AE42">
        <f>vega($AD2,$A$2,AE$1,$B$2,0,$C$3)</f>
        <v>1.6758285024227175E-225</v>
      </c>
      <c r="AF42">
        <f t="shared" ref="AF42:AR42" si="28">vega($AD2,$A$2,AF$1,$B$2,0,$C$3)</f>
        <v>5.0080789535908853E-112</v>
      </c>
      <c r="AG42">
        <f t="shared" si="28"/>
        <v>3.6471989721028159E-74</v>
      </c>
      <c r="AH42">
        <f t="shared" si="28"/>
        <v>3.2433999170986793E-55</v>
      </c>
      <c r="AI42">
        <f t="shared" si="28"/>
        <v>7.7796272758719443E-44</v>
      </c>
      <c r="AJ42">
        <f t="shared" si="28"/>
        <v>3.0515360086045999E-36</v>
      </c>
      <c r="AK42">
        <f t="shared" si="28"/>
        <v>8.1916240049176006E-31</v>
      </c>
      <c r="AL42">
        <f t="shared" si="28"/>
        <v>9.741475522216334E-27</v>
      </c>
      <c r="AM42">
        <f t="shared" si="28"/>
        <v>1.4489281862988075E-23</v>
      </c>
      <c r="AN42">
        <f t="shared" si="28"/>
        <v>5.0255364760857769E-21</v>
      </c>
      <c r="AO42">
        <f t="shared" si="28"/>
        <v>1.4904140594479708E-9</v>
      </c>
      <c r="AP42">
        <f t="shared" si="28"/>
        <v>1.0663350535882621E-5</v>
      </c>
      <c r="AQ42">
        <f t="shared" si="28"/>
        <v>9.2925963685156052E-4</v>
      </c>
      <c r="AR42">
        <f t="shared" si="28"/>
        <v>1.3767632349989062E-2</v>
      </c>
      <c r="BB42">
        <v>60</v>
      </c>
      <c r="BC42">
        <f>vega($BB2,$A$2,BC$1,$B$2,0,$C$4)</f>
        <v>0.96230463052797144</v>
      </c>
      <c r="BD42">
        <f t="shared" ref="BD42:BP42" si="29">vega($BB2,$A$2,BD$1,$B$2,0,$C$4)</f>
        <v>4.307488820298782</v>
      </c>
      <c r="BE42">
        <f t="shared" si="29"/>
        <v>7.7070035053036081</v>
      </c>
      <c r="BF42">
        <f t="shared" si="29"/>
        <v>10.715821938961961</v>
      </c>
      <c r="BG42">
        <f t="shared" si="29"/>
        <v>13.352819454915236</v>
      </c>
      <c r="BH42">
        <f t="shared" si="29"/>
        <v>15.684368629118737</v>
      </c>
      <c r="BI42">
        <f t="shared" si="29"/>
        <v>17.768474328533646</v>
      </c>
      <c r="BJ42">
        <f t="shared" si="29"/>
        <v>19.649872195059917</v>
      </c>
      <c r="BK42">
        <f t="shared" si="29"/>
        <v>21.362506994654318</v>
      </c>
      <c r="BL42">
        <f t="shared" si="29"/>
        <v>22.932374022247259</v>
      </c>
      <c r="BM42">
        <f t="shared" si="29"/>
        <v>33.774173476667357</v>
      </c>
      <c r="BN42">
        <f t="shared" si="29"/>
        <v>39.872456510604223</v>
      </c>
      <c r="BO42">
        <f t="shared" si="29"/>
        <v>43.530181167768859</v>
      </c>
      <c r="BP42">
        <f t="shared" si="29"/>
        <v>45.659987292882185</v>
      </c>
    </row>
    <row r="43" spans="5:68" x14ac:dyDescent="0.3">
      <c r="F43">
        <v>65</v>
      </c>
      <c r="G43">
        <f t="shared" ref="G43:T58" si="30">vega($D3,$A$2,G$1,$B$2,$C$9,$C$2)</f>
        <v>7.6134106971560326E-14</v>
      </c>
      <c r="H43">
        <f t="shared" si="30"/>
        <v>5.1593181682202773E-9</v>
      </c>
      <c r="I43">
        <f t="shared" si="30"/>
        <v>1.3275898438496655E-7</v>
      </c>
      <c r="J43">
        <f t="shared" si="30"/>
        <v>4.6605937865314351E-7</v>
      </c>
      <c r="K43">
        <f t="shared" si="30"/>
        <v>7.3113405495622338E-7</v>
      </c>
      <c r="L43">
        <f t="shared" si="30"/>
        <v>7.6345736152970687E-7</v>
      </c>
      <c r="M43">
        <f t="shared" si="30"/>
        <v>6.3024646215574617E-7</v>
      </c>
      <c r="N43">
        <f t="shared" si="30"/>
        <v>4.4853160657077734E-7</v>
      </c>
      <c r="O43">
        <f t="shared" si="30"/>
        <v>2.888543594075872E-7</v>
      </c>
      <c r="P43">
        <f t="shared" si="30"/>
        <v>1.7333383703835529E-7</v>
      </c>
      <c r="Q43">
        <f t="shared" si="30"/>
        <v>2.1232864851197318E-10</v>
      </c>
      <c r="R43">
        <f t="shared" si="30"/>
        <v>1.0395784403694567E-13</v>
      </c>
      <c r="S43">
        <f t="shared" si="30"/>
        <v>3.9552857972782916E-17</v>
      </c>
      <c r="T43">
        <f t="shared" si="30"/>
        <v>1.3486628444684159E-20</v>
      </c>
      <c r="AD43">
        <v>65</v>
      </c>
      <c r="AE43">
        <f t="shared" ref="AE43:AR58" si="31">vega($AD3,$A$2,AE$1,$B$2,0,$C$3)</f>
        <v>3.6910883022247379E-160</v>
      </c>
      <c r="AF43">
        <f t="shared" si="31"/>
        <v>2.0431484016888389E-79</v>
      </c>
      <c r="AG43">
        <f t="shared" si="31"/>
        <v>1.8273545951070782E-52</v>
      </c>
      <c r="AH43">
        <f t="shared" si="31"/>
        <v>5.6948355562841784E-39</v>
      </c>
      <c r="AI43">
        <f t="shared" si="31"/>
        <v>7.2813157647591965E-31</v>
      </c>
      <c r="AJ43">
        <f t="shared" si="31"/>
        <v>1.8776580327831969E-25</v>
      </c>
      <c r="AK43">
        <f t="shared" si="31"/>
        <v>1.3924744749363558E-21</v>
      </c>
      <c r="AL43">
        <f t="shared" si="31"/>
        <v>1.1220995829990245E-18</v>
      </c>
      <c r="AM43">
        <f t="shared" si="31"/>
        <v>2.0569468529196661E-16</v>
      </c>
      <c r="AN43">
        <f t="shared" si="31"/>
        <v>1.3365163655468872E-14</v>
      </c>
      <c r="AO43">
        <f t="shared" si="31"/>
        <v>2.1128524945174249E-6</v>
      </c>
      <c r="AP43">
        <f t="shared" si="31"/>
        <v>1.225686460073706E-3</v>
      </c>
      <c r="AQ43">
        <f t="shared" si="31"/>
        <v>3.0414767965473582E-2</v>
      </c>
      <c r="AR43">
        <f t="shared" si="31"/>
        <v>0.21207219569305943</v>
      </c>
      <c r="BB43">
        <v>65</v>
      </c>
      <c r="BC43">
        <f t="shared" ref="BC43:BP58" si="32">vega($BB3,$A$2,BC$1,$B$2,0,$C$4)</f>
        <v>1.954471666624336</v>
      </c>
      <c r="BD43">
        <f t="shared" si="32"/>
        <v>6.2584111461318184</v>
      </c>
      <c r="BE43">
        <f t="shared" si="32"/>
        <v>10.01459055039151</v>
      </c>
      <c r="BF43">
        <f t="shared" si="32"/>
        <v>13.168217294892413</v>
      </c>
      <c r="BG43">
        <f t="shared" si="32"/>
        <v>15.868167849183843</v>
      </c>
      <c r="BH43">
        <f t="shared" si="32"/>
        <v>18.227302099061273</v>
      </c>
      <c r="BI43">
        <f t="shared" si="32"/>
        <v>20.322541531618239</v>
      </c>
      <c r="BJ43">
        <f t="shared" si="32"/>
        <v>22.207108172769527</v>
      </c>
      <c r="BK43">
        <f t="shared" si="32"/>
        <v>23.919024945967386</v>
      </c>
      <c r="BL43">
        <f t="shared" si="32"/>
        <v>25.486338730225579</v>
      </c>
      <c r="BM43">
        <f t="shared" si="32"/>
        <v>36.299068219610071</v>
      </c>
      <c r="BN43">
        <f t="shared" si="32"/>
        <v>42.377419861064531</v>
      </c>
      <c r="BO43">
        <f t="shared" si="32"/>
        <v>46.007366898245145</v>
      </c>
      <c r="BP43">
        <f t="shared" si="32"/>
        <v>48.096992550038792</v>
      </c>
    </row>
    <row r="44" spans="5:68" x14ac:dyDescent="0.3">
      <c r="F44">
        <v>70</v>
      </c>
      <c r="G44">
        <f t="shared" si="30"/>
        <v>5.0272366895248919E-10</v>
      </c>
      <c r="H44">
        <f t="shared" si="30"/>
        <v>8.8784523389414054E-7</v>
      </c>
      <c r="I44">
        <f t="shared" si="30"/>
        <v>6.7734069940441575E-6</v>
      </c>
      <c r="J44">
        <f t="shared" si="30"/>
        <v>1.2947432313007483E-5</v>
      </c>
      <c r="K44">
        <f t="shared" si="30"/>
        <v>1.4103889562873755E-5</v>
      </c>
      <c r="L44">
        <f t="shared" si="30"/>
        <v>1.1548520017408708E-5</v>
      </c>
      <c r="M44">
        <f t="shared" si="30"/>
        <v>8.0135166884290984E-6</v>
      </c>
      <c r="N44">
        <f t="shared" si="30"/>
        <v>5.0064994136838433E-6</v>
      </c>
      <c r="O44">
        <f t="shared" si="30"/>
        <v>2.913532735238483E-6</v>
      </c>
      <c r="P44">
        <f t="shared" si="30"/>
        <v>1.6122196604148443E-6</v>
      </c>
      <c r="Q44">
        <f t="shared" si="30"/>
        <v>1.3713520041325092E-9</v>
      </c>
      <c r="R44">
        <f t="shared" si="30"/>
        <v>5.9456240357886095E-13</v>
      </c>
      <c r="S44">
        <f t="shared" si="30"/>
        <v>2.1287171741589508E-16</v>
      </c>
      <c r="T44">
        <f t="shared" si="30"/>
        <v>6.9984753279462261E-20</v>
      </c>
      <c r="AD44">
        <v>70</v>
      </c>
      <c r="AE44">
        <f t="shared" si="31"/>
        <v>1.3889027251453938E-109</v>
      </c>
      <c r="AF44">
        <f t="shared" si="31"/>
        <v>3.4812516140436745E-54</v>
      </c>
      <c r="AG44">
        <f t="shared" si="31"/>
        <v>1.1097650246373847E-35</v>
      </c>
      <c r="AH44">
        <f t="shared" si="31"/>
        <v>2.0647893089183854E-26</v>
      </c>
      <c r="AI44">
        <f t="shared" si="31"/>
        <v>7.7125187140438926E-21</v>
      </c>
      <c r="AJ44">
        <f t="shared" si="31"/>
        <v>4.0644090110119284E-17</v>
      </c>
      <c r="AK44">
        <f t="shared" si="31"/>
        <v>1.8720054399945065E-14</v>
      </c>
      <c r="AL44">
        <f t="shared" si="31"/>
        <v>1.876745929230394E-12</v>
      </c>
      <c r="AM44">
        <f t="shared" si="31"/>
        <v>6.8013461312950673E-11</v>
      </c>
      <c r="AN44">
        <f t="shared" si="31"/>
        <v>1.2082151244066692E-9</v>
      </c>
      <c r="AO44">
        <f t="shared" si="31"/>
        <v>5.5799585913203303E-4</v>
      </c>
      <c r="AP44">
        <f t="shared" si="31"/>
        <v>4.6274150669306603E-2</v>
      </c>
      <c r="AQ44">
        <f t="shared" si="31"/>
        <v>0.4341524042944141</v>
      </c>
      <c r="AR44">
        <f t="shared" si="31"/>
        <v>1.6888870934693954</v>
      </c>
      <c r="BB44">
        <v>70</v>
      </c>
      <c r="BC44">
        <f t="shared" si="32"/>
        <v>3.4027518318585601</v>
      </c>
      <c r="BD44">
        <f t="shared" si="32"/>
        <v>8.4066820884654554</v>
      </c>
      <c r="BE44">
        <f t="shared" si="32"/>
        <v>12.338061856815379</v>
      </c>
      <c r="BF44">
        <f t="shared" si="32"/>
        <v>15.537006089228115</v>
      </c>
      <c r="BG44">
        <f t="shared" si="32"/>
        <v>18.243287435816367</v>
      </c>
      <c r="BH44">
        <f t="shared" si="32"/>
        <v>20.596306646146122</v>
      </c>
      <c r="BI44">
        <f t="shared" si="32"/>
        <v>22.681989780487889</v>
      </c>
      <c r="BJ44">
        <f t="shared" si="32"/>
        <v>24.556828012317286</v>
      </c>
      <c r="BK44">
        <f t="shared" si="32"/>
        <v>26.260006743804094</v>
      </c>
      <c r="BL44">
        <f t="shared" si="32"/>
        <v>27.819908239990699</v>
      </c>
      <c r="BM44">
        <f t="shared" si="32"/>
        <v>38.608211436851477</v>
      </c>
      <c r="BN44">
        <f t="shared" si="32"/>
        <v>44.685234193903163</v>
      </c>
      <c r="BO44">
        <f t="shared" si="32"/>
        <v>48.303607426659838</v>
      </c>
      <c r="BP44">
        <f t="shared" si="32"/>
        <v>50.366724161933682</v>
      </c>
    </row>
    <row r="45" spans="5:68" x14ac:dyDescent="0.3">
      <c r="F45">
        <v>75</v>
      </c>
      <c r="G45">
        <f t="shared" si="30"/>
        <v>5.265762391608441E-7</v>
      </c>
      <c r="H45">
        <f t="shared" si="30"/>
        <v>5.7780442984173472E-5</v>
      </c>
      <c r="I45">
        <f t="shared" si="30"/>
        <v>1.74590789675235E-4</v>
      </c>
      <c r="J45">
        <f t="shared" si="30"/>
        <v>2.1003084793222307E-4</v>
      </c>
      <c r="K45">
        <f t="shared" si="30"/>
        <v>1.7328840425134283E-4</v>
      </c>
      <c r="L45">
        <f t="shared" si="30"/>
        <v>1.1789925121491708E-4</v>
      </c>
      <c r="M45">
        <f t="shared" si="30"/>
        <v>7.1671503039055613E-5</v>
      </c>
      <c r="N45">
        <f t="shared" si="30"/>
        <v>4.0547261182160328E-5</v>
      </c>
      <c r="O45">
        <f t="shared" si="30"/>
        <v>2.1843797245063702E-5</v>
      </c>
      <c r="P45">
        <f t="shared" si="30"/>
        <v>1.1363631749640747E-5</v>
      </c>
      <c r="Q45">
        <f t="shared" si="30"/>
        <v>7.321044582341053E-9</v>
      </c>
      <c r="R45">
        <f t="shared" si="30"/>
        <v>2.8933342327290534E-12</v>
      </c>
      <c r="S45">
        <f t="shared" si="30"/>
        <v>9.8902587473763568E-16</v>
      </c>
      <c r="T45">
        <f t="shared" si="30"/>
        <v>3.1624687472534244E-19</v>
      </c>
      <c r="AD45">
        <v>75</v>
      </c>
      <c r="AE45">
        <f t="shared" si="31"/>
        <v>4.4856665054077815E-71</v>
      </c>
      <c r="AF45">
        <f t="shared" si="31"/>
        <v>5.5446910078572016E-35</v>
      </c>
      <c r="AG45">
        <f t="shared" si="31"/>
        <v>6.481893576659429E-23</v>
      </c>
      <c r="AH45">
        <f t="shared" si="31"/>
        <v>7.3031642726997771E-17</v>
      </c>
      <c r="AI45">
        <f t="shared" si="31"/>
        <v>3.1998545349573048E-13</v>
      </c>
      <c r="AJ45">
        <f t="shared" si="31"/>
        <v>8.7055696809094287E-11</v>
      </c>
      <c r="AK45">
        <f t="shared" si="31"/>
        <v>4.8275337111328201E-9</v>
      </c>
      <c r="AL45">
        <f t="shared" si="31"/>
        <v>9.8920773801048415E-8</v>
      </c>
      <c r="AM45">
        <f t="shared" si="31"/>
        <v>1.0427278593322643E-6</v>
      </c>
      <c r="AN45">
        <f t="shared" si="31"/>
        <v>6.8972446260957042E-6</v>
      </c>
      <c r="AO45">
        <f t="shared" si="31"/>
        <v>3.7364658381935957E-2</v>
      </c>
      <c r="AP45">
        <f t="shared" si="31"/>
        <v>0.70404657314405528</v>
      </c>
      <c r="AQ45">
        <f t="shared" si="31"/>
        <v>3.148629712907304</v>
      </c>
      <c r="AR45">
        <f t="shared" si="31"/>
        <v>7.852534690418997</v>
      </c>
      <c r="BB45">
        <v>75</v>
      </c>
      <c r="BC45">
        <f t="shared" si="32"/>
        <v>5.2227243386330793</v>
      </c>
      <c r="BD45">
        <f t="shared" si="32"/>
        <v>10.589671886559563</v>
      </c>
      <c r="BE45">
        <f t="shared" si="32"/>
        <v>14.551301540052556</v>
      </c>
      <c r="BF45">
        <f t="shared" si="32"/>
        <v>17.730490162865959</v>
      </c>
      <c r="BG45">
        <f t="shared" si="32"/>
        <v>20.411532462398938</v>
      </c>
      <c r="BH45">
        <f t="shared" si="32"/>
        <v>22.742660267217438</v>
      </c>
      <c r="BI45">
        <f t="shared" si="32"/>
        <v>24.811151738458545</v>
      </c>
      <c r="BJ45">
        <f t="shared" si="32"/>
        <v>26.673096590014932</v>
      </c>
      <c r="BK45">
        <f t="shared" si="32"/>
        <v>28.366935453217923</v>
      </c>
      <c r="BL45">
        <f t="shared" si="32"/>
        <v>29.920332460162221</v>
      </c>
      <c r="BM45">
        <f t="shared" si="32"/>
        <v>40.710788113672884</v>
      </c>
      <c r="BN45">
        <f t="shared" si="32"/>
        <v>46.809453101064946</v>
      </c>
      <c r="BO45">
        <f t="shared" si="32"/>
        <v>50.433481085808175</v>
      </c>
      <c r="BP45">
        <f t="shared" si="32"/>
        <v>52.483766596450153</v>
      </c>
    </row>
    <row r="46" spans="5:68" x14ac:dyDescent="0.3">
      <c r="F46">
        <v>80</v>
      </c>
      <c r="G46">
        <f t="shared" si="30"/>
        <v>1.1988550813898705E-4</v>
      </c>
      <c r="H46">
        <f t="shared" si="30"/>
        <v>1.6758085757924929E-3</v>
      </c>
      <c r="I46">
        <f t="shared" si="30"/>
        <v>2.5478718147884469E-3</v>
      </c>
      <c r="J46">
        <f t="shared" si="30"/>
        <v>2.1741809334759532E-3</v>
      </c>
      <c r="K46">
        <f t="shared" si="30"/>
        <v>1.4598085763640781E-3</v>
      </c>
      <c r="L46">
        <f t="shared" si="30"/>
        <v>8.6572507356607253E-4</v>
      </c>
      <c r="M46">
        <f t="shared" si="30"/>
        <v>4.7709294056472E-4</v>
      </c>
      <c r="N46">
        <f t="shared" si="30"/>
        <v>2.5076022427159787E-4</v>
      </c>
      <c r="O46">
        <f t="shared" si="30"/>
        <v>1.2757570797325117E-4</v>
      </c>
      <c r="P46">
        <f t="shared" si="30"/>
        <v>6.3397361285275639E-5</v>
      </c>
      <c r="Q46">
        <f t="shared" si="30"/>
        <v>3.3238459954274095E-8</v>
      </c>
      <c r="R46">
        <f t="shared" si="30"/>
        <v>1.2264157454121577E-11</v>
      </c>
      <c r="S46">
        <f t="shared" si="30"/>
        <v>4.0507216486623279E-15</v>
      </c>
      <c r="T46">
        <f t="shared" si="30"/>
        <v>1.2688268806365804E-18</v>
      </c>
      <c r="AD46">
        <v>80</v>
      </c>
      <c r="AE46">
        <f t="shared" si="31"/>
        <v>1.5463467374725201E-42</v>
      </c>
      <c r="AF46">
        <f t="shared" si="31"/>
        <v>9.1953239259466592E-21</v>
      </c>
      <c r="AG46">
        <f t="shared" si="31"/>
        <v>1.8146582241494381E-13</v>
      </c>
      <c r="AH46">
        <f t="shared" si="31"/>
        <v>8.4005098448923495E-10</v>
      </c>
      <c r="AI46">
        <f t="shared" si="31"/>
        <v>1.3619017871160354E-7</v>
      </c>
      <c r="AJ46">
        <f t="shared" si="31"/>
        <v>4.1142758098627221E-6</v>
      </c>
      <c r="AK46">
        <f t="shared" si="31"/>
        <v>4.7470301194506034E-5</v>
      </c>
      <c r="AL46">
        <f t="shared" si="31"/>
        <v>2.9966396836252204E-4</v>
      </c>
      <c r="AM46">
        <f t="shared" si="31"/>
        <v>1.2641587169712617E-3</v>
      </c>
      <c r="AN46">
        <f t="shared" si="31"/>
        <v>4.0191400536374895E-3</v>
      </c>
      <c r="AO46">
        <f t="shared" si="31"/>
        <v>0.80563718810285745</v>
      </c>
      <c r="AP46">
        <f t="shared" si="31"/>
        <v>5.0584819437784114</v>
      </c>
      <c r="AQ46">
        <f t="shared" si="31"/>
        <v>13.059019419386821</v>
      </c>
      <c r="AR46">
        <f t="shared" si="31"/>
        <v>23.421836216512464</v>
      </c>
      <c r="BB46">
        <v>80</v>
      </c>
      <c r="BC46">
        <f t="shared" si="32"/>
        <v>7.2224147382489443</v>
      </c>
      <c r="BD46">
        <f t="shared" si="32"/>
        <v>12.648330366567395</v>
      </c>
      <c r="BE46">
        <f t="shared" si="32"/>
        <v>16.551638635300861</v>
      </c>
      <c r="BF46">
        <f t="shared" si="32"/>
        <v>19.681315661671697</v>
      </c>
      <c r="BG46">
        <f t="shared" si="32"/>
        <v>22.32777950422749</v>
      </c>
      <c r="BH46">
        <f t="shared" si="32"/>
        <v>24.635925284788122</v>
      </c>
      <c r="BI46">
        <f t="shared" si="32"/>
        <v>26.689738523025984</v>
      </c>
      <c r="BJ46">
        <f t="shared" si="32"/>
        <v>28.542904657460671</v>
      </c>
      <c r="BK46">
        <f t="shared" si="32"/>
        <v>30.232183937164713</v>
      </c>
      <c r="BL46">
        <f t="shared" si="32"/>
        <v>31.784063002277151</v>
      </c>
      <c r="BM46">
        <f t="shared" si="32"/>
        <v>42.617605566083277</v>
      </c>
      <c r="BN46">
        <f t="shared" si="32"/>
        <v>48.763172037903232</v>
      </c>
      <c r="BO46">
        <f t="shared" si="32"/>
        <v>52.410312615364838</v>
      </c>
      <c r="BP46">
        <f t="shared" si="32"/>
        <v>54.461105621237266</v>
      </c>
    </row>
    <row r="47" spans="5:68" x14ac:dyDescent="0.3">
      <c r="F47">
        <v>85</v>
      </c>
      <c r="G47">
        <f t="shared" si="30"/>
        <v>7.6065579037866001E-3</v>
      </c>
      <c r="H47">
        <f t="shared" si="30"/>
        <v>2.4661282419024856E-2</v>
      </c>
      <c r="I47">
        <f t="shared" si="30"/>
        <v>2.3036972809679555E-2</v>
      </c>
      <c r="J47">
        <f t="shared" si="30"/>
        <v>1.5408906202456748E-2</v>
      </c>
      <c r="K47">
        <f t="shared" si="30"/>
        <v>8.9394132767071782E-3</v>
      </c>
      <c r="L47">
        <f t="shared" si="30"/>
        <v>4.8093282301835284E-3</v>
      </c>
      <c r="M47">
        <f t="shared" si="30"/>
        <v>2.4722189156956269E-3</v>
      </c>
      <c r="N47">
        <f t="shared" si="30"/>
        <v>1.2333241013643269E-3</v>
      </c>
      <c r="O47">
        <f t="shared" si="30"/>
        <v>6.0250123053242233E-4</v>
      </c>
      <c r="P47">
        <f t="shared" si="30"/>
        <v>2.8983994529767484E-4</v>
      </c>
      <c r="Q47">
        <f t="shared" si="30"/>
        <v>1.3130006054102858E-7</v>
      </c>
      <c r="R47">
        <f t="shared" si="30"/>
        <v>4.614316813264894E-11</v>
      </c>
      <c r="S47">
        <f t="shared" si="30"/>
        <v>1.48739022186757E-14</v>
      </c>
      <c r="T47">
        <f t="shared" si="30"/>
        <v>4.5914365751979485E-18</v>
      </c>
      <c r="AD47">
        <v>85</v>
      </c>
      <c r="AE47">
        <f t="shared" si="31"/>
        <v>2.5428646619682372E-22</v>
      </c>
      <c r="AF47">
        <f t="shared" si="31"/>
        <v>1.0604728935673611E-10</v>
      </c>
      <c r="AG47">
        <f t="shared" si="31"/>
        <v>8.6304367148573354E-7</v>
      </c>
      <c r="AH47">
        <f t="shared" si="31"/>
        <v>8.1132764072720318E-5</v>
      </c>
      <c r="AI47">
        <f t="shared" si="31"/>
        <v>1.269486345996779E-3</v>
      </c>
      <c r="AJ47">
        <f t="shared" si="31"/>
        <v>8.0693160357619559E-3</v>
      </c>
      <c r="AK47">
        <f t="shared" si="31"/>
        <v>3.0580001955184486E-2</v>
      </c>
      <c r="AL47">
        <f t="shared" si="31"/>
        <v>8.3753737625620578E-2</v>
      </c>
      <c r="AM47">
        <f t="shared" si="31"/>
        <v>0.18454971987628208</v>
      </c>
      <c r="AN47">
        <f t="shared" si="31"/>
        <v>0.34897845821574625</v>
      </c>
      <c r="AO47">
        <f t="shared" si="31"/>
        <v>6.7514429458556355</v>
      </c>
      <c r="AP47">
        <f t="shared" si="31"/>
        <v>19.444995198611231</v>
      </c>
      <c r="AQ47">
        <f t="shared" si="31"/>
        <v>33.998790971782284</v>
      </c>
      <c r="AR47">
        <f t="shared" si="31"/>
        <v>48.265077423782351</v>
      </c>
      <c r="BB47">
        <v>85</v>
      </c>
      <c r="BC47">
        <f t="shared" si="32"/>
        <v>9.1545572686096257</v>
      </c>
      <c r="BD47">
        <f t="shared" si="32"/>
        <v>14.449701026567132</v>
      </c>
      <c r="BE47">
        <f t="shared" si="32"/>
        <v>18.265163731175299</v>
      </c>
      <c r="BF47">
        <f t="shared" si="32"/>
        <v>21.345933738012619</v>
      </c>
      <c r="BG47">
        <f t="shared" si="32"/>
        <v>23.965894246386764</v>
      </c>
      <c r="BH47">
        <f t="shared" si="32"/>
        <v>26.260824951241073</v>
      </c>
      <c r="BI47">
        <f t="shared" si="32"/>
        <v>28.309669099705641</v>
      </c>
      <c r="BJ47">
        <f t="shared" si="32"/>
        <v>30.163163036363223</v>
      </c>
      <c r="BK47">
        <f t="shared" si="32"/>
        <v>31.856249589376972</v>
      </c>
      <c r="BL47">
        <f t="shared" si="32"/>
        <v>33.414245916618789</v>
      </c>
      <c r="BM47">
        <f t="shared" si="32"/>
        <v>44.340273854914834</v>
      </c>
      <c r="BN47">
        <f t="shared" si="32"/>
        <v>50.558824203247347</v>
      </c>
      <c r="BO47">
        <f t="shared" si="32"/>
        <v>54.246236442737327</v>
      </c>
      <c r="BP47">
        <f t="shared" si="32"/>
        <v>56.310323656250681</v>
      </c>
    </row>
    <row r="48" spans="5:68" x14ac:dyDescent="0.3">
      <c r="F48">
        <v>90</v>
      </c>
      <c r="G48">
        <f t="shared" si="30"/>
        <v>0.16408985280314967</v>
      </c>
      <c r="H48">
        <f t="shared" si="30"/>
        <v>0.2043154539230366</v>
      </c>
      <c r="I48">
        <f t="shared" si="30"/>
        <v>0.13873146526736374</v>
      </c>
      <c r="J48">
        <f t="shared" si="30"/>
        <v>7.9114006161354E-2</v>
      </c>
      <c r="K48">
        <f t="shared" si="30"/>
        <v>4.1709000419884866E-2</v>
      </c>
      <c r="L48">
        <f t="shared" si="30"/>
        <v>2.105222413292478E-2</v>
      </c>
      <c r="M48">
        <f t="shared" si="30"/>
        <v>1.033974040729861E-2</v>
      </c>
      <c r="N48">
        <f t="shared" si="30"/>
        <v>4.9849038543155382E-3</v>
      </c>
      <c r="O48">
        <f t="shared" si="30"/>
        <v>2.3713346087440206E-3</v>
      </c>
      <c r="P48">
        <f t="shared" si="30"/>
        <v>1.1167537190053033E-3</v>
      </c>
      <c r="Q48">
        <f t="shared" si="30"/>
        <v>4.5973047728311392E-7</v>
      </c>
      <c r="R48">
        <f t="shared" si="30"/>
        <v>1.5649201373429998E-10</v>
      </c>
      <c r="S48">
        <f t="shared" si="30"/>
        <v>4.9645843283883606E-14</v>
      </c>
      <c r="T48">
        <f t="shared" si="30"/>
        <v>1.5179255791504562E-17</v>
      </c>
      <c r="AD48">
        <v>90</v>
      </c>
      <c r="AE48">
        <f t="shared" si="31"/>
        <v>4.1485504275927693E-9</v>
      </c>
      <c r="AF48">
        <f t="shared" si="31"/>
        <v>3.875652802050222E-4</v>
      </c>
      <c r="AG48">
        <f t="shared" si="31"/>
        <v>1.9155880507848232E-2</v>
      </c>
      <c r="AH48">
        <f t="shared" si="31"/>
        <v>0.14033876374550142</v>
      </c>
      <c r="AI48">
        <f t="shared" si="31"/>
        <v>0.47493767856929103</v>
      </c>
      <c r="AJ48">
        <f t="shared" si="31"/>
        <v>1.0877525923178075</v>
      </c>
      <c r="AK48">
        <f t="shared" si="31"/>
        <v>1.9882784452336804</v>
      </c>
      <c r="AL48">
        <f t="shared" si="31"/>
        <v>3.1517634355565813</v>
      </c>
      <c r="AM48">
        <f t="shared" si="31"/>
        <v>4.5388741792401737</v>
      </c>
      <c r="AN48">
        <f t="shared" si="31"/>
        <v>6.1074742355621767</v>
      </c>
      <c r="AO48">
        <f t="shared" si="31"/>
        <v>25.555644752535155</v>
      </c>
      <c r="AP48">
        <f t="shared" si="31"/>
        <v>44.181503026914179</v>
      </c>
      <c r="AQ48">
        <f t="shared" si="31"/>
        <v>59.85043649707535</v>
      </c>
      <c r="AR48">
        <f t="shared" si="31"/>
        <v>72.902022594885224</v>
      </c>
      <c r="BB48">
        <v>90</v>
      </c>
      <c r="BC48">
        <f t="shared" si="32"/>
        <v>10.782426873320036</v>
      </c>
      <c r="BD48">
        <f t="shared" si="32"/>
        <v>15.899508198910276</v>
      </c>
      <c r="BE48">
        <f t="shared" si="32"/>
        <v>19.647031915270468</v>
      </c>
      <c r="BF48">
        <f t="shared" si="32"/>
        <v>22.701931746464219</v>
      </c>
      <c r="BG48">
        <f t="shared" si="32"/>
        <v>25.315462181929956</v>
      </c>
      <c r="BH48">
        <f t="shared" si="32"/>
        <v>27.614062097535339</v>
      </c>
      <c r="BI48">
        <f t="shared" si="32"/>
        <v>29.672174586335316</v>
      </c>
      <c r="BJ48">
        <f t="shared" si="32"/>
        <v>31.538130924091949</v>
      </c>
      <c r="BK48">
        <f t="shared" si="32"/>
        <v>33.245491771367753</v>
      </c>
      <c r="BL48">
        <f t="shared" si="32"/>
        <v>34.818737302515053</v>
      </c>
      <c r="BM48">
        <f t="shared" si="32"/>
        <v>45.890658479906683</v>
      </c>
      <c r="BN48">
        <f t="shared" si="32"/>
        <v>52.208082036725052</v>
      </c>
      <c r="BO48">
        <f t="shared" si="32"/>
        <v>55.952283259126773</v>
      </c>
      <c r="BP48">
        <f t="shared" si="32"/>
        <v>58.041774436901903</v>
      </c>
    </row>
    <row r="49" spans="5:68" x14ac:dyDescent="0.3">
      <c r="F49">
        <v>95</v>
      </c>
      <c r="G49">
        <f t="shared" si="30"/>
        <v>1.413755499992039</v>
      </c>
      <c r="H49">
        <f t="shared" si="30"/>
        <v>1.0367966931649544</v>
      </c>
      <c r="I49">
        <f t="shared" si="30"/>
        <v>0.59011134112949115</v>
      </c>
      <c r="J49">
        <f t="shared" si="30"/>
        <v>0.30810281445789373</v>
      </c>
      <c r="K49">
        <f t="shared" si="30"/>
        <v>0.15405721800727645</v>
      </c>
      <c r="L49">
        <f t="shared" si="30"/>
        <v>7.5062595029507684E-2</v>
      </c>
      <c r="M49">
        <f t="shared" si="30"/>
        <v>3.5949064766894467E-2</v>
      </c>
      <c r="N49">
        <f t="shared" si="30"/>
        <v>1.7006855674663549E-2</v>
      </c>
      <c r="O49">
        <f t="shared" si="30"/>
        <v>7.9721224916092636E-3</v>
      </c>
      <c r="P49">
        <f t="shared" si="30"/>
        <v>3.7104760910083444E-3</v>
      </c>
      <c r="Q49">
        <f t="shared" si="30"/>
        <v>1.448723504344582E-6</v>
      </c>
      <c r="R49">
        <f t="shared" si="30"/>
        <v>4.8451926498928174E-10</v>
      </c>
      <c r="S49">
        <f t="shared" si="30"/>
        <v>1.5235969434972553E-13</v>
      </c>
      <c r="T49">
        <f t="shared" si="30"/>
        <v>4.6338148634350168E-17</v>
      </c>
      <c r="AD49">
        <v>95</v>
      </c>
      <c r="AE49">
        <f t="shared" si="31"/>
        <v>7.8076222991990671E-2</v>
      </c>
      <c r="AF49">
        <f t="shared" si="31"/>
        <v>1.5295516875513984</v>
      </c>
      <c r="AG49">
        <f t="shared" si="31"/>
        <v>4.491454830130003</v>
      </c>
      <c r="AH49">
        <f t="shared" si="31"/>
        <v>8.0203879428807348</v>
      </c>
      <c r="AI49">
        <f t="shared" si="31"/>
        <v>11.636276737342142</v>
      </c>
      <c r="AJ49">
        <f t="shared" si="31"/>
        <v>15.152373528230443</v>
      </c>
      <c r="AK49">
        <f t="shared" si="31"/>
        <v>18.504003054306274</v>
      </c>
      <c r="AL49">
        <f t="shared" si="31"/>
        <v>21.675571632215437</v>
      </c>
      <c r="AM49">
        <f t="shared" si="31"/>
        <v>24.671026854396459</v>
      </c>
      <c r="AN49">
        <f t="shared" si="31"/>
        <v>27.501629935949271</v>
      </c>
      <c r="AO49">
        <f t="shared" si="31"/>
        <v>49.333658116012764</v>
      </c>
      <c r="AP49">
        <f t="shared" si="31"/>
        <v>64.310742831003296</v>
      </c>
      <c r="AQ49">
        <f t="shared" si="31"/>
        <v>75.649078664943588</v>
      </c>
      <c r="AR49">
        <f t="shared" si="31"/>
        <v>84.662651787363259</v>
      </c>
      <c r="BB49">
        <v>95</v>
      </c>
      <c r="BC49">
        <f t="shared" si="32"/>
        <v>11.932640162519261</v>
      </c>
      <c r="BD49">
        <f t="shared" si="32"/>
        <v>16.945533858674747</v>
      </c>
      <c r="BE49">
        <f t="shared" si="32"/>
        <v>20.678499850322464</v>
      </c>
      <c r="BF49">
        <f t="shared" si="32"/>
        <v>23.744342549581454</v>
      </c>
      <c r="BG49">
        <f t="shared" si="32"/>
        <v>26.378393965610581</v>
      </c>
      <c r="BH49">
        <f t="shared" si="32"/>
        <v>28.701387322171158</v>
      </c>
      <c r="BI49">
        <f t="shared" si="32"/>
        <v>30.785305660886817</v>
      </c>
      <c r="BJ49">
        <f t="shared" si="32"/>
        <v>32.677300547697889</v>
      </c>
      <c r="BK49">
        <f t="shared" si="32"/>
        <v>34.410331651995044</v>
      </c>
      <c r="BL49">
        <f t="shared" si="32"/>
        <v>36.008565078378339</v>
      </c>
      <c r="BM49">
        <f t="shared" si="32"/>
        <v>47.280519682822373</v>
      </c>
      <c r="BN49">
        <f t="shared" si="32"/>
        <v>53.721823085123916</v>
      </c>
      <c r="BO49">
        <f t="shared" si="32"/>
        <v>57.538474412588819</v>
      </c>
      <c r="BP49">
        <f t="shared" si="32"/>
        <v>59.66473631899806</v>
      </c>
    </row>
    <row r="50" spans="5:68" x14ac:dyDescent="0.3">
      <c r="F50">
        <v>100</v>
      </c>
      <c r="G50">
        <f t="shared" si="30"/>
        <v>5.5500897915570393</v>
      </c>
      <c r="H50">
        <f t="shared" si="30"/>
        <v>3.4530665681229982</v>
      </c>
      <c r="I50">
        <f t="shared" si="30"/>
        <v>1.8605464792490674</v>
      </c>
      <c r="J50">
        <f t="shared" si="30"/>
        <v>0.94514803481998677</v>
      </c>
      <c r="K50">
        <f t="shared" si="30"/>
        <v>0.46488419961413363</v>
      </c>
      <c r="L50">
        <f t="shared" si="30"/>
        <v>0.22403989078969699</v>
      </c>
      <c r="M50">
        <f t="shared" si="30"/>
        <v>0.10646054635961327</v>
      </c>
      <c r="N50">
        <f t="shared" si="30"/>
        <v>5.0069656008595087E-2</v>
      </c>
      <c r="O50">
        <f t="shared" si="30"/>
        <v>2.3363656499356539E-2</v>
      </c>
      <c r="P50">
        <f t="shared" si="30"/>
        <v>1.0834515651407367E-2</v>
      </c>
      <c r="Q50">
        <f t="shared" si="30"/>
        <v>4.1612512114256396E-6</v>
      </c>
      <c r="R50">
        <f t="shared" si="30"/>
        <v>1.3841048791595308E-9</v>
      </c>
      <c r="S50">
        <f t="shared" si="30"/>
        <v>4.340480439217218E-13</v>
      </c>
      <c r="T50">
        <f t="shared" si="30"/>
        <v>1.3179297008420563E-16</v>
      </c>
      <c r="AD50">
        <v>100</v>
      </c>
      <c r="AE50">
        <f t="shared" si="31"/>
        <v>12.583769595744091</v>
      </c>
      <c r="AF50">
        <f t="shared" si="31"/>
        <v>17.751148118577877</v>
      </c>
      <c r="AG50">
        <f t="shared" si="31"/>
        <v>21.685666245713325</v>
      </c>
      <c r="AH50">
        <f t="shared" si="31"/>
        <v>24.977147001014568</v>
      </c>
      <c r="AI50">
        <f t="shared" si="31"/>
        <v>27.854702761735147</v>
      </c>
      <c r="AJ50">
        <f t="shared" si="31"/>
        <v>30.436158955047052</v>
      </c>
      <c r="AK50">
        <f t="shared" si="31"/>
        <v>32.791699876266655</v>
      </c>
      <c r="AL50">
        <f t="shared" si="31"/>
        <v>34.967178945798814</v>
      </c>
      <c r="AM50">
        <f t="shared" si="31"/>
        <v>36.994532999413366</v>
      </c>
      <c r="AN50">
        <f t="shared" si="31"/>
        <v>38.897078803674944</v>
      </c>
      <c r="AO50">
        <f t="shared" si="31"/>
        <v>53.633841658164215</v>
      </c>
      <c r="AP50">
        <f t="shared" si="31"/>
        <v>64.045918145093665</v>
      </c>
      <c r="AQ50">
        <f t="shared" si="31"/>
        <v>72.105392492329585</v>
      </c>
      <c r="AR50">
        <f t="shared" si="31"/>
        <v>78.601289802415735</v>
      </c>
      <c r="BB50">
        <v>100</v>
      </c>
      <c r="BC50">
        <f t="shared" si="32"/>
        <v>12.520896485698522</v>
      </c>
      <c r="BD50">
        <f t="shared" si="32"/>
        <v>17.574208810498856</v>
      </c>
      <c r="BE50">
        <f t="shared" si="32"/>
        <v>21.362239069595265</v>
      </c>
      <c r="BF50">
        <f t="shared" si="32"/>
        <v>24.481695877609376</v>
      </c>
      <c r="BG50">
        <f t="shared" si="32"/>
        <v>27.165760306167765</v>
      </c>
      <c r="BH50">
        <f t="shared" si="32"/>
        <v>29.53505927113055</v>
      </c>
      <c r="BI50">
        <f t="shared" si="32"/>
        <v>31.661872875433232</v>
      </c>
      <c r="BJ50">
        <f t="shared" si="32"/>
        <v>33.593707277281972</v>
      </c>
      <c r="BK50">
        <f t="shared" si="32"/>
        <v>35.363851167769937</v>
      </c>
      <c r="BL50">
        <f t="shared" si="32"/>
        <v>36.996757138379763</v>
      </c>
      <c r="BM50">
        <f t="shared" si="32"/>
        <v>48.521280033182094</v>
      </c>
      <c r="BN50">
        <f t="shared" si="32"/>
        <v>55.110134609406984</v>
      </c>
      <c r="BO50">
        <f t="shared" si="32"/>
        <v>59.013915839892036</v>
      </c>
      <c r="BP50">
        <f t="shared" si="32"/>
        <v>61.187545539749706</v>
      </c>
    </row>
    <row r="51" spans="5:68" x14ac:dyDescent="0.3">
      <c r="F51">
        <v>105</v>
      </c>
      <c r="G51">
        <f t="shared" si="30"/>
        <v>11.070178992684804</v>
      </c>
      <c r="H51">
        <f t="shared" si="30"/>
        <v>7.9923394447999092</v>
      </c>
      <c r="I51">
        <f t="shared" si="30"/>
        <v>4.5253023988681313</v>
      </c>
      <c r="J51">
        <f t="shared" si="30"/>
        <v>2.3565462824813741</v>
      </c>
      <c r="K51">
        <f t="shared" si="30"/>
        <v>1.1764740640576847</v>
      </c>
      <c r="L51">
        <f t="shared" si="30"/>
        <v>0.57262531853991572</v>
      </c>
      <c r="M51">
        <f t="shared" si="30"/>
        <v>0.27403798020296127</v>
      </c>
      <c r="N51">
        <f t="shared" si="30"/>
        <v>0.12956996152143777</v>
      </c>
      <c r="O51">
        <f t="shared" si="30"/>
        <v>6.0710719134902287E-2</v>
      </c>
      <c r="P51">
        <f t="shared" si="30"/>
        <v>2.8246844569542538E-2</v>
      </c>
      <c r="Q51">
        <f t="shared" si="30"/>
        <v>1.1011482860325742E-5</v>
      </c>
      <c r="R51">
        <f t="shared" si="30"/>
        <v>3.6808208756075546E-9</v>
      </c>
      <c r="S51">
        <f t="shared" si="30"/>
        <v>1.1571519531382121E-12</v>
      </c>
      <c r="T51">
        <f t="shared" si="30"/>
        <v>3.5187707892978677E-16</v>
      </c>
      <c r="AD51">
        <v>105</v>
      </c>
      <c r="AE51">
        <f t="shared" si="31"/>
        <v>9.0779847878895939E-2</v>
      </c>
      <c r="AF51">
        <f t="shared" si="31"/>
        <v>1.3843137123646245</v>
      </c>
      <c r="AG51">
        <f t="shared" si="31"/>
        <v>3.7393028098631831</v>
      </c>
      <c r="AH51">
        <f t="shared" si="31"/>
        <v>6.4042104214703253</v>
      </c>
      <c r="AI51">
        <f t="shared" si="31"/>
        <v>9.0615862729007901</v>
      </c>
      <c r="AJ51">
        <f t="shared" si="31"/>
        <v>11.604261404181488</v>
      </c>
      <c r="AK51">
        <f t="shared" si="31"/>
        <v>14.003015218411742</v>
      </c>
      <c r="AL51">
        <f t="shared" si="31"/>
        <v>16.257011174434577</v>
      </c>
      <c r="AM51">
        <f t="shared" si="31"/>
        <v>18.375329707630925</v>
      </c>
      <c r="AN51">
        <f t="shared" si="31"/>
        <v>20.369884380527246</v>
      </c>
      <c r="AO51">
        <f t="shared" si="31"/>
        <v>35.636366826184464</v>
      </c>
      <c r="AP51">
        <f t="shared" si="31"/>
        <v>46.068805371153758</v>
      </c>
      <c r="AQ51">
        <f t="shared" si="31"/>
        <v>53.965192357993637</v>
      </c>
      <c r="AR51">
        <f t="shared" si="31"/>
        <v>60.244020920976638</v>
      </c>
      <c r="BB51">
        <v>105</v>
      </c>
      <c r="BC51">
        <f t="shared" si="32"/>
        <v>12.550579571403768</v>
      </c>
      <c r="BD51">
        <f t="shared" si="32"/>
        <v>17.803235466015071</v>
      </c>
      <c r="BE51">
        <f t="shared" si="32"/>
        <v>21.717084629888365</v>
      </c>
      <c r="BF51">
        <f t="shared" si="32"/>
        <v>24.932283177046209</v>
      </c>
      <c r="BG51">
        <f t="shared" si="32"/>
        <v>27.695033602505013</v>
      </c>
      <c r="BH51">
        <f t="shared" si="32"/>
        <v>30.131739111574209</v>
      </c>
      <c r="BI51">
        <f t="shared" si="32"/>
        <v>32.317797287019395</v>
      </c>
      <c r="BJ51">
        <f t="shared" si="32"/>
        <v>34.30261154092166</v>
      </c>
      <c r="BK51">
        <f t="shared" si="32"/>
        <v>36.120723357844327</v>
      </c>
      <c r="BL51">
        <f t="shared" si="32"/>
        <v>37.797462961570439</v>
      </c>
      <c r="BM51">
        <f t="shared" si="32"/>
        <v>49.623880299060218</v>
      </c>
      <c r="BN51">
        <f t="shared" si="32"/>
        <v>56.382340873483813</v>
      </c>
      <c r="BO51">
        <f t="shared" si="32"/>
        <v>60.386887294232508</v>
      </c>
      <c r="BP51">
        <f t="shared" si="32"/>
        <v>62.617711505023955</v>
      </c>
    </row>
    <row r="52" spans="5:68" x14ac:dyDescent="0.3">
      <c r="F52">
        <v>110</v>
      </c>
      <c r="G52">
        <f t="shared" si="30"/>
        <v>12.284538640073603</v>
      </c>
      <c r="H52">
        <f t="shared" si="30"/>
        <v>13.484514314329552</v>
      </c>
      <c r="I52">
        <f t="shared" si="30"/>
        <v>8.7793302732174663</v>
      </c>
      <c r="J52">
        <f t="shared" si="30"/>
        <v>4.9024813685629205</v>
      </c>
      <c r="K52">
        <f t="shared" si="30"/>
        <v>2.5522196822976668</v>
      </c>
      <c r="L52">
        <f t="shared" si="30"/>
        <v>1.2774288529520552</v>
      </c>
      <c r="M52">
        <f t="shared" si="30"/>
        <v>0.62365090999891859</v>
      </c>
      <c r="N52">
        <f t="shared" si="30"/>
        <v>0.29931852954470101</v>
      </c>
      <c r="O52">
        <f t="shared" si="30"/>
        <v>0.1418890943080385</v>
      </c>
      <c r="P52">
        <f t="shared" si="30"/>
        <v>6.663418226644717E-2</v>
      </c>
      <c r="Q52">
        <f t="shared" si="30"/>
        <v>2.708748335103057E-5</v>
      </c>
      <c r="R52">
        <f t="shared" si="30"/>
        <v>9.1819045326227577E-9</v>
      </c>
      <c r="S52">
        <f t="shared" si="30"/>
        <v>2.9067728960457792E-12</v>
      </c>
      <c r="T52">
        <f t="shared" si="30"/>
        <v>8.8762854295584175E-16</v>
      </c>
      <c r="AD52">
        <v>110</v>
      </c>
      <c r="AE52">
        <f t="shared" si="31"/>
        <v>1.1605071748502548E-7</v>
      </c>
      <c r="AF52">
        <f t="shared" si="31"/>
        <v>1.4428054853244728E-3</v>
      </c>
      <c r="AG52">
        <f t="shared" si="31"/>
        <v>3.6408450370398776E-2</v>
      </c>
      <c r="AH52">
        <f t="shared" si="31"/>
        <v>0.19058832765640238</v>
      </c>
      <c r="AI52">
        <f t="shared" si="31"/>
        <v>0.52718910249272966</v>
      </c>
      <c r="AJ52">
        <f t="shared" si="31"/>
        <v>1.0555221641510024</v>
      </c>
      <c r="AK52">
        <f t="shared" si="31"/>
        <v>1.7526914040661699</v>
      </c>
      <c r="AL52">
        <f t="shared" si="31"/>
        <v>2.5852356238396892</v>
      </c>
      <c r="AM52">
        <f t="shared" si="31"/>
        <v>3.5201763898979972</v>
      </c>
      <c r="AN52">
        <f t="shared" si="31"/>
        <v>4.5291190419256946</v>
      </c>
      <c r="AO52">
        <f t="shared" si="31"/>
        <v>15.489952320090657</v>
      </c>
      <c r="AP52">
        <f t="shared" si="31"/>
        <v>25.03844998721366</v>
      </c>
      <c r="AQ52">
        <f t="shared" si="31"/>
        <v>32.797152097068519</v>
      </c>
      <c r="AR52">
        <f t="shared" si="31"/>
        <v>39.151599007727796</v>
      </c>
      <c r="BB52">
        <v>110</v>
      </c>
      <c r="BC52">
        <f t="shared" si="32"/>
        <v>12.092830029717241</v>
      </c>
      <c r="BD52">
        <f t="shared" si="32"/>
        <v>17.672674571600229</v>
      </c>
      <c r="BE52">
        <f t="shared" si="32"/>
        <v>21.772982691248405</v>
      </c>
      <c r="BF52">
        <f t="shared" si="32"/>
        <v>25.120887812537415</v>
      </c>
      <c r="BG52">
        <f t="shared" si="32"/>
        <v>27.987799062242395</v>
      </c>
      <c r="BH52">
        <f t="shared" si="32"/>
        <v>30.51080464374256</v>
      </c>
      <c r="BI52">
        <f t="shared" si="32"/>
        <v>32.770824369897689</v>
      </c>
      <c r="BJ52">
        <f t="shared" si="32"/>
        <v>34.820492751690161</v>
      </c>
      <c r="BK52">
        <f t="shared" si="32"/>
        <v>36.696410722795299</v>
      </c>
      <c r="BL52">
        <f t="shared" si="32"/>
        <v>38.425306152769785</v>
      </c>
      <c r="BM52">
        <f t="shared" si="32"/>
        <v>50.598695997361673</v>
      </c>
      <c r="BN52">
        <f t="shared" si="32"/>
        <v>57.54704300925011</v>
      </c>
      <c r="BO52">
        <f t="shared" si="32"/>
        <v>61.66492489571273</v>
      </c>
      <c r="BP52">
        <f t="shared" si="32"/>
        <v>63.96201634281212</v>
      </c>
    </row>
    <row r="53" spans="5:68" x14ac:dyDescent="0.3">
      <c r="F53">
        <v>115</v>
      </c>
      <c r="G53">
        <f t="shared" si="30"/>
        <v>8.1851240978232873</v>
      </c>
      <c r="H53">
        <f t="shared" si="30"/>
        <v>17.263673499719935</v>
      </c>
      <c r="I53">
        <f t="shared" si="30"/>
        <v>13.973433150140398</v>
      </c>
      <c r="J53">
        <f t="shared" si="30"/>
        <v>8.7002073018750625</v>
      </c>
      <c r="K53">
        <f t="shared" si="30"/>
        <v>4.8349818846583155</v>
      </c>
      <c r="L53">
        <f t="shared" si="30"/>
        <v>2.5276811210099717</v>
      </c>
      <c r="M53">
        <f t="shared" si="30"/>
        <v>1.2730146019921622</v>
      </c>
      <c r="N53">
        <f t="shared" si="30"/>
        <v>0.62539603547639433</v>
      </c>
      <c r="O53">
        <f t="shared" si="30"/>
        <v>0.30189032143663036</v>
      </c>
      <c r="P53">
        <f t="shared" si="30"/>
        <v>0.1438467876005412</v>
      </c>
      <c r="Q53">
        <f t="shared" si="30"/>
        <v>6.242160071457329E-5</v>
      </c>
      <c r="R53">
        <f t="shared" si="30"/>
        <v>2.1624864745582779E-8</v>
      </c>
      <c r="S53">
        <f t="shared" si="30"/>
        <v>6.9208417727485517E-12</v>
      </c>
      <c r="T53">
        <f t="shared" si="30"/>
        <v>2.1272346198666222E-15</v>
      </c>
      <c r="AD53">
        <v>115</v>
      </c>
      <c r="AE53">
        <f t="shared" si="31"/>
        <v>8.3343586440514984E-17</v>
      </c>
      <c r="AF53">
        <f t="shared" si="31"/>
        <v>3.5771400260211815E-8</v>
      </c>
      <c r="AG53">
        <f t="shared" si="31"/>
        <v>2.9392167754754138E-5</v>
      </c>
      <c r="AH53">
        <f t="shared" si="31"/>
        <v>8.7796328686734764E-4</v>
      </c>
      <c r="AI53">
        <f t="shared" si="31"/>
        <v>6.904891535181347E-3</v>
      </c>
      <c r="AJ53">
        <f t="shared" si="31"/>
        <v>2.7745850831021743E-2</v>
      </c>
      <c r="AK53">
        <f t="shared" si="31"/>
        <v>7.5776811550986659E-2</v>
      </c>
      <c r="AL53">
        <f t="shared" si="31"/>
        <v>0.16233274719119511</v>
      </c>
      <c r="AM53">
        <f t="shared" si="31"/>
        <v>0.29548053132976188</v>
      </c>
      <c r="AN53">
        <f t="shared" si="31"/>
        <v>0.47954010314112577</v>
      </c>
      <c r="AO53">
        <f t="shared" si="31"/>
        <v>4.6630670230697024</v>
      </c>
      <c r="AP53">
        <f t="shared" si="31"/>
        <v>10.678226870343947</v>
      </c>
      <c r="AQ53">
        <f t="shared" si="31"/>
        <v>16.648031949459131</v>
      </c>
      <c r="AR53">
        <f t="shared" si="31"/>
        <v>22.062631372315423</v>
      </c>
      <c r="BB53">
        <v>115</v>
      </c>
      <c r="BC53">
        <f t="shared" si="32"/>
        <v>11.25896899298017</v>
      </c>
      <c r="BD53">
        <f t="shared" si="32"/>
        <v>17.236230963495665</v>
      </c>
      <c r="BE53">
        <f t="shared" si="32"/>
        <v>21.566569470641671</v>
      </c>
      <c r="BF53">
        <f t="shared" si="32"/>
        <v>25.076082138217004</v>
      </c>
      <c r="BG53">
        <f t="shared" si="32"/>
        <v>28.067929821808264</v>
      </c>
      <c r="BH53">
        <f t="shared" si="32"/>
        <v>30.693040983508439</v>
      </c>
      <c r="BI53">
        <f t="shared" si="32"/>
        <v>33.039545909017093</v>
      </c>
      <c r="BJ53">
        <f t="shared" si="32"/>
        <v>35.164297843388347</v>
      </c>
      <c r="BK53">
        <f t="shared" si="32"/>
        <v>37.106576273294209</v>
      </c>
      <c r="BL53">
        <f t="shared" si="32"/>
        <v>38.894916296919966</v>
      </c>
      <c r="BM53">
        <f t="shared" si="32"/>
        <v>51.455495466812948</v>
      </c>
      <c r="BN53">
        <f t="shared" si="32"/>
        <v>58.612165102982779</v>
      </c>
      <c r="BO53">
        <f t="shared" si="32"/>
        <v>62.854896300679911</v>
      </c>
      <c r="BP53">
        <f t="shared" si="32"/>
        <v>65.226600864714229</v>
      </c>
    </row>
    <row r="54" spans="5:68" x14ac:dyDescent="0.3">
      <c r="F54">
        <v>120</v>
      </c>
      <c r="G54">
        <f t="shared" si="30"/>
        <v>3.4927237375670241</v>
      </c>
      <c r="H54">
        <f t="shared" si="30"/>
        <v>17.35190575518747</v>
      </c>
      <c r="I54">
        <f t="shared" si="30"/>
        <v>18.687107658000379</v>
      </c>
      <c r="J54">
        <f t="shared" si="30"/>
        <v>13.420882268355847</v>
      </c>
      <c r="K54">
        <f t="shared" si="30"/>
        <v>8.1255696439818799</v>
      </c>
      <c r="L54">
        <f t="shared" si="30"/>
        <v>4.4976561527934642</v>
      </c>
      <c r="M54">
        <f t="shared" si="30"/>
        <v>2.3594740648488357</v>
      </c>
      <c r="N54">
        <f t="shared" si="30"/>
        <v>1.1951580455543382</v>
      </c>
      <c r="O54">
        <f t="shared" si="30"/>
        <v>0.59081950172669495</v>
      </c>
      <c r="P54">
        <f t="shared" si="30"/>
        <v>0.28692879414318101</v>
      </c>
      <c r="Q54">
        <f t="shared" si="30"/>
        <v>1.356489282406021E-4</v>
      </c>
      <c r="R54">
        <f t="shared" si="30"/>
        <v>4.8354552138393836E-8</v>
      </c>
      <c r="S54">
        <f t="shared" si="30"/>
        <v>1.5697993166200288E-11</v>
      </c>
      <c r="T54">
        <f t="shared" si="30"/>
        <v>4.8665518816675208E-15</v>
      </c>
      <c r="AD54">
        <v>120</v>
      </c>
      <c r="AE54">
        <f t="shared" si="31"/>
        <v>8.9080018831278691E-29</v>
      </c>
      <c r="AF54">
        <f t="shared" si="31"/>
        <v>3.4327647221119464E-14</v>
      </c>
      <c r="AG54">
        <f t="shared" si="31"/>
        <v>2.721069969980027E-9</v>
      </c>
      <c r="AH54">
        <f t="shared" si="31"/>
        <v>7.9833366699794244E-7</v>
      </c>
      <c r="AI54">
        <f t="shared" si="31"/>
        <v>2.4727769737659739E-5</v>
      </c>
      <c r="AJ54">
        <f t="shared" si="31"/>
        <v>2.4780275645177387E-4</v>
      </c>
      <c r="AK54">
        <f t="shared" si="31"/>
        <v>1.2999604123168573E-3</v>
      </c>
      <c r="AL54">
        <f t="shared" si="31"/>
        <v>4.5437478512025771E-3</v>
      </c>
      <c r="AM54">
        <f t="shared" si="31"/>
        <v>1.2103295089623444E-2</v>
      </c>
      <c r="AN54">
        <f t="shared" si="31"/>
        <v>2.6637472595560204E-2</v>
      </c>
      <c r="AO54">
        <f t="shared" si="31"/>
        <v>1.0201399126024513</v>
      </c>
      <c r="AP54">
        <f t="shared" si="31"/>
        <v>3.6891577386402061</v>
      </c>
      <c r="AQ54">
        <f t="shared" si="31"/>
        <v>7.2278807985848728</v>
      </c>
      <c r="AR54">
        <f t="shared" si="31"/>
        <v>10.985944217961457</v>
      </c>
      <c r="BB54">
        <v>120</v>
      </c>
      <c r="BC54">
        <f t="shared" si="32"/>
        <v>10.174062445622232</v>
      </c>
      <c r="BD54">
        <f t="shared" si="32"/>
        <v>16.553763541673625</v>
      </c>
      <c r="BE54">
        <f t="shared" si="32"/>
        <v>21.137570377345824</v>
      </c>
      <c r="BF54">
        <f t="shared" si="32"/>
        <v>24.828098483780835</v>
      </c>
      <c r="BG54">
        <f t="shared" si="32"/>
        <v>27.960183951240623</v>
      </c>
      <c r="BH54">
        <f t="shared" si="32"/>
        <v>30.699653429522943</v>
      </c>
      <c r="BI54">
        <f t="shared" si="32"/>
        <v>33.142675124075033</v>
      </c>
      <c r="BJ54">
        <f t="shared" si="32"/>
        <v>35.350893261879641</v>
      </c>
      <c r="BK54">
        <f t="shared" si="32"/>
        <v>37.366660849338999</v>
      </c>
      <c r="BL54">
        <f t="shared" si="32"/>
        <v>39.220598519409549</v>
      </c>
      <c r="BM54">
        <f t="shared" si="32"/>
        <v>52.203426113107241</v>
      </c>
      <c r="BN54">
        <f t="shared" si="32"/>
        <v>59.585002534348995</v>
      </c>
      <c r="BO54">
        <f t="shared" si="32"/>
        <v>63.963068481693554</v>
      </c>
      <c r="BP54">
        <f t="shared" si="32"/>
        <v>66.417038869330952</v>
      </c>
    </row>
    <row r="55" spans="5:68" x14ac:dyDescent="0.3">
      <c r="F55">
        <v>125</v>
      </c>
      <c r="G55">
        <f t="shared" si="30"/>
        <v>1.0083753372858366</v>
      </c>
      <c r="H55">
        <f t="shared" si="30"/>
        <v>14.095482131853412</v>
      </c>
      <c r="I55">
        <f t="shared" si="30"/>
        <v>21.43053935776636</v>
      </c>
      <c r="J55">
        <f t="shared" si="30"/>
        <v>18.287368224460824</v>
      </c>
      <c r="K55">
        <f t="shared" si="30"/>
        <v>12.278673114162448</v>
      </c>
      <c r="L55">
        <f t="shared" si="30"/>
        <v>7.2817459474912258</v>
      </c>
      <c r="M55">
        <f t="shared" si="30"/>
        <v>4.0129016619831894</v>
      </c>
      <c r="N55">
        <f t="shared" si="30"/>
        <v>2.1091825830574633</v>
      </c>
      <c r="O55">
        <f t="shared" si="30"/>
        <v>1.0730587837844876</v>
      </c>
      <c r="P55">
        <f t="shared" si="30"/>
        <v>0.53324489808191011</v>
      </c>
      <c r="Q55">
        <f t="shared" si="30"/>
        <v>2.795737682355723E-4</v>
      </c>
      <c r="R55">
        <f t="shared" si="30"/>
        <v>1.0315570331477553E-7</v>
      </c>
      <c r="S55">
        <f t="shared" si="30"/>
        <v>3.4071239069074838E-11</v>
      </c>
      <c r="T55">
        <f t="shared" si="30"/>
        <v>1.0672296873746599E-14</v>
      </c>
      <c r="AD55">
        <v>125</v>
      </c>
      <c r="AE55">
        <f t="shared" si="31"/>
        <v>3.2429241531837676E-43</v>
      </c>
      <c r="AF55">
        <f t="shared" si="31"/>
        <v>1.9283991961946362E-21</v>
      </c>
      <c r="AG55">
        <f t="shared" si="31"/>
        <v>3.80561412409142E-14</v>
      </c>
      <c r="AH55">
        <f t="shared" si="31"/>
        <v>1.7617146022235449E-10</v>
      </c>
      <c r="AI55">
        <f t="shared" si="31"/>
        <v>2.856115056653951E-8</v>
      </c>
      <c r="AJ55">
        <f t="shared" si="31"/>
        <v>8.6282617432051155E-7</v>
      </c>
      <c r="AK55">
        <f t="shared" si="31"/>
        <v>9.9552437090659424E-6</v>
      </c>
      <c r="AL55">
        <f t="shared" si="31"/>
        <v>6.2844089057939392E-5</v>
      </c>
      <c r="AM55">
        <f t="shared" si="31"/>
        <v>2.6511329816136808E-4</v>
      </c>
      <c r="AN55">
        <f t="shared" si="31"/>
        <v>8.4287476017658896E-4</v>
      </c>
      <c r="AO55">
        <f t="shared" si="31"/>
        <v>0.16895436403042813</v>
      </c>
      <c r="AP55">
        <f t="shared" si="31"/>
        <v>1.0608405525358762</v>
      </c>
      <c r="AQ55">
        <f t="shared" si="31"/>
        <v>2.7386748693405898</v>
      </c>
      <c r="AR55">
        <f t="shared" si="31"/>
        <v>4.9119150665131581</v>
      </c>
      <c r="BB55">
        <v>125</v>
      </c>
      <c r="BC55">
        <f t="shared" si="32"/>
        <v>8.9566735873843975</v>
      </c>
      <c r="BD55">
        <f t="shared" si="32"/>
        <v>15.685469558926538</v>
      </c>
      <c r="BE55">
        <f t="shared" si="32"/>
        <v>20.526047030729313</v>
      </c>
      <c r="BF55">
        <f t="shared" si="32"/>
        <v>24.407227574223771</v>
      </c>
      <c r="BG55">
        <f t="shared" si="32"/>
        <v>27.68916493972241</v>
      </c>
      <c r="BH55">
        <f t="shared" si="32"/>
        <v>30.551546718921145</v>
      </c>
      <c r="BI55">
        <f t="shared" si="32"/>
        <v>33.098525181252619</v>
      </c>
      <c r="BJ55">
        <f t="shared" si="32"/>
        <v>35.39667680655662</v>
      </c>
      <c r="BK55">
        <f t="shared" si="32"/>
        <v>37.4915887791567</v>
      </c>
      <c r="BL55">
        <f t="shared" si="32"/>
        <v>39.416107757511199</v>
      </c>
      <c r="BM55">
        <f t="shared" si="32"/>
        <v>52.85101949488012</v>
      </c>
      <c r="BN55">
        <f t="shared" si="32"/>
        <v>60.472270128156566</v>
      </c>
      <c r="BO55">
        <f t="shared" si="32"/>
        <v>64.995168474970157</v>
      </c>
      <c r="BP55">
        <f t="shared" si="32"/>
        <v>67.53840148146233</v>
      </c>
    </row>
    <row r="56" spans="5:68" x14ac:dyDescent="0.3">
      <c r="F56">
        <v>130</v>
      </c>
      <c r="G56">
        <f t="shared" si="30"/>
        <v>0.20645239064438869</v>
      </c>
      <c r="H56">
        <f t="shared" si="30"/>
        <v>9.4872718754573313</v>
      </c>
      <c r="I56">
        <f t="shared" si="30"/>
        <v>21.447783424655206</v>
      </c>
      <c r="J56">
        <f t="shared" si="30"/>
        <v>22.31744512284514</v>
      </c>
      <c r="K56">
        <f t="shared" si="30"/>
        <v>16.878392207000509</v>
      </c>
      <c r="L56">
        <f t="shared" si="30"/>
        <v>10.836093414253066</v>
      </c>
      <c r="M56">
        <f t="shared" si="30"/>
        <v>6.3198721460301313</v>
      </c>
      <c r="N56">
        <f t="shared" si="30"/>
        <v>3.4659585909492288</v>
      </c>
      <c r="O56">
        <f t="shared" si="30"/>
        <v>1.8225944040951678</v>
      </c>
      <c r="P56">
        <f t="shared" si="30"/>
        <v>0.92999173253702638</v>
      </c>
      <c r="Q56">
        <f t="shared" si="30"/>
        <v>5.4920586942279242E-4</v>
      </c>
      <c r="R56">
        <f t="shared" si="30"/>
        <v>2.1084377559917735E-7</v>
      </c>
      <c r="S56">
        <f t="shared" si="30"/>
        <v>7.1034587550475919E-11</v>
      </c>
      <c r="T56">
        <f t="shared" si="30"/>
        <v>2.2516893308546389E-14</v>
      </c>
      <c r="AD56">
        <v>130</v>
      </c>
      <c r="AE56">
        <f t="shared" si="31"/>
        <v>8.1598351874678694E-60</v>
      </c>
      <c r="AF56">
        <f t="shared" si="31"/>
        <v>9.0315209945902246E-30</v>
      </c>
      <c r="AG56">
        <f t="shared" si="31"/>
        <v>1.0176423146099912E-19</v>
      </c>
      <c r="AH56">
        <f t="shared" si="31"/>
        <v>1.1256650632768385E-14</v>
      </c>
      <c r="AI56">
        <f t="shared" si="31"/>
        <v>1.2252684979437271E-11</v>
      </c>
      <c r="AJ56">
        <f t="shared" si="31"/>
        <v>1.3173469517374164E-9</v>
      </c>
      <c r="AK56">
        <f t="shared" si="31"/>
        <v>3.7638272109399166E-8</v>
      </c>
      <c r="AL56">
        <f t="shared" si="31"/>
        <v>4.6902166951920453E-7</v>
      </c>
      <c r="AM56">
        <f t="shared" si="31"/>
        <v>3.3579729228797997E-6</v>
      </c>
      <c r="AN56">
        <f t="shared" si="31"/>
        <v>1.629980804230967E-5</v>
      </c>
      <c r="AO56">
        <f t="shared" si="31"/>
        <v>2.1936674468501369E-2</v>
      </c>
      <c r="AP56">
        <f t="shared" si="31"/>
        <v>0.2598436660700274</v>
      </c>
      <c r="AQ56">
        <f t="shared" si="31"/>
        <v>0.92136735602963382</v>
      </c>
      <c r="AR56">
        <f t="shared" si="31"/>
        <v>1.9991316126219549</v>
      </c>
      <c r="BB56">
        <v>130</v>
      </c>
      <c r="BC56">
        <f t="shared" si="32"/>
        <v>7.7063920030296922</v>
      </c>
      <c r="BD56">
        <f t="shared" si="32"/>
        <v>14.687795807538262</v>
      </c>
      <c r="BE56">
        <f t="shared" si="32"/>
        <v>19.770425026344299</v>
      </c>
      <c r="BF56">
        <f t="shared" si="32"/>
        <v>23.8426722541445</v>
      </c>
      <c r="BG56">
        <f t="shared" si="32"/>
        <v>27.278583317366337</v>
      </c>
      <c r="BH56">
        <f t="shared" si="32"/>
        <v>30.268818725074901</v>
      </c>
      <c r="BI56">
        <f t="shared" si="32"/>
        <v>32.924647920534348</v>
      </c>
      <c r="BJ56">
        <f t="shared" si="32"/>
        <v>35.317313221920969</v>
      </c>
      <c r="BK56">
        <f t="shared" si="32"/>
        <v>37.495571446128153</v>
      </c>
      <c r="BL56">
        <f t="shared" si="32"/>
        <v>39.494501884019996</v>
      </c>
      <c r="BM56">
        <f t="shared" si="32"/>
        <v>53.40620871958609</v>
      </c>
      <c r="BN56">
        <f t="shared" si="32"/>
        <v>61.280148662530031</v>
      </c>
      <c r="BO56">
        <f t="shared" si="32"/>
        <v>65.956437626778424</v>
      </c>
      <c r="BP56">
        <f t="shared" si="32"/>
        <v>68.595312985665032</v>
      </c>
    </row>
    <row r="57" spans="5:68" x14ac:dyDescent="0.3">
      <c r="F57">
        <v>135</v>
      </c>
      <c r="G57">
        <f t="shared" si="30"/>
        <v>3.121321557221414E-2</v>
      </c>
      <c r="H57">
        <f t="shared" si="30"/>
        <v>5.4057207614713203</v>
      </c>
      <c r="I57">
        <f t="shared" si="30"/>
        <v>19.017754318471169</v>
      </c>
      <c r="J57">
        <f t="shared" si="30"/>
        <v>24.686161751551115</v>
      </c>
      <c r="K57">
        <f t="shared" si="30"/>
        <v>21.318641960971505</v>
      </c>
      <c r="L57">
        <f t="shared" si="30"/>
        <v>14.952510385203253</v>
      </c>
      <c r="M57">
        <f t="shared" si="30"/>
        <v>9.2893956050027882</v>
      </c>
      <c r="N57">
        <f t="shared" si="30"/>
        <v>5.3417170652846009</v>
      </c>
      <c r="O57">
        <f t="shared" si="30"/>
        <v>2.91442526699635</v>
      </c>
      <c r="P57">
        <f t="shared" si="30"/>
        <v>1.5316032610241153</v>
      </c>
      <c r="Q57">
        <f t="shared" si="30"/>
        <v>1.032813084164867E-3</v>
      </c>
      <c r="R57">
        <f t="shared" si="30"/>
        <v>4.144324958410911E-7</v>
      </c>
      <c r="S57">
        <f t="shared" si="30"/>
        <v>1.427467100536194E-10</v>
      </c>
      <c r="T57">
        <f t="shared" si="30"/>
        <v>4.5852883427681924E-14</v>
      </c>
      <c r="AD57">
        <v>135</v>
      </c>
      <c r="AE57">
        <f t="shared" si="31"/>
        <v>2.6068594388526021E-78</v>
      </c>
      <c r="AF57">
        <f t="shared" si="31"/>
        <v>4.7785461139435402E-39</v>
      </c>
      <c r="AG57">
        <f t="shared" si="31"/>
        <v>6.3703446398039623E-26</v>
      </c>
      <c r="AH57">
        <f t="shared" si="31"/>
        <v>2.4237811397899738E-19</v>
      </c>
      <c r="AI57">
        <f t="shared" si="31"/>
        <v>2.2040698208149509E-15</v>
      </c>
      <c r="AJ57">
        <f t="shared" si="31"/>
        <v>9.7566523011235897E-13</v>
      </c>
      <c r="AK57">
        <f t="shared" si="31"/>
        <v>7.6601104748179995E-11</v>
      </c>
      <c r="AL57">
        <f t="shared" si="31"/>
        <v>2.0372849978770295E-9</v>
      </c>
      <c r="AM57">
        <f t="shared" si="31"/>
        <v>2.6304021000805004E-8</v>
      </c>
      <c r="AN57">
        <f t="shared" si="31"/>
        <v>2.0464272098650974E-7</v>
      </c>
      <c r="AO57">
        <f t="shared" si="31"/>
        <v>2.3008826437961086E-3</v>
      </c>
      <c r="AP57">
        <f t="shared" si="31"/>
        <v>5.5301778845805193E-2</v>
      </c>
      <c r="AQ57">
        <f t="shared" si="31"/>
        <v>0.27932604462905736</v>
      </c>
      <c r="AR57">
        <f t="shared" si="31"/>
        <v>0.74939533249316281</v>
      </c>
      <c r="BB57">
        <v>135</v>
      </c>
      <c r="BC57">
        <f t="shared" si="32"/>
        <v>6.498414000628622</v>
      </c>
      <c r="BD57">
        <f t="shared" si="32"/>
        <v>13.610894802183807</v>
      </c>
      <c r="BE57">
        <f t="shared" si="32"/>
        <v>18.906188384234468</v>
      </c>
      <c r="BF57">
        <f t="shared" si="32"/>
        <v>23.1617764666657</v>
      </c>
      <c r="BG57">
        <f t="shared" si="32"/>
        <v>26.750760070825738</v>
      </c>
      <c r="BH57">
        <f t="shared" si="32"/>
        <v>29.870422908501922</v>
      </c>
      <c r="BI57">
        <f t="shared" si="32"/>
        <v>32.637596619344947</v>
      </c>
      <c r="BJ57">
        <f t="shared" si="32"/>
        <v>35.127564266945022</v>
      </c>
      <c r="BK57">
        <f t="shared" si="32"/>
        <v>37.391984677650541</v>
      </c>
      <c r="BL57">
        <f t="shared" si="32"/>
        <v>39.468053597811434</v>
      </c>
      <c r="BM57">
        <f t="shared" si="32"/>
        <v>53.876353580588841</v>
      </c>
      <c r="BN57">
        <f t="shared" si="32"/>
        <v>62.014328910329844</v>
      </c>
      <c r="BO57">
        <f t="shared" si="32"/>
        <v>66.851679936157495</v>
      </c>
      <c r="BP57">
        <f t="shared" si="32"/>
        <v>69.591999397920006</v>
      </c>
    </row>
    <row r="58" spans="5:68" x14ac:dyDescent="0.3">
      <c r="F58">
        <v>140</v>
      </c>
      <c r="G58">
        <f t="shared" si="30"/>
        <v>3.6090205680284469E-3</v>
      </c>
      <c r="H58">
        <f t="shared" si="30"/>
        <v>2.6564153790237222</v>
      </c>
      <c r="I58">
        <f t="shared" si="30"/>
        <v>15.137893821577119</v>
      </c>
      <c r="J58">
        <f t="shared" si="30"/>
        <v>25.008734413698242</v>
      </c>
      <c r="K58">
        <f t="shared" si="30"/>
        <v>24.959554721559059</v>
      </c>
      <c r="L58">
        <f t="shared" si="30"/>
        <v>19.278985602016757</v>
      </c>
      <c r="M58">
        <f t="shared" si="30"/>
        <v>12.831603491416134</v>
      </c>
      <c r="N58">
        <f t="shared" si="30"/>
        <v>7.7699264597264914</v>
      </c>
      <c r="O58">
        <f t="shared" si="30"/>
        <v>4.4131051062167925</v>
      </c>
      <c r="P58">
        <f t="shared" si="30"/>
        <v>2.3949799737860817</v>
      </c>
      <c r="Q58">
        <f t="shared" si="30"/>
        <v>1.8664505508118145E-3</v>
      </c>
      <c r="R58">
        <f t="shared" si="30"/>
        <v>7.8595004458866484E-7</v>
      </c>
      <c r="S58">
        <f t="shared" si="30"/>
        <v>2.7731952106168292E-10</v>
      </c>
      <c r="T58">
        <f t="shared" si="30"/>
        <v>9.0378452388191677E-14</v>
      </c>
      <c r="AD58">
        <v>140</v>
      </c>
      <c r="AE58">
        <f t="shared" si="31"/>
        <v>1.7877576190838229E-98</v>
      </c>
      <c r="AF58">
        <f t="shared" si="31"/>
        <v>3.7132255085656971E-49</v>
      </c>
      <c r="AG58">
        <f t="shared" si="31"/>
        <v>1.1118340736315355E-32</v>
      </c>
      <c r="AH58">
        <f t="shared" si="31"/>
        <v>2.0048468666146725E-24</v>
      </c>
      <c r="AI58">
        <f t="shared" si="31"/>
        <v>1.846033612980713E-19</v>
      </c>
      <c r="AJ58">
        <f t="shared" si="31"/>
        <v>3.824717703966796E-16</v>
      </c>
      <c r="AK58">
        <f t="shared" si="31"/>
        <v>9.0429075730335159E-14</v>
      </c>
      <c r="AL58">
        <f t="shared" si="31"/>
        <v>5.498012485516911E-12</v>
      </c>
      <c r="AM58">
        <f t="shared" si="31"/>
        <v>1.350396186323863E-10</v>
      </c>
      <c r="AN58">
        <f t="shared" si="31"/>
        <v>1.7573710279176027E-9</v>
      </c>
      <c r="AO58">
        <f t="shared" si="31"/>
        <v>2.0007281417499151E-4</v>
      </c>
      <c r="AP58">
        <f t="shared" si="31"/>
        <v>1.0403389641721843E-2</v>
      </c>
      <c r="AQ58">
        <f t="shared" si="31"/>
        <v>7.7289103610339915E-2</v>
      </c>
      <c r="AR58">
        <f t="shared" si="31"/>
        <v>0.26137284664069321</v>
      </c>
      <c r="BB58">
        <v>140</v>
      </c>
      <c r="BC58">
        <f t="shared" si="32"/>
        <v>5.38334833679881</v>
      </c>
      <c r="BD58">
        <f t="shared" si="32"/>
        <v>12.497334779431734</v>
      </c>
      <c r="BE58">
        <f t="shared" si="32"/>
        <v>17.965111383971959</v>
      </c>
      <c r="BF58">
        <f t="shared" si="32"/>
        <v>22.389551937593353</v>
      </c>
      <c r="BG58">
        <f t="shared" si="32"/>
        <v>26.126318970268269</v>
      </c>
      <c r="BH58">
        <f t="shared" si="32"/>
        <v>29.37396082652166</v>
      </c>
      <c r="BI58">
        <f t="shared" si="32"/>
        <v>32.252783184647036</v>
      </c>
      <c r="BJ58">
        <f t="shared" si="32"/>
        <v>34.84118989553</v>
      </c>
      <c r="BK58">
        <f t="shared" si="32"/>
        <v>37.193301093935432</v>
      </c>
      <c r="BL58">
        <f t="shared" si="32"/>
        <v>39.348205593824773</v>
      </c>
      <c r="BM58">
        <f t="shared" si="32"/>
        <v>54.268270248267108</v>
      </c>
      <c r="BN58">
        <f t="shared" si="32"/>
        <v>62.680052796718272</v>
      </c>
      <c r="BO58">
        <f t="shared" si="32"/>
        <v>67.685305096486843</v>
      </c>
      <c r="BP58">
        <f t="shared" si="32"/>
        <v>70.532330830355264</v>
      </c>
    </row>
    <row r="61" spans="5:68" x14ac:dyDescent="0.3">
      <c r="G61">
        <v>0.1</v>
      </c>
      <c r="H61">
        <v>0.2</v>
      </c>
      <c r="I61">
        <v>0.3</v>
      </c>
      <c r="J61">
        <v>0.4</v>
      </c>
      <c r="K61">
        <v>0.5</v>
      </c>
      <c r="L61">
        <v>0.6</v>
      </c>
      <c r="M61">
        <v>0.7</v>
      </c>
      <c r="N61">
        <v>0.8</v>
      </c>
      <c r="O61">
        <v>0.9</v>
      </c>
      <c r="P61">
        <v>1</v>
      </c>
      <c r="Q61">
        <v>2</v>
      </c>
      <c r="R61">
        <v>3</v>
      </c>
      <c r="S61">
        <v>4</v>
      </c>
      <c r="T61">
        <v>5</v>
      </c>
      <c r="AE61">
        <v>0.1</v>
      </c>
      <c r="AF61">
        <v>0.2</v>
      </c>
      <c r="AG61">
        <v>0.3</v>
      </c>
      <c r="AH61">
        <v>0.4</v>
      </c>
      <c r="AI61">
        <v>0.5</v>
      </c>
      <c r="AJ61">
        <v>0.6</v>
      </c>
      <c r="AK61">
        <v>0.7</v>
      </c>
      <c r="AL61">
        <v>0.8</v>
      </c>
      <c r="AM61">
        <v>0.9</v>
      </c>
      <c r="AN61">
        <v>1</v>
      </c>
      <c r="AO61">
        <v>2</v>
      </c>
      <c r="AP61">
        <v>3</v>
      </c>
      <c r="AQ61">
        <v>4</v>
      </c>
      <c r="AR61">
        <v>5</v>
      </c>
      <c r="BC61">
        <v>0.1</v>
      </c>
      <c r="BD61">
        <v>0.2</v>
      </c>
      <c r="BE61">
        <v>0.3</v>
      </c>
      <c r="BF61">
        <v>0.4</v>
      </c>
      <c r="BG61">
        <v>0.5</v>
      </c>
      <c r="BH61">
        <v>0.6</v>
      </c>
      <c r="BI61">
        <v>0.7</v>
      </c>
      <c r="BJ61">
        <v>0.8</v>
      </c>
      <c r="BK61">
        <v>0.9</v>
      </c>
      <c r="BL61">
        <v>1</v>
      </c>
      <c r="BM61">
        <v>2</v>
      </c>
      <c r="BN61">
        <v>3</v>
      </c>
      <c r="BO61">
        <v>4</v>
      </c>
      <c r="BP61">
        <v>5</v>
      </c>
    </row>
    <row r="62" spans="5:68" x14ac:dyDescent="0.3">
      <c r="E62" t="s">
        <v>6</v>
      </c>
      <c r="F62">
        <v>60</v>
      </c>
      <c r="G62">
        <f>ThetaC($D2,$A$2,G$1,$B$2,$C$9,$C$2)</f>
        <v>-8.9520780419676693E-19</v>
      </c>
      <c r="H62">
        <f t="shared" ref="H62:T62" si="33">ThetaC($D2,$A$2,H$1,$B$2,$C$9,$C$2)</f>
        <v>-2.4457927007595422E-12</v>
      </c>
      <c r="I62">
        <f t="shared" si="33"/>
        <v>-1.4159981151060309E-10</v>
      </c>
      <c r="J62">
        <f t="shared" si="33"/>
        <v>-5.359521473293242E-10</v>
      </c>
      <c r="K62">
        <f t="shared" si="33"/>
        <v>-6.080897639055197E-10</v>
      </c>
      <c r="L62">
        <f t="shared" si="33"/>
        <v>-2.5265360955699784E-10</v>
      </c>
      <c r="M62">
        <f t="shared" si="33"/>
        <v>1.3386165866216718E-10</v>
      </c>
      <c r="N62">
        <f t="shared" si="33"/>
        <v>3.2690007477990916E-10</v>
      </c>
      <c r="O62">
        <f t="shared" si="33"/>
        <v>3.4364967451196121E-10</v>
      </c>
      <c r="P62">
        <f t="shared" si="33"/>
        <v>2.7509498666678404E-10</v>
      </c>
      <c r="Q62">
        <f t="shared" si="33"/>
        <v>6.7333400702683842E-13</v>
      </c>
      <c r="R62">
        <f t="shared" si="33"/>
        <v>3.2879886409696622E-16</v>
      </c>
      <c r="S62">
        <f t="shared" si="33"/>
        <v>1.1430400270360369E-19</v>
      </c>
      <c r="T62">
        <f t="shared" si="33"/>
        <v>3.507792767983264E-23</v>
      </c>
      <c r="AD62">
        <v>60</v>
      </c>
      <c r="AE62">
        <f>ThetaC($AD2,$A$2,AE$1,$B$2,0,$C$3)</f>
        <v>-4.2059867871165789E-226</v>
      </c>
      <c r="AF62">
        <f t="shared" ref="AF62:AR62" si="34">ThetaC($AD2,$A$2,AF$1,$B$2,0,$C$3)</f>
        <v>-6.3091923030401704E-113</v>
      </c>
      <c r="AG62">
        <f t="shared" si="34"/>
        <v>-3.0751126237387673E-75</v>
      </c>
      <c r="AH62">
        <f t="shared" si="34"/>
        <v>-2.0589678340577772E-56</v>
      </c>
      <c r="AI62">
        <f t="shared" si="34"/>
        <v>-3.9662500622814378E-45</v>
      </c>
      <c r="AJ62">
        <f t="shared" si="34"/>
        <v>-1.3014780942494441E-37</v>
      </c>
      <c r="AK62">
        <f t="shared" si="34"/>
        <v>-3.0061868733398582E-32</v>
      </c>
      <c r="AL62">
        <f t="shared" si="34"/>
        <v>-3.1401418024876873E-28</v>
      </c>
      <c r="AM62">
        <f t="shared" si="34"/>
        <v>-4.1675948406054471E-25</v>
      </c>
      <c r="AN62">
        <f t="shared" si="34"/>
        <v>-1.3059494591972286E-22</v>
      </c>
      <c r="AO62">
        <f t="shared" si="34"/>
        <v>-2.011145983718598E-11</v>
      </c>
      <c r="AP62">
        <f t="shared" si="34"/>
        <v>-9.9541835824956942E-8</v>
      </c>
      <c r="AQ62">
        <f t="shared" si="34"/>
        <v>-6.745951599909049E-6</v>
      </c>
      <c r="AR62">
        <f t="shared" si="34"/>
        <v>-8.2846662129231244E-5</v>
      </c>
      <c r="BB62">
        <v>60</v>
      </c>
      <c r="BC62">
        <f>ThetaC($BB2,$A$2,BC$1,$B$2,0,$C$4)</f>
        <v>-3.6202892523738566</v>
      </c>
      <c r="BD62">
        <f t="shared" ref="BD62:BP62" si="35">ThetaC($BB2,$A$2,BD$1,$B$2,0,$C$4)</f>
        <v>-8.1224699262941709</v>
      </c>
      <c r="BE62">
        <f t="shared" si="35"/>
        <v>-9.7082371930772258</v>
      </c>
      <c r="BF62">
        <f t="shared" si="35"/>
        <v>-10.141535776701513</v>
      </c>
      <c r="BG62">
        <f t="shared" si="35"/>
        <v>-10.125488712179877</v>
      </c>
      <c r="BH62">
        <f t="shared" si="35"/>
        <v>-9.9251315691381201</v>
      </c>
      <c r="BI62">
        <f t="shared" si="35"/>
        <v>-9.6499734469851255</v>
      </c>
      <c r="BJ62">
        <f t="shared" si="35"/>
        <v>-9.3487359169758371</v>
      </c>
      <c r="BK62">
        <f t="shared" si="35"/>
        <v>-9.0440848969884371</v>
      </c>
      <c r="BL62">
        <f t="shared" si="35"/>
        <v>-8.7466903739657607</v>
      </c>
      <c r="BM62">
        <f t="shared" si="35"/>
        <v>-6.4898169809828072</v>
      </c>
      <c r="BN62">
        <f t="shared" si="35"/>
        <v>-5.1334524529799941</v>
      </c>
      <c r="BO62">
        <f t="shared" si="35"/>
        <v>-4.2190109750540241</v>
      </c>
      <c r="BP62">
        <f t="shared" si="35"/>
        <v>-3.5508108173642969</v>
      </c>
    </row>
    <row r="63" spans="5:68" x14ac:dyDescent="0.3">
      <c r="F63">
        <v>65</v>
      </c>
      <c r="G63">
        <f t="shared" ref="G63:T78" si="36">ThetaC($D3,$A$2,G$1,$B$2,$C$9,$C$2)</f>
        <v>-5.2793835194506296E-14</v>
      </c>
      <c r="H63">
        <f t="shared" si="36"/>
        <v>-1.2160145969515574E-9</v>
      </c>
      <c r="I63">
        <f t="shared" si="36"/>
        <v>-1.3355633848718807E-8</v>
      </c>
      <c r="J63">
        <f t="shared" si="36"/>
        <v>-1.9512658451002369E-8</v>
      </c>
      <c r="K63">
        <f t="shared" si="36"/>
        <v>-8.5018709767678707E-9</v>
      </c>
      <c r="L63">
        <f t="shared" si="36"/>
        <v>4.1641796626361428E-9</v>
      </c>
      <c r="M63">
        <f t="shared" si="36"/>
        <v>9.8622599380271217E-9</v>
      </c>
      <c r="N63">
        <f t="shared" si="36"/>
        <v>9.832768095466276E-9</v>
      </c>
      <c r="O63">
        <f t="shared" si="36"/>
        <v>7.4612514775735608E-9</v>
      </c>
      <c r="P63">
        <f t="shared" si="36"/>
        <v>4.8964517607583066E-9</v>
      </c>
      <c r="Q63">
        <f t="shared" si="36"/>
        <v>6.0832417052529875E-12</v>
      </c>
      <c r="R63">
        <f t="shared" si="36"/>
        <v>2.4392438478550244E-15</v>
      </c>
      <c r="S63">
        <f t="shared" si="36"/>
        <v>7.6991040928569673E-19</v>
      </c>
      <c r="T63">
        <f t="shared" si="36"/>
        <v>2.2305619405937586E-22</v>
      </c>
      <c r="AD63">
        <v>65</v>
      </c>
      <c r="AE63">
        <f t="shared" ref="AE63:AR78" si="37">ThetaC($AD3,$A$2,AE$1,$B$2,0,$C$3)</f>
        <v>-9.2705917460249925E-161</v>
      </c>
      <c r="AF63">
        <f t="shared" si="37"/>
        <v>-2.5776824339239043E-80</v>
      </c>
      <c r="AG63">
        <f t="shared" si="37"/>
        <v>-1.5440489674003712E-53</v>
      </c>
      <c r="AH63">
        <f t="shared" si="37"/>
        <v>-3.625553155961432E-40</v>
      </c>
      <c r="AI63">
        <f t="shared" si="37"/>
        <v>-3.7254623207453593E-32</v>
      </c>
      <c r="AJ63">
        <f t="shared" si="37"/>
        <v>-8.042415486532321E-27</v>
      </c>
      <c r="AK63">
        <f t="shared" si="37"/>
        <v>-5.1355288019560332E-23</v>
      </c>
      <c r="AL63">
        <f t="shared" si="37"/>
        <v>-3.6375244008261898E-20</v>
      </c>
      <c r="AM63">
        <f t="shared" si="37"/>
        <v>-5.9539814893814182E-18</v>
      </c>
      <c r="AN63">
        <f t="shared" si="37"/>
        <v>-3.4974986577189861E-16</v>
      </c>
      <c r="AO63">
        <f t="shared" si="37"/>
        <v>-2.8897776511479912E-8</v>
      </c>
      <c r="AP63">
        <f t="shared" si="37"/>
        <v>-1.1667428043472263E-5</v>
      </c>
      <c r="AQ63">
        <f t="shared" si="37"/>
        <v>-2.2642648377777837E-4</v>
      </c>
      <c r="AR63">
        <f t="shared" si="37"/>
        <v>-1.3156329109586928E-3</v>
      </c>
      <c r="BB63">
        <v>65</v>
      </c>
      <c r="BC63">
        <f t="shared" ref="BC63:BP78" si="38">ThetaC($BB3,$A$2,BC$1,$B$2,0,$C$4)</f>
        <v>-7.3560015099262577</v>
      </c>
      <c r="BD63">
        <f t="shared" si="38"/>
        <v>-11.80844904838472</v>
      </c>
      <c r="BE63">
        <f t="shared" si="38"/>
        <v>-12.624163145086346</v>
      </c>
      <c r="BF63">
        <f t="shared" si="38"/>
        <v>-12.472481910983769</v>
      </c>
      <c r="BG63">
        <f t="shared" si="38"/>
        <v>-12.043167613027867</v>
      </c>
      <c r="BH63">
        <f t="shared" si="38"/>
        <v>-11.544615820832831</v>
      </c>
      <c r="BI63">
        <f t="shared" si="38"/>
        <v>-11.047256719061656</v>
      </c>
      <c r="BJ63">
        <f t="shared" si="38"/>
        <v>-10.575358159420366</v>
      </c>
      <c r="BK63">
        <f t="shared" si="38"/>
        <v>-10.13614828105465</v>
      </c>
      <c r="BL63">
        <f t="shared" si="38"/>
        <v>-9.7302647688433055</v>
      </c>
      <c r="BM63">
        <f t="shared" si="38"/>
        <v>-6.9819316953579857</v>
      </c>
      <c r="BN63">
        <f t="shared" si="38"/>
        <v>-5.4612029815160854</v>
      </c>
      <c r="BO63">
        <f t="shared" si="38"/>
        <v>-4.4631916359158348</v>
      </c>
      <c r="BP63">
        <f t="shared" si="38"/>
        <v>-3.7435919403439528</v>
      </c>
    </row>
    <row r="64" spans="5:68" x14ac:dyDescent="0.3">
      <c r="F64">
        <v>70</v>
      </c>
      <c r="G64">
        <f t="shared" si="36"/>
        <v>-3.2321727704426781E-10</v>
      </c>
      <c r="H64">
        <f t="shared" si="36"/>
        <v>-1.7692865205757597E-7</v>
      </c>
      <c r="I64">
        <f t="shared" si="36"/>
        <v>-4.9392037672043313E-7</v>
      </c>
      <c r="J64">
        <f t="shared" si="36"/>
        <v>-2.5941071962401995E-7</v>
      </c>
      <c r="K64">
        <f t="shared" si="36"/>
        <v>8.5629273198486147E-8</v>
      </c>
      <c r="L64">
        <f t="shared" si="36"/>
        <v>2.3230509915247419E-7</v>
      </c>
      <c r="M64">
        <f t="shared" si="36"/>
        <v>2.2441306365011989E-7</v>
      </c>
      <c r="N64">
        <f t="shared" si="36"/>
        <v>1.6263559932146198E-7</v>
      </c>
      <c r="O64">
        <f t="shared" si="36"/>
        <v>1.0188320771933467E-7</v>
      </c>
      <c r="P64">
        <f t="shared" si="36"/>
        <v>5.8420454212768498E-8</v>
      </c>
      <c r="Q64">
        <f t="shared" si="36"/>
        <v>4.3338806107394686E-11</v>
      </c>
      <c r="R64">
        <f t="shared" si="36"/>
        <v>1.4860658208338983E-14</v>
      </c>
      <c r="S64">
        <f t="shared" si="36"/>
        <v>4.342697467958445E-18</v>
      </c>
      <c r="T64">
        <f t="shared" si="36"/>
        <v>1.2015972715704268E-21</v>
      </c>
      <c r="AD64">
        <v>70</v>
      </c>
      <c r="AE64">
        <f t="shared" si="37"/>
        <v>-3.4917365233410273E-110</v>
      </c>
      <c r="AF64">
        <f t="shared" si="37"/>
        <v>-4.4004142171238688E-55</v>
      </c>
      <c r="AG64">
        <f t="shared" si="37"/>
        <v>-9.4038448706099073E-37</v>
      </c>
      <c r="AH64">
        <f t="shared" si="37"/>
        <v>-1.3194962049995175E-27</v>
      </c>
      <c r="AI64">
        <f t="shared" si="37"/>
        <v>-3.964648248452918E-22</v>
      </c>
      <c r="AJ64">
        <f t="shared" si="37"/>
        <v>-1.7506531045238424E-18</v>
      </c>
      <c r="AK64">
        <f t="shared" si="37"/>
        <v>-6.9490929613187894E-16</v>
      </c>
      <c r="AL64">
        <f t="shared" si="37"/>
        <v>-6.1289968948178751E-14</v>
      </c>
      <c r="AM64">
        <f t="shared" si="37"/>
        <v>-1.9850479170033812E-12</v>
      </c>
      <c r="AN64">
        <f t="shared" si="37"/>
        <v>-3.190785532235883E-11</v>
      </c>
      <c r="AO64">
        <f t="shared" si="37"/>
        <v>-7.7656483498184733E-6</v>
      </c>
      <c r="AP64">
        <f t="shared" si="37"/>
        <v>-4.5158505610546875E-4</v>
      </c>
      <c r="AQ64">
        <f t="shared" si="37"/>
        <v>-3.3362928033518376E-3</v>
      </c>
      <c r="AR64">
        <f t="shared" si="37"/>
        <v>-1.0883353094015648E-2</v>
      </c>
      <c r="BB64">
        <v>70</v>
      </c>
      <c r="BC64">
        <f t="shared" si="38"/>
        <v>-12.813071747890184</v>
      </c>
      <c r="BD64">
        <f t="shared" si="38"/>
        <v>-15.872569574168427</v>
      </c>
      <c r="BE64">
        <f t="shared" si="38"/>
        <v>-15.565280206922232</v>
      </c>
      <c r="BF64">
        <f t="shared" si="38"/>
        <v>-14.728667553177518</v>
      </c>
      <c r="BG64">
        <f t="shared" si="38"/>
        <v>-13.85821330152573</v>
      </c>
      <c r="BH64">
        <f t="shared" si="38"/>
        <v>-13.057215477638737</v>
      </c>
      <c r="BI64">
        <f t="shared" si="38"/>
        <v>-12.341603811158766</v>
      </c>
      <c r="BJ64">
        <f t="shared" si="38"/>
        <v>-11.705674210887549</v>
      </c>
      <c r="BK64">
        <f t="shared" si="38"/>
        <v>-11.139107937955318</v>
      </c>
      <c r="BL64">
        <f t="shared" si="38"/>
        <v>-10.631694043863599</v>
      </c>
      <c r="BM64">
        <f t="shared" si="38"/>
        <v>-7.4334018010715663</v>
      </c>
      <c r="BN64">
        <f t="shared" si="38"/>
        <v>-5.7640181618645316</v>
      </c>
      <c r="BO64">
        <f t="shared" si="38"/>
        <v>-4.6901129108834336</v>
      </c>
      <c r="BP64">
        <f t="shared" si="38"/>
        <v>-3.9235509325680793</v>
      </c>
    </row>
    <row r="65" spans="6:68" x14ac:dyDescent="0.3">
      <c r="F65">
        <v>75</v>
      </c>
      <c r="G65">
        <f t="shared" si="36"/>
        <v>-3.0472619705293921E-7</v>
      </c>
      <c r="H65">
        <f t="shared" si="36"/>
        <v>-8.9767930038614091E-6</v>
      </c>
      <c r="I65">
        <f t="shared" si="36"/>
        <v>-7.109372358817557E-6</v>
      </c>
      <c r="J65">
        <f t="shared" si="36"/>
        <v>9.8646247537104547E-7</v>
      </c>
      <c r="K65">
        <f t="shared" si="36"/>
        <v>4.456396569180512E-6</v>
      </c>
      <c r="L65">
        <f t="shared" si="36"/>
        <v>4.2590399630716222E-6</v>
      </c>
      <c r="M65">
        <f t="shared" si="36"/>
        <v>2.9611958737894655E-6</v>
      </c>
      <c r="N65">
        <f t="shared" si="36"/>
        <v>1.7734392131042144E-6</v>
      </c>
      <c r="O65">
        <f t="shared" si="36"/>
        <v>9.7448745719013505E-7</v>
      </c>
      <c r="P65">
        <f t="shared" si="36"/>
        <v>5.0675941455933049E-7</v>
      </c>
      <c r="Q65">
        <f t="shared" si="36"/>
        <v>2.5297424737620648E-10</v>
      </c>
      <c r="R65">
        <f t="shared" si="36"/>
        <v>7.6656020957023062E-14</v>
      </c>
      <c r="S65">
        <f t="shared" si="36"/>
        <v>2.1072957297153198E-17</v>
      </c>
      <c r="T65">
        <f t="shared" si="36"/>
        <v>5.6215776878072497E-21</v>
      </c>
      <c r="AD65">
        <v>75</v>
      </c>
      <c r="AE65">
        <f t="shared" si="37"/>
        <v>-1.1292130799876139E-71</v>
      </c>
      <c r="AF65">
        <f t="shared" si="37"/>
        <v>-7.027239541141646E-36</v>
      </c>
      <c r="AG65">
        <f t="shared" si="37"/>
        <v>-5.5142510484957223E-24</v>
      </c>
      <c r="AH65">
        <f t="shared" si="37"/>
        <v>-4.6914367829628369E-18</v>
      </c>
      <c r="AI65">
        <f t="shared" si="37"/>
        <v>-1.6555592174444793E-14</v>
      </c>
      <c r="AJ65">
        <f t="shared" si="37"/>
        <v>-3.7786903769761811E-12</v>
      </c>
      <c r="AK65">
        <f t="shared" si="37"/>
        <v>-1.8080692034456397E-10</v>
      </c>
      <c r="AL65">
        <f t="shared" si="37"/>
        <v>-3.2633194567560958E-9</v>
      </c>
      <c r="AM65">
        <f t="shared" si="37"/>
        <v>-3.077847244045138E-8</v>
      </c>
      <c r="AN65">
        <f t="shared" si="37"/>
        <v>-1.8443073325765811E-7</v>
      </c>
      <c r="AO65">
        <f t="shared" si="37"/>
        <v>-5.3221095215161848E-4</v>
      </c>
      <c r="AP65">
        <f t="shared" si="37"/>
        <v>-7.0986159754051923E-3</v>
      </c>
      <c r="AQ65">
        <f t="shared" si="37"/>
        <v>-2.5208290471663085E-2</v>
      </c>
      <c r="AR65">
        <f t="shared" si="37"/>
        <v>-5.3114800580279661E-2</v>
      </c>
      <c r="BB65">
        <v>75</v>
      </c>
      <c r="BC65">
        <f t="shared" si="38"/>
        <v>-19.677321714231475</v>
      </c>
      <c r="BD65">
        <f t="shared" si="38"/>
        <v>-20.009323103053479</v>
      </c>
      <c r="BE65">
        <f t="shared" si="38"/>
        <v>-18.373059420860383</v>
      </c>
      <c r="BF65">
        <f t="shared" si="38"/>
        <v>-16.823324435351964</v>
      </c>
      <c r="BG65">
        <f t="shared" si="38"/>
        <v>-15.519968637200639</v>
      </c>
      <c r="BH65">
        <f t="shared" si="38"/>
        <v>-14.431921456185309</v>
      </c>
      <c r="BI65">
        <f t="shared" si="38"/>
        <v>-13.51344335688632</v>
      </c>
      <c r="BJ65">
        <f t="shared" si="38"/>
        <v>-12.727138467766885</v>
      </c>
      <c r="BK65">
        <f t="shared" si="38"/>
        <v>-12.044920475781096</v>
      </c>
      <c r="BL65">
        <f t="shared" si="38"/>
        <v>-11.445917900621225</v>
      </c>
      <c r="BM65">
        <f t="shared" si="38"/>
        <v>-7.8458785711432313</v>
      </c>
      <c r="BN65">
        <f t="shared" si="38"/>
        <v>-6.0435740376304077</v>
      </c>
      <c r="BO65">
        <f t="shared" si="38"/>
        <v>-4.9011423987512241</v>
      </c>
      <c r="BP65">
        <f t="shared" si="38"/>
        <v>-4.091790380665409</v>
      </c>
    </row>
    <row r="66" spans="6:68" x14ac:dyDescent="0.3">
      <c r="F66">
        <v>80</v>
      </c>
      <c r="G66">
        <f t="shared" si="36"/>
        <v>-5.9259717579569884E-5</v>
      </c>
      <c r="H66">
        <f t="shared" si="36"/>
        <v>-1.6987961171539338E-4</v>
      </c>
      <c r="I66">
        <f t="shared" si="36"/>
        <v>-7.0908167126349329E-6</v>
      </c>
      <c r="J66">
        <f t="shared" si="36"/>
        <v>7.1685954486837687E-5</v>
      </c>
      <c r="K66">
        <f t="shared" si="36"/>
        <v>6.959232816127686E-5</v>
      </c>
      <c r="L66">
        <f t="shared" si="36"/>
        <v>4.6489698576994742E-5</v>
      </c>
      <c r="M66">
        <f t="shared" si="36"/>
        <v>2.6584746347254976E-5</v>
      </c>
      <c r="N66">
        <f t="shared" si="36"/>
        <v>1.3985157014989847E-5</v>
      </c>
      <c r="O66">
        <f t="shared" si="36"/>
        <v>6.9937430562577716E-6</v>
      </c>
      <c r="P66">
        <f t="shared" si="36"/>
        <v>3.3834302442512944E-6</v>
      </c>
      <c r="Q66">
        <f t="shared" si="36"/>
        <v>1.2468087559402023E-9</v>
      </c>
      <c r="R66">
        <f t="shared" si="36"/>
        <v>3.4299521938192365E-13</v>
      </c>
      <c r="S66">
        <f t="shared" si="36"/>
        <v>8.9875191779600015E-17</v>
      </c>
      <c r="T66">
        <f t="shared" si="36"/>
        <v>2.3297252821546149E-20</v>
      </c>
      <c r="AD66">
        <v>80</v>
      </c>
      <c r="AE66">
        <f>ThetaC($AD6,$A$2,AE$1,$B$2,0,$C$3)</f>
        <v>-3.9004789717063164E-43</v>
      </c>
      <c r="AF66">
        <f t="shared" si="37"/>
        <v>-1.1699767417377953E-21</v>
      </c>
      <c r="AG66">
        <f t="shared" si="37"/>
        <v>-1.5527531642566181E-14</v>
      </c>
      <c r="AH66">
        <f t="shared" si="37"/>
        <v>-5.4378093755635159E-11</v>
      </c>
      <c r="AI66">
        <f t="shared" si="37"/>
        <v>-7.1132109516294027E-9</v>
      </c>
      <c r="AJ66">
        <f t="shared" si="37"/>
        <v>-1.8059548512341664E-7</v>
      </c>
      <c r="AK66">
        <f t="shared" si="37"/>
        <v>-1.8010587208367459E-6</v>
      </c>
      <c r="AL66">
        <f t="shared" si="37"/>
        <v>-1.0031203559688773E-5</v>
      </c>
      <c r="AM66">
        <f t="shared" si="37"/>
        <v>-3.7926131485687202E-5</v>
      </c>
      <c r="AN66">
        <f t="shared" si="37"/>
        <v>-1.0940844289115166E-4</v>
      </c>
      <c r="AO66">
        <f t="shared" si="37"/>
        <v>-1.185183109364667E-2</v>
      </c>
      <c r="AP66">
        <f t="shared" si="37"/>
        <v>-5.3311328643261525E-2</v>
      </c>
      <c r="AQ66">
        <f t="shared" si="37"/>
        <v>-0.11040061598034728</v>
      </c>
      <c r="AR66">
        <f t="shared" si="37"/>
        <v>-0.16875810384878101</v>
      </c>
      <c r="BB66">
        <v>80</v>
      </c>
      <c r="BC66">
        <f t="shared" si="38"/>
        <v>-27.229570927299459</v>
      </c>
      <c r="BD66">
        <f t="shared" si="38"/>
        <v>-23.919322281130082</v>
      </c>
      <c r="BE66">
        <f t="shared" si="38"/>
        <v>-20.918118439930772</v>
      </c>
      <c r="BF66">
        <f t="shared" si="38"/>
        <v>-18.692490620798679</v>
      </c>
      <c r="BG66">
        <f t="shared" si="38"/>
        <v>-16.993952407121718</v>
      </c>
      <c r="BH66">
        <f t="shared" si="38"/>
        <v>-15.649203872742763</v>
      </c>
      <c r="BI66">
        <f t="shared" si="38"/>
        <v>-14.55149814969891</v>
      </c>
      <c r="BJ66">
        <f t="shared" si="38"/>
        <v>-13.633318876107651</v>
      </c>
      <c r="BK66">
        <f t="shared" si="38"/>
        <v>-12.850131165642495</v>
      </c>
      <c r="BL66">
        <f t="shared" si="38"/>
        <v>-12.171373897258382</v>
      </c>
      <c r="BM66">
        <f t="shared" si="38"/>
        <v>-8.2213355491387325</v>
      </c>
      <c r="BN66">
        <f t="shared" si="38"/>
        <v>-6.3014967386623173</v>
      </c>
      <c r="BO66">
        <f t="shared" si="38"/>
        <v>-5.0975330091525732</v>
      </c>
      <c r="BP66">
        <f t="shared" si="38"/>
        <v>-4.2492936462972031</v>
      </c>
    </row>
    <row r="67" spans="6:68" x14ac:dyDescent="0.3">
      <c r="F67">
        <v>85</v>
      </c>
      <c r="G67">
        <f t="shared" si="36"/>
        <v>-2.8822692561534316E-3</v>
      </c>
      <c r="H67">
        <f t="shared" si="36"/>
        <v>-8.2690439546116387E-4</v>
      </c>
      <c r="I67">
        <f t="shared" si="36"/>
        <v>9.800304711717197E-4</v>
      </c>
      <c r="J67">
        <f t="shared" si="36"/>
        <v>1.0109831714937227E-3</v>
      </c>
      <c r="K67">
        <f t="shared" si="36"/>
        <v>6.4708294430569787E-4</v>
      </c>
      <c r="L67">
        <f t="shared" si="36"/>
        <v>3.5157783407426338E-4</v>
      </c>
      <c r="M67">
        <f t="shared" si="36"/>
        <v>1.7647180608945431E-4</v>
      </c>
      <c r="N67">
        <f t="shared" si="36"/>
        <v>8.4713372795522547E-5</v>
      </c>
      <c r="O67">
        <f t="shared" si="36"/>
        <v>3.9561830070463743E-5</v>
      </c>
      <c r="P67">
        <f t="shared" si="36"/>
        <v>1.8145097355946414E-5</v>
      </c>
      <c r="Q67">
        <f t="shared" si="36"/>
        <v>5.3148558553553355E-9</v>
      </c>
      <c r="R67">
        <f t="shared" si="36"/>
        <v>1.3574275443431917E-12</v>
      </c>
      <c r="S67">
        <f t="shared" si="36"/>
        <v>3.4277447092014386E-16</v>
      </c>
      <c r="T67">
        <f t="shared" si="36"/>
        <v>8.6905212577726017E-20</v>
      </c>
      <c r="AD67">
        <v>85</v>
      </c>
      <c r="AE67">
        <f t="shared" si="37"/>
        <v>-6.4350860645591941E-23</v>
      </c>
      <c r="AF67">
        <f t="shared" si="37"/>
        <v>-1.3579682354337443E-11</v>
      </c>
      <c r="AG67">
        <f t="shared" si="37"/>
        <v>-7.4546048410215502E-8</v>
      </c>
      <c r="AH67">
        <f t="shared" si="37"/>
        <v>-5.3168227315841165E-6</v>
      </c>
      <c r="AI67">
        <f t="shared" si="37"/>
        <v>-6.7311826817602943E-5</v>
      </c>
      <c r="AJ67">
        <f t="shared" si="37"/>
        <v>-3.6054157680842403E-4</v>
      </c>
      <c r="AK67">
        <f t="shared" si="37"/>
        <v>-1.1840470533358207E-3</v>
      </c>
      <c r="AL67">
        <f t="shared" si="37"/>
        <v>-2.868336039855591E-3</v>
      </c>
      <c r="AM67">
        <f t="shared" si="37"/>
        <v>-5.678100294402133E-3</v>
      </c>
      <c r="AN67">
        <f t="shared" si="37"/>
        <v>-9.7651795799466173E-3</v>
      </c>
      <c r="AO67">
        <f t="shared" si="37"/>
        <v>-0.10413369437087423</v>
      </c>
      <c r="AP67">
        <f t="shared" si="37"/>
        <v>-0.21813509452498117</v>
      </c>
      <c r="AQ67">
        <f t="shared" si="37"/>
        <v>-0.30964855226183596</v>
      </c>
      <c r="AR67">
        <f t="shared" si="37"/>
        <v>-0.37834940943483797</v>
      </c>
      <c r="BB67">
        <v>85</v>
      </c>
      <c r="BC67">
        <f t="shared" si="38"/>
        <v>-34.541346575752335</v>
      </c>
      <c r="BD67">
        <f t="shared" si="38"/>
        <v>-27.351720836859673</v>
      </c>
      <c r="BE67">
        <f t="shared" si="38"/>
        <v>-23.106977734738617</v>
      </c>
      <c r="BF67">
        <f t="shared" si="38"/>
        <v>-20.294558106064077</v>
      </c>
      <c r="BG67">
        <f t="shared" si="38"/>
        <v>-18.25998408319542</v>
      </c>
      <c r="BH67">
        <f t="shared" si="38"/>
        <v>-16.699070032889662</v>
      </c>
      <c r="BI67">
        <f t="shared" si="38"/>
        <v>-15.451089032790366</v>
      </c>
      <c r="BJ67">
        <f t="shared" si="38"/>
        <v>-14.422486256962905</v>
      </c>
      <c r="BK67">
        <f t="shared" si="38"/>
        <v>-13.554717829133951</v>
      </c>
      <c r="BL67">
        <f t="shared" si="38"/>
        <v>-12.809052165759866</v>
      </c>
      <c r="BM67">
        <f t="shared" si="38"/>
        <v>-8.56191096690746</v>
      </c>
      <c r="BN67">
        <f t="shared" si="38"/>
        <v>-6.5393350264681498</v>
      </c>
      <c r="BO67">
        <f t="shared" si="38"/>
        <v>-5.2804279586626954</v>
      </c>
      <c r="BP67">
        <f t="shared" si="38"/>
        <v>-4.3969391101136548</v>
      </c>
    </row>
    <row r="68" spans="6:68" x14ac:dyDescent="0.3">
      <c r="F68">
        <v>90</v>
      </c>
      <c r="G68">
        <f t="shared" si="36"/>
        <v>-3.49454214160871E-2</v>
      </c>
      <c r="H68">
        <f t="shared" si="36"/>
        <v>1.1017664932104716E-2</v>
      </c>
      <c r="I68">
        <f t="shared" si="36"/>
        <v>1.353169350718438E-2</v>
      </c>
      <c r="J68">
        <f t="shared" si="36"/>
        <v>8.2025994896132055E-3</v>
      </c>
      <c r="K68">
        <f t="shared" si="36"/>
        <v>4.1880334701685246E-3</v>
      </c>
      <c r="L68">
        <f t="shared" si="36"/>
        <v>1.9924745410760066E-3</v>
      </c>
      <c r="M68">
        <f t="shared" si="36"/>
        <v>9.1485752455217496E-4</v>
      </c>
      <c r="N68">
        <f t="shared" si="36"/>
        <v>4.11756367969774E-4</v>
      </c>
      <c r="O68">
        <f t="shared" si="36"/>
        <v>1.8309838500525733E-4</v>
      </c>
      <c r="P68">
        <f t="shared" si="36"/>
        <v>8.0797903437633791E-5</v>
      </c>
      <c r="Q68">
        <f t="shared" si="36"/>
        <v>1.9981076733430976E-8</v>
      </c>
      <c r="R68">
        <f t="shared" si="36"/>
        <v>4.8275318461569766E-12</v>
      </c>
      <c r="S68">
        <f t="shared" si="36"/>
        <v>1.1856860246590713E-15</v>
      </c>
      <c r="T68">
        <f t="shared" si="36"/>
        <v>2.956473412284713E-19</v>
      </c>
      <c r="AD68">
        <v>90</v>
      </c>
      <c r="AE68">
        <f t="shared" si="37"/>
        <v>-1.0565634064086277E-9</v>
      </c>
      <c r="AF68">
        <f t="shared" si="37"/>
        <v>-5.0238848160538048E-5</v>
      </c>
      <c r="AG68">
        <f t="shared" si="37"/>
        <v>-1.6839952137930477E-3</v>
      </c>
      <c r="AH68">
        <f t="shared" si="37"/>
        <v>-9.4070943920768618E-3</v>
      </c>
      <c r="AI68">
        <f t="shared" si="37"/>
        <v>-2.5879233594430819E-2</v>
      </c>
      <c r="AJ68">
        <f t="shared" si="37"/>
        <v>-5.0165061022886467E-2</v>
      </c>
      <c r="AK68">
        <f t="shared" si="37"/>
        <v>-7.978994465066222E-2</v>
      </c>
      <c r="AL68">
        <f t="shared" si="37"/>
        <v>-0.11230611845600198</v>
      </c>
      <c r="AM68">
        <f t="shared" si="37"/>
        <v>-0.14583231022885529</v>
      </c>
      <c r="AN68">
        <f t="shared" si="37"/>
        <v>-0.17908829341893112</v>
      </c>
      <c r="AO68">
        <f t="shared" si="37"/>
        <v>-0.42434598728579076</v>
      </c>
      <c r="AP68">
        <f t="shared" si="37"/>
        <v>-0.54333739399136316</v>
      </c>
      <c r="AQ68">
        <f t="shared" si="37"/>
        <v>-0.60546113172054739</v>
      </c>
      <c r="AR68">
        <f t="shared" si="37"/>
        <v>-0.64112369101649291</v>
      </c>
      <c r="BB68">
        <v>90</v>
      </c>
      <c r="BC68">
        <f t="shared" si="38"/>
        <v>-40.72202735003976</v>
      </c>
      <c r="BD68">
        <f t="shared" si="38"/>
        <v>-30.128029040422188</v>
      </c>
      <c r="BE68">
        <f t="shared" si="38"/>
        <v>-24.882524935716795</v>
      </c>
      <c r="BF68">
        <f t="shared" si="38"/>
        <v>-21.607805541390455</v>
      </c>
      <c r="BG68">
        <f t="shared" si="38"/>
        <v>-19.309744933716466</v>
      </c>
      <c r="BH68">
        <f t="shared" si="38"/>
        <v>-17.579079249897738</v>
      </c>
      <c r="BI68">
        <f t="shared" si="38"/>
        <v>-16.212582039765483</v>
      </c>
      <c r="BJ68">
        <f t="shared" si="38"/>
        <v>-15.096404940376969</v>
      </c>
      <c r="BK68">
        <f t="shared" si="38"/>
        <v>-14.161143174106222</v>
      </c>
      <c r="BL68">
        <f t="shared" si="38"/>
        <v>-13.361745943064699</v>
      </c>
      <c r="BM68">
        <f t="shared" si="38"/>
        <v>-8.8698020759202834</v>
      </c>
      <c r="BN68">
        <f t="shared" si="38"/>
        <v>-6.7585465594705818</v>
      </c>
      <c r="BO68">
        <f t="shared" si="38"/>
        <v>-5.4508682335102359</v>
      </c>
      <c r="BP68">
        <f t="shared" si="38"/>
        <v>-4.5355130089477189</v>
      </c>
    </row>
    <row r="69" spans="6:68" x14ac:dyDescent="0.3">
      <c r="F69">
        <v>95</v>
      </c>
      <c r="G69">
        <f t="shared" si="36"/>
        <v>5.9206547237089811E-2</v>
      </c>
      <c r="H69">
        <f t="shared" si="36"/>
        <v>0.17636079719045067</v>
      </c>
      <c r="I69">
        <f t="shared" si="36"/>
        <v>9.7627984039765414E-2</v>
      </c>
      <c r="J69">
        <f t="shared" si="36"/>
        <v>4.578071710525411E-2</v>
      </c>
      <c r="K69">
        <f t="shared" si="36"/>
        <v>2.040383579329625E-2</v>
      </c>
      <c r="L69">
        <f t="shared" si="36"/>
        <v>8.9098072762283792E-3</v>
      </c>
      <c r="M69">
        <f t="shared" si="36"/>
        <v>3.8548803003254982E-3</v>
      </c>
      <c r="N69">
        <f t="shared" si="36"/>
        <v>1.6606005994279937E-3</v>
      </c>
      <c r="O69">
        <f t="shared" si="36"/>
        <v>7.1394423208532816E-4</v>
      </c>
      <c r="P69">
        <f t="shared" si="36"/>
        <v>3.067220552419416E-4</v>
      </c>
      <c r="Q69">
        <f t="shared" si="36"/>
        <v>6.7318358285789084E-8</v>
      </c>
      <c r="R69">
        <f t="shared" si="36"/>
        <v>1.5631550412796328E-11</v>
      </c>
      <c r="S69">
        <f t="shared" si="36"/>
        <v>3.7635962754084222E-15</v>
      </c>
      <c r="T69">
        <f t="shared" si="36"/>
        <v>9.2727441013594027E-19</v>
      </c>
      <c r="AD69">
        <v>95</v>
      </c>
      <c r="AE69">
        <f t="shared" si="37"/>
        <v>-2.0232830799657913E-2</v>
      </c>
      <c r="AF69">
        <f t="shared" si="37"/>
        <v>-0.20452523594889224</v>
      </c>
      <c r="AG69">
        <f t="shared" si="37"/>
        <v>-0.41194942142177254</v>
      </c>
      <c r="AH69">
        <f t="shared" si="37"/>
        <v>-0.56636217448244208</v>
      </c>
      <c r="AI69">
        <f t="shared" si="37"/>
        <v>-0.67359986807647232</v>
      </c>
      <c r="AJ69">
        <f t="shared" si="37"/>
        <v>-0.74790023096409197</v>
      </c>
      <c r="AK69">
        <f t="shared" si="37"/>
        <v>-0.80001124957868486</v>
      </c>
      <c r="AL69">
        <f t="shared" si="37"/>
        <v>-0.83706133229907453</v>
      </c>
      <c r="AM69">
        <f t="shared" si="37"/>
        <v>-0.86370060981046226</v>
      </c>
      <c r="AN69">
        <f t="shared" si="37"/>
        <v>-0.88299829539622154</v>
      </c>
      <c r="AO69">
        <f t="shared" si="37"/>
        <v>-0.92676379324537561</v>
      </c>
      <c r="AP69">
        <f t="shared" si="37"/>
        <v>-0.91073193119666063</v>
      </c>
      <c r="AQ69">
        <f t="shared" si="37"/>
        <v>-0.89102456449714162</v>
      </c>
      <c r="AR69">
        <f t="shared" si="37"/>
        <v>-0.8733437618477542</v>
      </c>
      <c r="BB69">
        <v>95</v>
      </c>
      <c r="BC69">
        <f t="shared" si="38"/>
        <v>-45.117488339015907</v>
      </c>
      <c r="BD69">
        <f t="shared" si="38"/>
        <v>-32.148630099838201</v>
      </c>
      <c r="BE69">
        <f t="shared" si="38"/>
        <v>-26.220370148183779</v>
      </c>
      <c r="BF69">
        <f t="shared" si="38"/>
        <v>-22.626957659127374</v>
      </c>
      <c r="BG69">
        <f t="shared" si="38"/>
        <v>-20.144236716958034</v>
      </c>
      <c r="BH69">
        <f t="shared" si="38"/>
        <v>-18.292509068894319</v>
      </c>
      <c r="BI69">
        <f t="shared" si="38"/>
        <v>-16.840049128396927</v>
      </c>
      <c r="BJ69">
        <f t="shared" si="38"/>
        <v>-15.65933624811537</v>
      </c>
      <c r="BK69">
        <f t="shared" si="38"/>
        <v>-14.673599505101436</v>
      </c>
      <c r="BL69">
        <f t="shared" si="38"/>
        <v>-13.833469584703202</v>
      </c>
      <c r="BM69">
        <f t="shared" si="38"/>
        <v>-9.1471951310753781</v>
      </c>
      <c r="BN69">
        <f t="shared" si="38"/>
        <v>-6.9604925739499368</v>
      </c>
      <c r="BO69">
        <f t="shared" si="38"/>
        <v>-5.6098009786268568</v>
      </c>
      <c r="BP69">
        <f t="shared" si="38"/>
        <v>-4.6657207659083069</v>
      </c>
    </row>
    <row r="70" spans="6:68" x14ac:dyDescent="0.3">
      <c r="F70">
        <v>100</v>
      </c>
      <c r="G70">
        <f t="shared" si="36"/>
        <v>2.5996750287031491</v>
      </c>
      <c r="H70">
        <f t="shared" si="36"/>
        <v>1.1395474135425681</v>
      </c>
      <c r="I70">
        <f t="shared" si="36"/>
        <v>0.46685334922748301</v>
      </c>
      <c r="J70">
        <f t="shared" si="36"/>
        <v>0.19112349092136027</v>
      </c>
      <c r="K70">
        <f t="shared" si="36"/>
        <v>7.8733792728032756E-2</v>
      </c>
      <c r="L70">
        <f t="shared" si="36"/>
        <v>3.2647286991548161E-2</v>
      </c>
      <c r="M70">
        <f t="shared" si="36"/>
        <v>1.3615466461598552E-2</v>
      </c>
      <c r="N70">
        <f t="shared" si="36"/>
        <v>5.7061544751578729E-3</v>
      </c>
      <c r="O70">
        <f t="shared" si="36"/>
        <v>2.4013479717360005E-3</v>
      </c>
      <c r="P70">
        <f t="shared" si="36"/>
        <v>1.0141448254933538E-3</v>
      </c>
      <c r="Q70">
        <f t="shared" si="36"/>
        <v>2.0597066619406474E-7</v>
      </c>
      <c r="R70">
        <f t="shared" si="36"/>
        <v>4.6589912026044659E-11</v>
      </c>
      <c r="S70">
        <f t="shared" si="36"/>
        <v>1.1070215685885277E-14</v>
      </c>
      <c r="T70">
        <f t="shared" si="36"/>
        <v>2.7058383437158802E-18</v>
      </c>
      <c r="AD70">
        <v>100</v>
      </c>
      <c r="AE70">
        <f t="shared" si="37"/>
        <v>-3.6674867398005797</v>
      </c>
      <c r="AF70">
        <f t="shared" si="37"/>
        <v>-2.7490225244980384</v>
      </c>
      <c r="AG70">
        <f t="shared" si="37"/>
        <v>-2.3437074529464668</v>
      </c>
      <c r="AH70">
        <f t="shared" si="37"/>
        <v>-2.1029646100652775</v>
      </c>
      <c r="AI70">
        <f t="shared" si="37"/>
        <v>-1.9392366774845227</v>
      </c>
      <c r="AJ70">
        <f t="shared" si="37"/>
        <v>-1.8187729896474378</v>
      </c>
      <c r="AK70">
        <f t="shared" si="37"/>
        <v>-1.7254416652863869</v>
      </c>
      <c r="AL70">
        <f t="shared" si="37"/>
        <v>-1.6504350592119721</v>
      </c>
      <c r="AM70">
        <f t="shared" si="37"/>
        <v>-1.5884846333118041</v>
      </c>
      <c r="AN70">
        <f t="shared" si="37"/>
        <v>-1.5362209298034017</v>
      </c>
      <c r="AO70">
        <f t="shared" si="37"/>
        <v>-1.2563215541408219</v>
      </c>
      <c r="AP70">
        <f t="shared" si="37"/>
        <v>-1.1345154768004237</v>
      </c>
      <c r="AQ70">
        <f t="shared" si="37"/>
        <v>-1.0625188672550916</v>
      </c>
      <c r="AR70">
        <f t="shared" si="37"/>
        <v>-1.0134141144329898</v>
      </c>
      <c r="BB70">
        <v>100</v>
      </c>
      <c r="BC70">
        <f t="shared" si="38"/>
        <v>-47.407380202807616</v>
      </c>
      <c r="BD70">
        <f t="shared" si="38"/>
        <v>-33.386525297573989</v>
      </c>
      <c r="BE70">
        <f t="shared" si="38"/>
        <v>-27.123022427351074</v>
      </c>
      <c r="BF70">
        <f t="shared" si="38"/>
        <v>-23.359491258490451</v>
      </c>
      <c r="BG70">
        <f t="shared" si="38"/>
        <v>-20.771406804749223</v>
      </c>
      <c r="BH70">
        <f t="shared" si="38"/>
        <v>-18.846763773348989</v>
      </c>
      <c r="BI70">
        <f t="shared" si="38"/>
        <v>-17.340159613914441</v>
      </c>
      <c r="BJ70">
        <f t="shared" si="38"/>
        <v>-16.117241054182308</v>
      </c>
      <c r="BK70">
        <f t="shared" si="38"/>
        <v>-15.097419860205173</v>
      </c>
      <c r="BL70">
        <f t="shared" si="38"/>
        <v>-14.229014371219559</v>
      </c>
      <c r="BM70">
        <f t="shared" si="38"/>
        <v>-9.3962199397062118</v>
      </c>
      <c r="BN70">
        <f t="shared" si="38"/>
        <v>-7.1464376747806124</v>
      </c>
      <c r="BO70">
        <f t="shared" si="38"/>
        <v>-5.7580879778689402</v>
      </c>
      <c r="BP70">
        <f t="shared" si="38"/>
        <v>-4.7881968798807026</v>
      </c>
    </row>
    <row r="71" spans="6:68" x14ac:dyDescent="0.3">
      <c r="F71">
        <v>105</v>
      </c>
      <c r="G71">
        <f t="shared" si="36"/>
        <v>14.041908442863864</v>
      </c>
      <c r="H71">
        <f t="shared" si="36"/>
        <v>4.4723112840977128</v>
      </c>
      <c r="I71">
        <f t="shared" si="36"/>
        <v>1.6333100729440757</v>
      </c>
      <c r="J71">
        <f t="shared" si="36"/>
        <v>0.62946188971192185</v>
      </c>
      <c r="K71">
        <f t="shared" si="36"/>
        <v>0.24975639533790608</v>
      </c>
      <c r="L71">
        <f t="shared" si="36"/>
        <v>0.10093654220801118</v>
      </c>
      <c r="M71">
        <f t="shared" si="36"/>
        <v>4.1314522392030123E-2</v>
      </c>
      <c r="N71">
        <f t="shared" si="36"/>
        <v>1.7069259034455605E-2</v>
      </c>
      <c r="O71">
        <f t="shared" si="36"/>
        <v>7.1029574136004386E-3</v>
      </c>
      <c r="P71">
        <f t="shared" si="36"/>
        <v>2.9725549677444927E-3</v>
      </c>
      <c r="Q71">
        <f t="shared" si="36"/>
        <v>5.7872328387941674E-7</v>
      </c>
      <c r="R71">
        <f t="shared" si="36"/>
        <v>1.2899993790973575E-10</v>
      </c>
      <c r="S71">
        <f t="shared" si="36"/>
        <v>3.0423857377652837E-14</v>
      </c>
      <c r="T71">
        <f t="shared" si="36"/>
        <v>7.4028187261056529E-18</v>
      </c>
      <c r="AD71">
        <v>105</v>
      </c>
      <c r="AE71">
        <f t="shared" si="37"/>
        <v>-1.0208547324446342</v>
      </c>
      <c r="AF71">
        <f t="shared" si="37"/>
        <v>-1.1591613466690811</v>
      </c>
      <c r="AG71">
        <f t="shared" si="37"/>
        <v>-1.2784730923376368</v>
      </c>
      <c r="AH71">
        <f t="shared" si="37"/>
        <v>-1.3473587276282515</v>
      </c>
      <c r="AI71">
        <f t="shared" si="37"/>
        <v>-1.3820981571980919</v>
      </c>
      <c r="AJ71">
        <f t="shared" si="37"/>
        <v>-1.396555126403908</v>
      </c>
      <c r="AK71">
        <f t="shared" si="37"/>
        <v>-1.3991542155871135</v>
      </c>
      <c r="AL71">
        <f t="shared" si="37"/>
        <v>-1.3948029641631166</v>
      </c>
      <c r="AM71">
        <f t="shared" si="37"/>
        <v>-1.3863862046118149</v>
      </c>
      <c r="AN71">
        <f t="shared" si="37"/>
        <v>-1.3756331977118625</v>
      </c>
      <c r="AO71">
        <f t="shared" si="37"/>
        <v>-1.2548490342887044</v>
      </c>
      <c r="AP71">
        <f t="shared" si="37"/>
        <v>-1.1669485581254064</v>
      </c>
      <c r="AQ71">
        <f t="shared" si="37"/>
        <v>-1.1049119257907498</v>
      </c>
      <c r="AR71">
        <f t="shared" si="37"/>
        <v>-1.0584758085145585</v>
      </c>
      <c r="BB71">
        <v>105</v>
      </c>
      <c r="BC71">
        <f t="shared" si="38"/>
        <v>-47.600529369508749</v>
      </c>
      <c r="BD71">
        <f t="shared" si="38"/>
        <v>-33.873586742857306</v>
      </c>
      <c r="BE71">
        <f t="shared" si="38"/>
        <v>-27.613340982896293</v>
      </c>
      <c r="BF71">
        <f t="shared" si="38"/>
        <v>-23.822133118174069</v>
      </c>
      <c r="BG71">
        <f t="shared" si="38"/>
        <v>-21.204074747012285</v>
      </c>
      <c r="BH71">
        <f t="shared" si="38"/>
        <v>-19.252052756687249</v>
      </c>
      <c r="BI71">
        <f t="shared" si="38"/>
        <v>-17.721290951743761</v>
      </c>
      <c r="BJ71">
        <f t="shared" si="38"/>
        <v>-16.477156701172024</v>
      </c>
      <c r="BK71">
        <f t="shared" si="38"/>
        <v>-15.438627574370424</v>
      </c>
      <c r="BL71">
        <f t="shared" si="38"/>
        <v>-14.553614855093318</v>
      </c>
      <c r="BM71">
        <f t="shared" si="38"/>
        <v>-9.6189213610190922</v>
      </c>
      <c r="BN71">
        <f t="shared" si="38"/>
        <v>-7.3175526568131932</v>
      </c>
      <c r="BO71">
        <f t="shared" si="38"/>
        <v>-5.8965137877738067</v>
      </c>
      <c r="BP71">
        <f t="shared" si="38"/>
        <v>-4.9035135088331572</v>
      </c>
    </row>
    <row r="72" spans="6:68" x14ac:dyDescent="0.3">
      <c r="F72">
        <v>110</v>
      </c>
      <c r="G72">
        <f t="shared" si="36"/>
        <v>36.996588223684398</v>
      </c>
      <c r="H72">
        <f t="shared" si="36"/>
        <v>12.216596656577357</v>
      </c>
      <c r="I72">
        <f t="shared" si="36"/>
        <v>4.4426794221313015</v>
      </c>
      <c r="J72">
        <f t="shared" si="36"/>
        <v>1.7001826497954413</v>
      </c>
      <c r="K72">
        <f t="shared" si="36"/>
        <v>0.67043640673396121</v>
      </c>
      <c r="L72">
        <f t="shared" si="36"/>
        <v>0.26958040292629504</v>
      </c>
      <c r="M72">
        <f t="shared" si="36"/>
        <v>0.109887355946111</v>
      </c>
      <c r="N72">
        <f t="shared" si="36"/>
        <v>4.5246187151504226E-2</v>
      </c>
      <c r="O72">
        <f t="shared" si="36"/>
        <v>1.8774762304131293E-2</v>
      </c>
      <c r="P72">
        <f t="shared" si="36"/>
        <v>7.8383503305313185E-3</v>
      </c>
      <c r="Q72">
        <f t="shared" si="36"/>
        <v>1.507370648547455E-6</v>
      </c>
      <c r="R72">
        <f t="shared" si="36"/>
        <v>3.3441620967048908E-10</v>
      </c>
      <c r="S72">
        <f t="shared" si="36"/>
        <v>7.8673716626558701E-14</v>
      </c>
      <c r="T72">
        <f t="shared" si="36"/>
        <v>1.9113660846248165E-17</v>
      </c>
      <c r="AD72">
        <v>110</v>
      </c>
      <c r="AE72">
        <f t="shared" si="37"/>
        <v>-0.99900052825791863</v>
      </c>
      <c r="AF72">
        <f t="shared" si="37"/>
        <v>-0.99817526087825548</v>
      </c>
      <c r="AG72">
        <f t="shared" si="37"/>
        <v>-0.99986466769791571</v>
      </c>
      <c r="AH72">
        <f t="shared" si="37"/>
        <v>-1.0070332361339018</v>
      </c>
      <c r="AI72">
        <f t="shared" si="37"/>
        <v>-1.0189791713749241</v>
      </c>
      <c r="AJ72">
        <f t="shared" si="37"/>
        <v>-1.0333166332151222</v>
      </c>
      <c r="AK72">
        <f t="shared" si="37"/>
        <v>-1.048014833020146</v>
      </c>
      <c r="AL72">
        <f t="shared" si="37"/>
        <v>-1.0618320231628859</v>
      </c>
      <c r="AM72">
        <f t="shared" si="37"/>
        <v>-1.0741531552880021</v>
      </c>
      <c r="AN72">
        <f t="shared" si="37"/>
        <v>-1.0847563166258312</v>
      </c>
      <c r="AO72">
        <f t="shared" si="37"/>
        <v>-1.1196043743432571</v>
      </c>
      <c r="AP72">
        <f t="shared" si="37"/>
        <v>-1.1012592185251955</v>
      </c>
      <c r="AQ72">
        <f t="shared" si="37"/>
        <v>-1.0732764357161724</v>
      </c>
      <c r="AR72">
        <f t="shared" si="37"/>
        <v>-1.045407482584042</v>
      </c>
      <c r="BB72">
        <v>110</v>
      </c>
      <c r="BC72">
        <f t="shared" si="38"/>
        <v>-45.960632722373113</v>
      </c>
      <c r="BD72">
        <f t="shared" si="38"/>
        <v>-33.683884417198939</v>
      </c>
      <c r="BE72">
        <f t="shared" si="38"/>
        <v>-27.72822069353472</v>
      </c>
      <c r="BF72">
        <f t="shared" si="38"/>
        <v>-24.037788805437899</v>
      </c>
      <c r="BG72">
        <f t="shared" si="38"/>
        <v>-21.458208894988399</v>
      </c>
      <c r="BH72">
        <f t="shared" si="38"/>
        <v>-19.520330528149458</v>
      </c>
      <c r="BI72">
        <f t="shared" si="38"/>
        <v>-17.992834145997996</v>
      </c>
      <c r="BJ72">
        <f t="shared" si="38"/>
        <v>-16.746720491199568</v>
      </c>
      <c r="BK72">
        <f t="shared" si="38"/>
        <v>-15.703597980783439</v>
      </c>
      <c r="BL72">
        <f t="shared" si="38"/>
        <v>-14.812702326775849</v>
      </c>
      <c r="BM72">
        <f t="shared" si="38"/>
        <v>-9.8172424918701022</v>
      </c>
      <c r="BN72">
        <f t="shared" si="38"/>
        <v>-7.4749190426768184</v>
      </c>
      <c r="BO72">
        <f t="shared" si="38"/>
        <v>-6.0257933125446854</v>
      </c>
      <c r="BP72">
        <f t="shared" si="38"/>
        <v>-5.0121879011396695</v>
      </c>
    </row>
    <row r="73" spans="6:68" x14ac:dyDescent="0.3">
      <c r="F73">
        <v>115</v>
      </c>
      <c r="G73">
        <f t="shared" si="36"/>
        <v>62.287015930159519</v>
      </c>
      <c r="H73">
        <f t="shared" si="36"/>
        <v>25.207997261809311</v>
      </c>
      <c r="I73">
        <f t="shared" si="36"/>
        <v>9.8213121238639669</v>
      </c>
      <c r="J73">
        <f t="shared" si="36"/>
        <v>3.8822241922733673</v>
      </c>
      <c r="K73">
        <f t="shared" si="36"/>
        <v>1.5590308813971339</v>
      </c>
      <c r="L73">
        <f t="shared" si="36"/>
        <v>0.63411541131937588</v>
      </c>
      <c r="M73">
        <f t="shared" si="36"/>
        <v>0.26050483106122324</v>
      </c>
      <c r="N73">
        <f t="shared" si="36"/>
        <v>0.10786613007011719</v>
      </c>
      <c r="O73">
        <f t="shared" si="36"/>
        <v>4.4947195709873905E-2</v>
      </c>
      <c r="P73">
        <f t="shared" si="36"/>
        <v>1.8826355013214727E-2</v>
      </c>
      <c r="Q73">
        <f t="shared" si="36"/>
        <v>3.6689225832793701E-6</v>
      </c>
      <c r="R73">
        <f t="shared" si="36"/>
        <v>8.171249803871374E-10</v>
      </c>
      <c r="S73">
        <f t="shared" si="36"/>
        <v>1.9258397978851188E-13</v>
      </c>
      <c r="T73">
        <f t="shared" si="36"/>
        <v>4.6837138360220632E-17</v>
      </c>
      <c r="AD73">
        <v>115</v>
      </c>
      <c r="AE73">
        <f t="shared" si="37"/>
        <v>-0.99900049983337502</v>
      </c>
      <c r="AF73">
        <f t="shared" si="37"/>
        <v>-0.99800200301531261</v>
      </c>
      <c r="AG73">
        <f t="shared" si="37"/>
        <v>-0.99700684509574744</v>
      </c>
      <c r="AH73">
        <f t="shared" si="37"/>
        <v>-0.99605992936727905</v>
      </c>
      <c r="AI73">
        <f t="shared" si="37"/>
        <v>-0.99533500858476542</v>
      </c>
      <c r="AJ73">
        <f t="shared" si="37"/>
        <v>-0.99508409494898353</v>
      </c>
      <c r="AK73">
        <f t="shared" si="37"/>
        <v>-0.99548855637610834</v>
      </c>
      <c r="AL73">
        <f t="shared" si="37"/>
        <v>-0.99659300163671871</v>
      </c>
      <c r="AM73">
        <f t="shared" si="37"/>
        <v>-0.99832880725716644</v>
      </c>
      <c r="AN73">
        <f t="shared" si="37"/>
        <v>-1.0005652991434515</v>
      </c>
      <c r="AO73">
        <f t="shared" si="37"/>
        <v>-1.0256723260741785</v>
      </c>
      <c r="AP73">
        <f t="shared" si="37"/>
        <v>-1.0326244054539988</v>
      </c>
      <c r="AQ73">
        <f t="shared" si="37"/>
        <v>-1.0261534762543443</v>
      </c>
      <c r="AR73">
        <f t="shared" si="37"/>
        <v>-1.0136394231552852</v>
      </c>
      <c r="BB73">
        <v>115</v>
      </c>
      <c r="BC73">
        <f t="shared" si="38"/>
        <v>-42.90302915040234</v>
      </c>
      <c r="BD73">
        <f t="shared" si="38"/>
        <v>-32.917351140430462</v>
      </c>
      <c r="BE73">
        <f t="shared" si="38"/>
        <v>-27.513057186966915</v>
      </c>
      <c r="BF73">
        <f t="shared" si="38"/>
        <v>-24.032999767321609</v>
      </c>
      <c r="BG73">
        <f t="shared" si="38"/>
        <v>-21.551550079646685</v>
      </c>
      <c r="BH73">
        <f t="shared" si="38"/>
        <v>-19.664472001880657</v>
      </c>
      <c r="BI73">
        <f t="shared" si="38"/>
        <v>-18.164664440710609</v>
      </c>
      <c r="BJ73">
        <f t="shared" si="38"/>
        <v>-16.933812968440062</v>
      </c>
      <c r="BK73">
        <f t="shared" si="38"/>
        <v>-15.898809229399925</v>
      </c>
      <c r="BL73">
        <f t="shared" si="38"/>
        <v>-15.011726025531052</v>
      </c>
      <c r="BM73">
        <f t="shared" si="38"/>
        <v>-9.993015879508663</v>
      </c>
      <c r="BN73">
        <f t="shared" si="38"/>
        <v>-7.6195345058986295</v>
      </c>
      <c r="BO73">
        <f t="shared" si="38"/>
        <v>-6.1465787352702996</v>
      </c>
      <c r="BP73">
        <f t="shared" si="38"/>
        <v>-5.1146888263244987</v>
      </c>
    </row>
    <row r="74" spans="6:68" x14ac:dyDescent="0.3">
      <c r="F74">
        <v>120</v>
      </c>
      <c r="G74">
        <f t="shared" si="36"/>
        <v>79.934585012580882</v>
      </c>
      <c r="H74">
        <f t="shared" si="36"/>
        <v>41.80208940279325</v>
      </c>
      <c r="I74">
        <f t="shared" si="36"/>
        <v>18.280581421056194</v>
      </c>
      <c r="J74">
        <f t="shared" si="36"/>
        <v>7.6825860335237568</v>
      </c>
      <c r="K74">
        <f t="shared" si="36"/>
        <v>3.2021704628586258</v>
      </c>
      <c r="L74">
        <f t="shared" si="36"/>
        <v>1.3351169393347109</v>
      </c>
      <c r="M74">
        <f t="shared" si="36"/>
        <v>0.55822374378116524</v>
      </c>
      <c r="N74">
        <f t="shared" si="36"/>
        <v>0.23418927273205636</v>
      </c>
      <c r="O74">
        <f t="shared" si="36"/>
        <v>9.8577179859031944E-2</v>
      </c>
      <c r="P74">
        <f t="shared" si="36"/>
        <v>4.1622499256176657E-2</v>
      </c>
      <c r="Q74">
        <f t="shared" si="36"/>
        <v>8.4027026465264324E-6</v>
      </c>
      <c r="R74">
        <f t="shared" si="36"/>
        <v>1.8927570545432741E-9</v>
      </c>
      <c r="S74">
        <f t="shared" si="36"/>
        <v>4.4858717513588779E-13</v>
      </c>
      <c r="T74">
        <f t="shared" si="36"/>
        <v>1.0945970884275743E-16</v>
      </c>
      <c r="AD74">
        <v>120</v>
      </c>
      <c r="AE74">
        <f t="shared" si="37"/>
        <v>-0.99900049983337502</v>
      </c>
      <c r="AF74">
        <f t="shared" si="37"/>
        <v>-0.9980019986673373</v>
      </c>
      <c r="AG74">
        <f t="shared" si="37"/>
        <v>-0.99700449572292416</v>
      </c>
      <c r="AH74">
        <f t="shared" si="37"/>
        <v>-0.99600803714918817</v>
      </c>
      <c r="AI74">
        <f t="shared" si="37"/>
        <v>-0.99501365151313415</v>
      </c>
      <c r="AJ74">
        <f t="shared" si="37"/>
        <v>-0.99402765377330116</v>
      </c>
      <c r="AK74">
        <f t="shared" si="37"/>
        <v>-0.99306757046757355</v>
      </c>
      <c r="AL74">
        <f t="shared" si="37"/>
        <v>-0.99216248733832701</v>
      </c>
      <c r="AM74">
        <f t="shared" si="37"/>
        <v>-0.99134645522239717</v>
      </c>
      <c r="AN74">
        <f t="shared" si="37"/>
        <v>-0.99065009092283829</v>
      </c>
      <c r="AO74">
        <f t="shared" si="37"/>
        <v>-0.99063972847315052</v>
      </c>
      <c r="AP74">
        <f t="shared" si="37"/>
        <v>-0.99341348483251712</v>
      </c>
      <c r="AQ74">
        <f t="shared" si="37"/>
        <v>-0.99166517929450881</v>
      </c>
      <c r="AR74">
        <f t="shared" si="37"/>
        <v>-0.98562607174685235</v>
      </c>
      <c r="BB74">
        <v>120</v>
      </c>
      <c r="BC74">
        <f t="shared" si="38"/>
        <v>-38.895553008658702</v>
      </c>
      <c r="BD74">
        <f t="shared" si="38"/>
        <v>-31.685718868492319</v>
      </c>
      <c r="BE74">
        <f t="shared" si="38"/>
        <v>-27.017231366645351</v>
      </c>
      <c r="BF74">
        <f t="shared" si="38"/>
        <v>-23.835936934675466</v>
      </c>
      <c r="BG74">
        <f t="shared" si="38"/>
        <v>-21.502551505254466</v>
      </c>
      <c r="BH74">
        <f t="shared" si="38"/>
        <v>-19.697649428149258</v>
      </c>
      <c r="BI74">
        <f t="shared" si="38"/>
        <v>-18.246748115914254</v>
      </c>
      <c r="BJ74">
        <f t="shared" si="38"/>
        <v>-17.046297064167671</v>
      </c>
      <c r="BK74">
        <f t="shared" si="38"/>
        <v>-16.030662873628451</v>
      </c>
      <c r="BL74">
        <f t="shared" si="38"/>
        <v>-15.156026453576059</v>
      </c>
      <c r="BM74">
        <f t="shared" si="38"/>
        <v>-10.147960206133789</v>
      </c>
      <c r="BN74">
        <f t="shared" si="38"/>
        <v>-7.7523186565052038</v>
      </c>
      <c r="BO74">
        <f t="shared" si="38"/>
        <v>-6.2594657912271208</v>
      </c>
      <c r="BP74">
        <f t="shared" si="38"/>
        <v>-5.2114421440260124</v>
      </c>
    </row>
    <row r="75" spans="6:68" x14ac:dyDescent="0.3">
      <c r="F75">
        <v>125</v>
      </c>
      <c r="G75">
        <f t="shared" si="36"/>
        <v>89.354311178701877</v>
      </c>
      <c r="H75">
        <f t="shared" si="36"/>
        <v>58.689661396271788</v>
      </c>
      <c r="I75">
        <f t="shared" si="36"/>
        <v>29.512323235440519</v>
      </c>
      <c r="J75">
        <f t="shared" si="36"/>
        <v>13.454217450975984</v>
      </c>
      <c r="K75">
        <f t="shared" si="36"/>
        <v>5.9055400946509966</v>
      </c>
      <c r="L75">
        <f t="shared" si="36"/>
        <v>2.550980704654938</v>
      </c>
      <c r="M75">
        <f t="shared" si="36"/>
        <v>1.094254233883091</v>
      </c>
      <c r="N75">
        <f t="shared" si="36"/>
        <v>0.46802811201334732</v>
      </c>
      <c r="O75">
        <f t="shared" si="36"/>
        <v>0.20000024951453443</v>
      </c>
      <c r="P75">
        <f t="shared" si="36"/>
        <v>8.5472758508227401E-2</v>
      </c>
      <c r="Q75">
        <f t="shared" si="36"/>
        <v>1.8215760917621366E-5</v>
      </c>
      <c r="R75">
        <f t="shared" si="36"/>
        <v>4.1771142801461143E-9</v>
      </c>
      <c r="S75">
        <f t="shared" si="36"/>
        <v>9.9879203649521789E-13</v>
      </c>
      <c r="T75">
        <f t="shared" si="36"/>
        <v>2.4500733168368861E-16</v>
      </c>
      <c r="AD75">
        <v>125</v>
      </c>
      <c r="AE75">
        <f t="shared" si="37"/>
        <v>-0.99900049983337502</v>
      </c>
      <c r="AF75">
        <f t="shared" si="37"/>
        <v>-0.99800199866733308</v>
      </c>
      <c r="AG75">
        <f t="shared" si="37"/>
        <v>-0.99700449550337611</v>
      </c>
      <c r="AH75">
        <f t="shared" si="37"/>
        <v>-0.99600798935462076</v>
      </c>
      <c r="AI75">
        <f t="shared" si="37"/>
        <v>-0.99501248055939051</v>
      </c>
      <c r="AJ75">
        <f t="shared" si="37"/>
        <v>-0.99401799816631953</v>
      </c>
      <c r="AK75">
        <f t="shared" si="37"/>
        <v>-0.99302477742723316</v>
      </c>
      <c r="AL75">
        <f t="shared" si="37"/>
        <v>-0.99203374684214718</v>
      </c>
      <c r="AM75">
        <f t="shared" si="37"/>
        <v>-0.99104719087462889</v>
      </c>
      <c r="AN75">
        <f t="shared" si="37"/>
        <v>-0.99006916304966053</v>
      </c>
      <c r="AO75">
        <f t="shared" si="37"/>
        <v>-0.98198420571939193</v>
      </c>
      <c r="AP75">
        <f t="shared" si="37"/>
        <v>-0.97735472229788523</v>
      </c>
      <c r="AQ75">
        <f t="shared" si="37"/>
        <v>-0.97317953559484061</v>
      </c>
      <c r="AR75">
        <f t="shared" si="37"/>
        <v>-0.96771367668239783</v>
      </c>
      <c r="BB75">
        <v>125</v>
      </c>
      <c r="BC75">
        <f t="shared" si="38"/>
        <v>-34.382466607613466</v>
      </c>
      <c r="BD75">
        <f t="shared" si="38"/>
        <v>-30.101580210956218</v>
      </c>
      <c r="BE75">
        <f t="shared" si="38"/>
        <v>-26.290650961685941</v>
      </c>
      <c r="BF75">
        <f t="shared" si="38"/>
        <v>-23.474888393218293</v>
      </c>
      <c r="BG75">
        <f t="shared" si="38"/>
        <v>-21.329591532706903</v>
      </c>
      <c r="BH75">
        <f t="shared" si="38"/>
        <v>-19.632876293601452</v>
      </c>
      <c r="BI75">
        <f t="shared" si="38"/>
        <v>-18.248858755222443</v>
      </c>
      <c r="BJ75">
        <f t="shared" si="38"/>
        <v>-17.091832666828381</v>
      </c>
      <c r="BK75">
        <f t="shared" si="38"/>
        <v>-16.105358389652604</v>
      </c>
      <c r="BL75">
        <f t="shared" si="38"/>
        <v>-15.250748372550079</v>
      </c>
      <c r="BM75">
        <f t="shared" si="38"/>
        <v>-10.283680655509473</v>
      </c>
      <c r="BN75">
        <f t="shared" si="38"/>
        <v>-7.8741188644571114</v>
      </c>
      <c r="BO75">
        <f t="shared" si="38"/>
        <v>-6.3649994071927249</v>
      </c>
      <c r="BP75">
        <f t="shared" si="38"/>
        <v>-5.3028356339624301</v>
      </c>
    </row>
    <row r="76" spans="6:68" x14ac:dyDescent="0.3">
      <c r="F76">
        <v>130</v>
      </c>
      <c r="G76">
        <f t="shared" si="36"/>
        <v>94.638457276225765</v>
      </c>
      <c r="H76">
        <f t="shared" si="36"/>
        <v>73.011529692587601</v>
      </c>
      <c r="I76">
        <f t="shared" si="36"/>
        <v>42.405347343643157</v>
      </c>
      <c r="J76">
        <f t="shared" si="36"/>
        <v>21.230260630388329</v>
      </c>
      <c r="K76">
        <f t="shared" si="36"/>
        <v>9.9179962521936691</v>
      </c>
      <c r="L76">
        <f t="shared" si="36"/>
        <v>4.4756177901464298</v>
      </c>
      <c r="M76">
        <f t="shared" si="36"/>
        <v>1.9824739243332912</v>
      </c>
      <c r="N76">
        <f t="shared" si="36"/>
        <v>0.86895160068970312</v>
      </c>
      <c r="O76">
        <f t="shared" si="36"/>
        <v>0.37854129217616334</v>
      </c>
      <c r="P76">
        <f t="shared" si="36"/>
        <v>0.16430243183104273</v>
      </c>
      <c r="Q76">
        <f t="shared" si="36"/>
        <v>3.7572619710598435E-5</v>
      </c>
      <c r="R76">
        <f t="shared" si="36"/>
        <v>8.8211646163731183E-9</v>
      </c>
      <c r="S76">
        <f t="shared" si="36"/>
        <v>2.1341402152813909E-12</v>
      </c>
      <c r="T76">
        <f t="shared" si="36"/>
        <v>5.2720384809988342E-16</v>
      </c>
      <c r="AD76">
        <v>130</v>
      </c>
      <c r="AE76">
        <f t="shared" si="37"/>
        <v>-0.99900049983337502</v>
      </c>
      <c r="AF76">
        <f t="shared" si="37"/>
        <v>-0.99800199866733308</v>
      </c>
      <c r="AG76">
        <f t="shared" si="37"/>
        <v>-0.997004495503373</v>
      </c>
      <c r="AH76">
        <f t="shared" si="37"/>
        <v>-0.99600798934399215</v>
      </c>
      <c r="AI76">
        <f t="shared" si="37"/>
        <v>-0.9950124791932724</v>
      </c>
      <c r="AJ76">
        <f t="shared" si="37"/>
        <v>-0.99401796410641208</v>
      </c>
      <c r="AK76">
        <f t="shared" si="37"/>
        <v>-0.99302444420895697</v>
      </c>
      <c r="AL76">
        <f t="shared" si="37"/>
        <v>-0.99203192864562362</v>
      </c>
      <c r="AM76">
        <f t="shared" si="37"/>
        <v>-0.9910404660129335</v>
      </c>
      <c r="AN76">
        <f t="shared" si="37"/>
        <v>-0.9900502121161765</v>
      </c>
      <c r="AO76">
        <f t="shared" si="37"/>
        <v>-0.98043582119048067</v>
      </c>
      <c r="AP76">
        <f t="shared" si="37"/>
        <v>-0.9721934645347402</v>
      </c>
      <c r="AQ76">
        <f t="shared" si="37"/>
        <v>-0.96513424310490159</v>
      </c>
      <c r="AR76">
        <f t="shared" si="37"/>
        <v>-0.95828483896948613</v>
      </c>
      <c r="BB76">
        <v>130</v>
      </c>
      <c r="BC76">
        <f t="shared" si="38"/>
        <v>-29.737497135072516</v>
      </c>
      <c r="BD76">
        <f t="shared" si="38"/>
        <v>-28.270681603961538</v>
      </c>
      <c r="BE76">
        <f t="shared" si="38"/>
        <v>-25.381267279864108</v>
      </c>
      <c r="BF76">
        <f t="shared" si="38"/>
        <v>-22.977174240267889</v>
      </c>
      <c r="BG76">
        <f t="shared" si="38"/>
        <v>-21.050412876573347</v>
      </c>
      <c r="BH76">
        <f t="shared" si="38"/>
        <v>-19.482685821322608</v>
      </c>
      <c r="BI76">
        <f t="shared" si="38"/>
        <v>-18.180379871604622</v>
      </c>
      <c r="BJ76">
        <f t="shared" si="38"/>
        <v>-17.077749671074653</v>
      </c>
      <c r="BK76">
        <f t="shared" si="38"/>
        <v>-16.128808906235804</v>
      </c>
      <c r="BL76">
        <f t="shared" si="38"/>
        <v>-15.300783735126281</v>
      </c>
      <c r="BM76">
        <f t="shared" si="38"/>
        <v>-10.401671705932017</v>
      </c>
      <c r="BN76">
        <f t="shared" si="38"/>
        <v>-7.9857159242827978</v>
      </c>
      <c r="BO76">
        <f t="shared" si="38"/>
        <v>-6.4636787497475678</v>
      </c>
      <c r="BP76">
        <f t="shared" si="38"/>
        <v>-5.3892231933667141</v>
      </c>
    </row>
    <row r="77" spans="6:68" x14ac:dyDescent="0.3">
      <c r="F77">
        <v>135</v>
      </c>
      <c r="G77">
        <f t="shared" si="36"/>
        <v>98.645713017988399</v>
      </c>
      <c r="H77">
        <f t="shared" si="36"/>
        <v>83.681469842742999</v>
      </c>
      <c r="I77">
        <f t="shared" si="36"/>
        <v>55.485115575870459</v>
      </c>
      <c r="J77">
        <f t="shared" si="36"/>
        <v>30.665516424642309</v>
      </c>
      <c r="K77">
        <f t="shared" si="36"/>
        <v>15.355456814974005</v>
      </c>
      <c r="L77">
        <f t="shared" si="36"/>
        <v>7.2844562654197986</v>
      </c>
      <c r="M77">
        <f t="shared" si="36"/>
        <v>3.349208534416567</v>
      </c>
      <c r="N77">
        <f t="shared" si="36"/>
        <v>1.5107797773932605</v>
      </c>
      <c r="O77">
        <f t="shared" si="36"/>
        <v>0.67326948201688164</v>
      </c>
      <c r="P77">
        <f t="shared" si="36"/>
        <v>0.29765311648857529</v>
      </c>
      <c r="Q77">
        <f t="shared" si="36"/>
        <v>7.4072401380410034E-5</v>
      </c>
      <c r="R77">
        <f t="shared" si="36"/>
        <v>1.789385549521345E-8</v>
      </c>
      <c r="S77">
        <f t="shared" si="36"/>
        <v>4.3913753380147793E-12</v>
      </c>
      <c r="T77">
        <f t="shared" si="36"/>
        <v>1.0941405787505092E-15</v>
      </c>
      <c r="AD77">
        <v>135</v>
      </c>
      <c r="AE77">
        <f t="shared" si="37"/>
        <v>-0.99900049983337502</v>
      </c>
      <c r="AF77">
        <f t="shared" si="37"/>
        <v>-0.99800199866733308</v>
      </c>
      <c r="AG77">
        <f t="shared" si="37"/>
        <v>-0.997004495503373</v>
      </c>
      <c r="AH77">
        <f t="shared" si="37"/>
        <v>-0.99600798934399148</v>
      </c>
      <c r="AI77">
        <f t="shared" si="37"/>
        <v>-0.99501247919268243</v>
      </c>
      <c r="AJ77">
        <f t="shared" si="37"/>
        <v>-0.99401796405397436</v>
      </c>
      <c r="AK77">
        <f t="shared" si="37"/>
        <v>-0.99302444293584802</v>
      </c>
      <c r="AL77">
        <f t="shared" si="37"/>
        <v>-0.99203191489747522</v>
      </c>
      <c r="AM77">
        <f t="shared" si="37"/>
        <v>-0.99104037946179502</v>
      </c>
      <c r="AN77">
        <f t="shared" si="37"/>
        <v>-0.99004983854201911</v>
      </c>
      <c r="AO77">
        <f t="shared" si="37"/>
        <v>-0.98022396994039218</v>
      </c>
      <c r="AP77">
        <f t="shared" si="37"/>
        <v>-0.97082666674789342</v>
      </c>
      <c r="AQ77">
        <f t="shared" si="37"/>
        <v>-0.96214847579487173</v>
      </c>
      <c r="AR77">
        <f t="shared" si="37"/>
        <v>-0.9539769942878612</v>
      </c>
      <c r="BB77">
        <v>135</v>
      </c>
      <c r="BC77">
        <f t="shared" si="38"/>
        <v>-25.243308199322559</v>
      </c>
      <c r="BD77">
        <f t="shared" si="38"/>
        <v>-26.287112651740578</v>
      </c>
      <c r="BE77">
        <f t="shared" si="38"/>
        <v>-24.333425966617096</v>
      </c>
      <c r="BF77">
        <f t="shared" si="38"/>
        <v>-22.368414027180904</v>
      </c>
      <c r="BG77">
        <f t="shared" si="38"/>
        <v>-20.681743854989215</v>
      </c>
      <c r="BH77">
        <f t="shared" si="38"/>
        <v>-19.258915545649682</v>
      </c>
      <c r="BI77">
        <f t="shared" si="38"/>
        <v>-18.050174491784439</v>
      </c>
      <c r="BJ77">
        <f t="shared" si="38"/>
        <v>-17.010965746013074</v>
      </c>
      <c r="BK77">
        <f t="shared" si="38"/>
        <v>-16.10658806280945</v>
      </c>
      <c r="BL77">
        <f t="shared" si="38"/>
        <v>-15.310736971412108</v>
      </c>
      <c r="BM77">
        <f t="shared" si="38"/>
        <v>-10.50332146861702</v>
      </c>
      <c r="BN77">
        <f t="shared" si="38"/>
        <v>-8.0878294470910603</v>
      </c>
      <c r="BO77">
        <f t="shared" si="38"/>
        <v>-6.5559617336033655</v>
      </c>
      <c r="BP77">
        <f t="shared" si="38"/>
        <v>-5.4709284931571114</v>
      </c>
    </row>
    <row r="78" spans="6:68" x14ac:dyDescent="0.3">
      <c r="F78">
        <v>140</v>
      </c>
      <c r="G78">
        <f t="shared" si="36"/>
        <v>102.38433630169452</v>
      </c>
      <c r="H78">
        <f t="shared" si="36"/>
        <v>91.166635713358559</v>
      </c>
      <c r="I78">
        <f t="shared" si="36"/>
        <v>67.470395604047653</v>
      </c>
      <c r="J78">
        <f t="shared" si="36"/>
        <v>41.1170743959362</v>
      </c>
      <c r="K78">
        <f t="shared" si="36"/>
        <v>22.154307603420246</v>
      </c>
      <c r="L78">
        <f t="shared" si="36"/>
        <v>11.097481245483397</v>
      </c>
      <c r="M78">
        <f t="shared" si="36"/>
        <v>5.3173811228644823</v>
      </c>
      <c r="N78">
        <f t="shared" si="36"/>
        <v>2.4769125662841218</v>
      </c>
      <c r="O78">
        <f t="shared" si="36"/>
        <v>1.1324507107643735</v>
      </c>
      <c r="P78">
        <f t="shared" si="36"/>
        <v>0.51119741271355679</v>
      </c>
      <c r="Q78">
        <f t="shared" si="36"/>
        <v>1.4012914322956402E-4</v>
      </c>
      <c r="R78">
        <f t="shared" si="36"/>
        <v>3.4984356968916467E-8</v>
      </c>
      <c r="S78">
        <f t="shared" si="36"/>
        <v>8.7285405601101385E-12</v>
      </c>
      <c r="T78">
        <f t="shared" si="36"/>
        <v>2.1964379327398013E-15</v>
      </c>
      <c r="AD78">
        <v>140</v>
      </c>
      <c r="AE78">
        <f t="shared" si="37"/>
        <v>-0.99900049983337502</v>
      </c>
      <c r="AF78">
        <f t="shared" si="37"/>
        <v>-0.99800199866733308</v>
      </c>
      <c r="AG78">
        <f t="shared" si="37"/>
        <v>-0.997004495503373</v>
      </c>
      <c r="AH78">
        <f t="shared" si="37"/>
        <v>-0.99600798934399148</v>
      </c>
      <c r="AI78">
        <f t="shared" si="37"/>
        <v>-0.99501247919268232</v>
      </c>
      <c r="AJ78">
        <f t="shared" si="37"/>
        <v>-0.99401796405393528</v>
      </c>
      <c r="AK78">
        <f t="shared" si="37"/>
        <v>-0.99302444293323822</v>
      </c>
      <c r="AL78">
        <f t="shared" si="37"/>
        <v>-0.99203191483722475</v>
      </c>
      <c r="AM78">
        <f t="shared" si="37"/>
        <v>-0.99104037877644224</v>
      </c>
      <c r="AN78">
        <f t="shared" si="37"/>
        <v>-0.99004983379060751</v>
      </c>
      <c r="AO78">
        <f t="shared" si="37"/>
        <v>-0.98020090174684071</v>
      </c>
      <c r="AP78">
        <f t="shared" si="37"/>
        <v>-0.97051859452825884</v>
      </c>
      <c r="AQ78">
        <f t="shared" si="37"/>
        <v>-0.96117477083305303</v>
      </c>
      <c r="AR78">
        <f t="shared" si="37"/>
        <v>-0.95221674106729459</v>
      </c>
      <c r="BB78">
        <v>140</v>
      </c>
      <c r="BC78">
        <f t="shared" si="38"/>
        <v>-21.09059094878014</v>
      </c>
      <c r="BD78">
        <f t="shared" si="38"/>
        <v>-24.230849237668693</v>
      </c>
      <c r="BE78">
        <f t="shared" si="38"/>
        <v>-23.186890983096681</v>
      </c>
      <c r="BF78">
        <f t="shared" si="38"/>
        <v>-21.672074321577703</v>
      </c>
      <c r="BG78">
        <f t="shared" si="38"/>
        <v>-20.239062084638292</v>
      </c>
      <c r="BH78">
        <f t="shared" si="38"/>
        <v>-18.972573766297341</v>
      </c>
      <c r="BI78">
        <f t="shared" si="38"/>
        <v>-17.866505801845257</v>
      </c>
      <c r="BJ78">
        <f t="shared" si="38"/>
        <v>-16.897937825027402</v>
      </c>
      <c r="BK78">
        <f t="shared" si="38"/>
        <v>-16.043900090609228</v>
      </c>
      <c r="BL78">
        <f t="shared" si="38"/>
        <v>-15.284906777682664</v>
      </c>
      <c r="BM78">
        <f t="shared" si="38"/>
        <v>-10.589916954862986</v>
      </c>
      <c r="BN78">
        <f t="shared" si="38"/>
        <v>-8.1811229195872919</v>
      </c>
      <c r="BO78">
        <f t="shared" si="38"/>
        <v>-6.6422690428181879</v>
      </c>
      <c r="BP78">
        <f t="shared" si="38"/>
        <v>-5.5482481705741522</v>
      </c>
    </row>
    <row r="81" spans="5:68" x14ac:dyDescent="0.3">
      <c r="G81">
        <v>0.1</v>
      </c>
      <c r="H81">
        <v>0.2</v>
      </c>
      <c r="I81">
        <v>0.3</v>
      </c>
      <c r="J81">
        <v>0.4</v>
      </c>
      <c r="K81">
        <v>0.5</v>
      </c>
      <c r="L81">
        <v>0.6</v>
      </c>
      <c r="M81">
        <v>0.7</v>
      </c>
      <c r="N81">
        <v>0.8</v>
      </c>
      <c r="O81">
        <v>0.9</v>
      </c>
      <c r="P81">
        <v>1</v>
      </c>
      <c r="Q81">
        <v>2</v>
      </c>
      <c r="R81">
        <v>3</v>
      </c>
      <c r="S81">
        <v>4</v>
      </c>
      <c r="T81">
        <v>5</v>
      </c>
      <c r="AE81">
        <v>0.1</v>
      </c>
      <c r="AF81">
        <v>0.2</v>
      </c>
      <c r="AG81">
        <v>0.3</v>
      </c>
      <c r="AH81">
        <v>0.4</v>
      </c>
      <c r="AI81">
        <v>0.5</v>
      </c>
      <c r="AJ81">
        <v>0.6</v>
      </c>
      <c r="AK81">
        <v>0.7</v>
      </c>
      <c r="AL81">
        <v>0.8</v>
      </c>
      <c r="AM81">
        <v>0.9</v>
      </c>
      <c r="AN81">
        <v>1</v>
      </c>
      <c r="AO81">
        <v>2</v>
      </c>
      <c r="AP81">
        <v>3</v>
      </c>
      <c r="AQ81">
        <v>4</v>
      </c>
      <c r="AR81">
        <v>5</v>
      </c>
      <c r="BC81">
        <v>0.1</v>
      </c>
      <c r="BD81">
        <v>0.2</v>
      </c>
      <c r="BE81">
        <v>0.3</v>
      </c>
      <c r="BF81">
        <v>0.4</v>
      </c>
      <c r="BG81">
        <v>0.5</v>
      </c>
      <c r="BH81">
        <v>0.6</v>
      </c>
      <c r="BI81">
        <v>0.7</v>
      </c>
      <c r="BJ81">
        <v>0.8</v>
      </c>
      <c r="BK81">
        <v>0.9</v>
      </c>
      <c r="BL81">
        <v>1</v>
      </c>
      <c r="BM81">
        <v>2</v>
      </c>
      <c r="BN81">
        <v>3</v>
      </c>
      <c r="BO81">
        <v>4</v>
      </c>
      <c r="BP81">
        <v>5</v>
      </c>
    </row>
    <row r="82" spans="5:68" x14ac:dyDescent="0.3">
      <c r="E82" t="s">
        <v>7</v>
      </c>
      <c r="F82">
        <v>60</v>
      </c>
      <c r="G82">
        <f>RhoC($D2,$A$2,G$1,$B$2,$C$9,$C$2)</f>
        <v>4.0749315889236359E-20</v>
      </c>
      <c r="H82">
        <f t="shared" ref="H82:T82" si="39">RhoC($D2,$A$2,H$1,$B$2,$C$9,$C$2)</f>
        <v>5.3664430006128082E-13</v>
      </c>
      <c r="I82">
        <f t="shared" si="39"/>
        <v>8.8600250608134306E-11</v>
      </c>
      <c r="J82">
        <f t="shared" si="39"/>
        <v>8.1971792043873885E-10</v>
      </c>
      <c r="K82">
        <f t="shared" si="39"/>
        <v>2.3450018894989651E-9</v>
      </c>
      <c r="L82">
        <f t="shared" si="39"/>
        <v>3.6946257033821554E-9</v>
      </c>
      <c r="M82">
        <f t="shared" si="39"/>
        <v>4.1186115929945145E-9</v>
      </c>
      <c r="N82">
        <f t="shared" si="39"/>
        <v>3.6874438556637419E-9</v>
      </c>
      <c r="O82">
        <f t="shared" si="39"/>
        <v>2.8471355623779956E-9</v>
      </c>
      <c r="P82">
        <f t="shared" si="39"/>
        <v>1.9794245098120859E-9</v>
      </c>
      <c r="Q82">
        <f t="shared" si="39"/>
        <v>4.8380468162143699E-12</v>
      </c>
      <c r="R82">
        <f t="shared" si="39"/>
        <v>3.0226790486933109E-15</v>
      </c>
      <c r="S82">
        <f t="shared" si="39"/>
        <v>1.3035086150797953E-18</v>
      </c>
      <c r="T82">
        <f t="shared" si="39"/>
        <v>4.7975196597816112E-22</v>
      </c>
      <c r="AD82">
        <v>60</v>
      </c>
      <c r="AE82">
        <f>RhoC($AD2,$A$2,AE$1,$B$2,0,$C$3)</f>
        <v>1.641553105978537E-227</v>
      </c>
      <c r="AF82">
        <f t="shared" ref="AF82:AR82" si="40">RhoC($AD2,$A$2,AF$1,$B$2,0,$C$3)</f>
        <v>9.8187222103124457E-114</v>
      </c>
      <c r="AG82">
        <f t="shared" si="40"/>
        <v>1.0734044095926197E-75</v>
      </c>
      <c r="AH82">
        <f t="shared" si="40"/>
        <v>1.2737154348440967E-56</v>
      </c>
      <c r="AI82">
        <f t="shared" si="40"/>
        <v>3.8218212172732768E-45</v>
      </c>
      <c r="AJ82">
        <f t="shared" si="40"/>
        <v>1.8002854398516442E-37</v>
      </c>
      <c r="AK82">
        <f t="shared" si="40"/>
        <v>5.6424810108500088E-32</v>
      </c>
      <c r="AL82">
        <f t="shared" si="40"/>
        <v>7.6744561436066302E-28</v>
      </c>
      <c r="AM82">
        <f t="shared" si="40"/>
        <v>1.2851489079788333E-24</v>
      </c>
      <c r="AN82">
        <f t="shared" si="40"/>
        <v>4.9565340175784387E-22</v>
      </c>
      <c r="AO82">
        <f t="shared" si="40"/>
        <v>2.9625681881726952E-10</v>
      </c>
      <c r="AP82">
        <f t="shared" si="40"/>
        <v>3.2041744077805241E-6</v>
      </c>
      <c r="AQ82">
        <f t="shared" si="40"/>
        <v>3.7523154783471798E-4</v>
      </c>
      <c r="AR82">
        <f t="shared" si="40"/>
        <v>7.0042501896429724E-3</v>
      </c>
      <c r="BB82">
        <v>60</v>
      </c>
      <c r="BC82">
        <f>RhoC($BB2,$A$2,BC$1,$B$2,0,$C$4)</f>
        <v>0.116468878939645</v>
      </c>
      <c r="BD82">
        <f t="shared" ref="BD82:BP82" si="41">RhoC($BB2,$A$2,BD$1,$B$2,0,$C$4)</f>
        <v>0.91856776467908219</v>
      </c>
      <c r="BE82">
        <f t="shared" si="41"/>
        <v>2.234484343431443</v>
      </c>
      <c r="BF82">
        <f t="shared" si="41"/>
        <v>3.8181083569869267</v>
      </c>
      <c r="BG82">
        <f t="shared" si="41"/>
        <v>5.5437060496725517</v>
      </c>
      <c r="BH82">
        <f t="shared" si="41"/>
        <v>7.3440705563346622</v>
      </c>
      <c r="BI82">
        <f t="shared" si="41"/>
        <v>9.1803539689470561</v>
      </c>
      <c r="BJ82">
        <f t="shared" si="41"/>
        <v>11.028666043320033</v>
      </c>
      <c r="BK82">
        <f t="shared" si="41"/>
        <v>12.873628429422258</v>
      </c>
      <c r="BL82">
        <f t="shared" si="41"/>
        <v>14.705011562303813</v>
      </c>
      <c r="BM82">
        <f t="shared" si="41"/>
        <v>31.431890821535845</v>
      </c>
      <c r="BN82">
        <f t="shared" si="41"/>
        <v>44.81861674633965</v>
      </c>
      <c r="BO82">
        <f t="shared" si="41"/>
        <v>55.222596230277489</v>
      </c>
      <c r="BP82">
        <f t="shared" si="41"/>
        <v>63.155885199066823</v>
      </c>
    </row>
    <row r="83" spans="5:68" x14ac:dyDescent="0.3">
      <c r="F83">
        <v>65</v>
      </c>
      <c r="G83">
        <f t="shared" ref="G83:T98" si="42">RhoC($D3,$A$2,G$1,$B$2,$C$9,$C$2)</f>
        <v>2.9317505464831566E-15</v>
      </c>
      <c r="H83">
        <f t="shared" si="42"/>
        <v>3.407040649581066E-10</v>
      </c>
      <c r="I83">
        <f t="shared" si="42"/>
        <v>1.1531622875158498E-8</v>
      </c>
      <c r="J83">
        <f t="shared" si="42"/>
        <v>4.8113706392534049E-8</v>
      </c>
      <c r="K83">
        <f t="shared" si="42"/>
        <v>8.5163582995221533E-8</v>
      </c>
      <c r="L83">
        <f t="shared" si="42"/>
        <v>9.7292478084711112E-8</v>
      </c>
      <c r="M83">
        <f t="shared" si="42"/>
        <v>8.6128501325385834E-8</v>
      </c>
      <c r="N83">
        <f t="shared" si="42"/>
        <v>6.4828269722777462E-8</v>
      </c>
      <c r="O83">
        <f t="shared" si="42"/>
        <v>4.3716183749446256E-8</v>
      </c>
      <c r="P83">
        <f t="shared" si="42"/>
        <v>2.7263837572520424E-8</v>
      </c>
      <c r="Q83">
        <f t="shared" si="42"/>
        <v>4.0667560632800594E-11</v>
      </c>
      <c r="R83">
        <f t="shared" si="42"/>
        <v>2.1496800333779616E-14</v>
      </c>
      <c r="S83">
        <f t="shared" si="42"/>
        <v>8.5211278388889254E-18</v>
      </c>
      <c r="T83">
        <f t="shared" si="42"/>
        <v>2.9807536158032913E-21</v>
      </c>
      <c r="AD83">
        <v>65</v>
      </c>
      <c r="AE83">
        <f t="shared" ref="AE83:AR98" si="43">RhoC($AD3,$A$2,AE$1,$B$2,0,$C$3)</f>
        <v>4.2870990463147753E-162</v>
      </c>
      <c r="AF83">
        <f t="shared" si="43"/>
        <v>4.749386362570978E-81</v>
      </c>
      <c r="AG83">
        <f t="shared" si="43"/>
        <v>6.376041443341769E-54</v>
      </c>
      <c r="AH83">
        <f t="shared" si="43"/>
        <v>2.651237331352813E-40</v>
      </c>
      <c r="AI83">
        <f t="shared" si="43"/>
        <v>4.2402219182880856E-32</v>
      </c>
      <c r="AJ83">
        <f t="shared" si="43"/>
        <v>1.3130420996140087E-26</v>
      </c>
      <c r="AK83">
        <f t="shared" si="43"/>
        <v>1.1368397402833347E-22</v>
      </c>
      <c r="AL83">
        <f t="shared" si="43"/>
        <v>1.0477056316338999E-19</v>
      </c>
      <c r="AM83">
        <f t="shared" si="43"/>
        <v>2.1621620814411144E-17</v>
      </c>
      <c r="AN83">
        <f t="shared" si="43"/>
        <v>1.5620774385176779E-15</v>
      </c>
      <c r="AO83">
        <f t="shared" si="43"/>
        <v>4.9742406600242002E-7</v>
      </c>
      <c r="AP83">
        <f t="shared" si="43"/>
        <v>4.3601226285741351E-4</v>
      </c>
      <c r="AQ83">
        <f t="shared" si="43"/>
        <v>1.4533673597427381E-2</v>
      </c>
      <c r="AR83">
        <f t="shared" si="43"/>
        <v>0.12763596624669782</v>
      </c>
      <c r="BB83">
        <v>65</v>
      </c>
      <c r="BC83">
        <f t="shared" ref="BC83:BP98" si="44">RhoC($BB3,$A$2,BC$1,$B$2,0,$C$4)</f>
        <v>0.26732760084996277</v>
      </c>
      <c r="BD83">
        <f t="shared" si="44"/>
        <v>1.4785629877512176</v>
      </c>
      <c r="BE83">
        <f t="shared" si="44"/>
        <v>3.1777487129086985</v>
      </c>
      <c r="BF83">
        <f t="shared" si="44"/>
        <v>5.0911278808853098</v>
      </c>
      <c r="BG83">
        <f t="shared" si="44"/>
        <v>7.1020863069993734</v>
      </c>
      <c r="BH83">
        <f t="shared" si="44"/>
        <v>9.153120535172004</v>
      </c>
      <c r="BI83">
        <f t="shared" si="44"/>
        <v>11.212662898631983</v>
      </c>
      <c r="BJ83">
        <f t="shared" si="44"/>
        <v>13.262096274771963</v>
      </c>
      <c r="BK83">
        <f t="shared" si="44"/>
        <v>15.289909821141482</v>
      </c>
      <c r="BL83">
        <f t="shared" si="44"/>
        <v>17.288774500871309</v>
      </c>
      <c r="BM83">
        <f t="shared" si="44"/>
        <v>35.171280836219672</v>
      </c>
      <c r="BN83">
        <f t="shared" si="44"/>
        <v>49.207649664905432</v>
      </c>
      <c r="BO83">
        <f t="shared" si="44"/>
        <v>60.000395682140933</v>
      </c>
      <c r="BP83">
        <f t="shared" si="44"/>
        <v>68.158749545521772</v>
      </c>
    </row>
    <row r="84" spans="5:68" x14ac:dyDescent="0.3">
      <c r="F84">
        <v>70</v>
      </c>
      <c r="G84">
        <f t="shared" si="42"/>
        <v>2.2520073943671615E-11</v>
      </c>
      <c r="H84">
        <f t="shared" si="42"/>
        <v>6.6593263998987833E-8</v>
      </c>
      <c r="I84">
        <f t="shared" si="42"/>
        <v>6.5704790238192984E-7</v>
      </c>
      <c r="J84">
        <f t="shared" si="42"/>
        <v>1.4738463085671011E-6</v>
      </c>
      <c r="K84">
        <f t="shared" si="42"/>
        <v>1.7935348955895399E-6</v>
      </c>
      <c r="L84">
        <f t="shared" si="42"/>
        <v>1.5938270884195872E-6</v>
      </c>
      <c r="M84">
        <f t="shared" si="42"/>
        <v>1.1781311863807138E-6</v>
      </c>
      <c r="N84">
        <f t="shared" si="42"/>
        <v>7.7412486986950519E-7</v>
      </c>
      <c r="O84">
        <f t="shared" si="42"/>
        <v>4.6947738770654172E-7</v>
      </c>
      <c r="P84">
        <f t="shared" si="42"/>
        <v>2.6888463556890236E-7</v>
      </c>
      <c r="Q84">
        <f t="shared" si="42"/>
        <v>2.7214256144430898E-10</v>
      </c>
      <c r="R84">
        <f t="shared" si="42"/>
        <v>1.2612254063469062E-13</v>
      </c>
      <c r="S84">
        <f t="shared" si="42"/>
        <v>4.6783418315307788E-17</v>
      </c>
      <c r="T84">
        <f t="shared" si="42"/>
        <v>1.5722775044855453E-20</v>
      </c>
      <c r="AD84">
        <v>70</v>
      </c>
      <c r="AE84">
        <f t="shared" si="43"/>
        <v>1.9479710477541845E-111</v>
      </c>
      <c r="AF84">
        <f t="shared" si="43"/>
        <v>9.7699399138551848E-56</v>
      </c>
      <c r="AG84">
        <f t="shared" si="43"/>
        <v>4.6740899589509275E-37</v>
      </c>
      <c r="AH84">
        <f t="shared" si="43"/>
        <v>1.1601154770210566E-27</v>
      </c>
      <c r="AI84">
        <f t="shared" si="43"/>
        <v>5.4194445715485763E-22</v>
      </c>
      <c r="AJ84">
        <f t="shared" si="43"/>
        <v>3.4289609961323249E-18</v>
      </c>
      <c r="AK84">
        <f t="shared" si="43"/>
        <v>1.8435147293688629E-15</v>
      </c>
      <c r="AL84">
        <f t="shared" si="43"/>
        <v>2.1133269277831316E-13</v>
      </c>
      <c r="AM84">
        <f t="shared" si="43"/>
        <v>8.6206592479276146E-12</v>
      </c>
      <c r="AN84">
        <f t="shared" si="43"/>
        <v>1.7024772121921013E-10</v>
      </c>
      <c r="AO84">
        <f t="shared" si="43"/>
        <v>1.5814002213361178E-4</v>
      </c>
      <c r="AP84">
        <f t="shared" si="43"/>
        <v>1.9790140158374096E-2</v>
      </c>
      <c r="AQ84">
        <f t="shared" si="43"/>
        <v>0.24913611060469973</v>
      </c>
      <c r="AR84">
        <f t="shared" si="43"/>
        <v>1.2194588133343349</v>
      </c>
      <c r="BB84">
        <v>70</v>
      </c>
      <c r="BC84">
        <f t="shared" si="44"/>
        <v>0.527523784205845</v>
      </c>
      <c r="BD84">
        <f t="shared" si="44"/>
        <v>2.2008131659138863</v>
      </c>
      <c r="BE84">
        <f t="shared" si="44"/>
        <v>4.2810865770902051</v>
      </c>
      <c r="BF84">
        <f t="shared" si="44"/>
        <v>6.5089737810464774</v>
      </c>
      <c r="BG84">
        <f t="shared" si="44"/>
        <v>8.7873862331728478</v>
      </c>
      <c r="BH84">
        <f t="shared" si="44"/>
        <v>11.071429427844649</v>
      </c>
      <c r="BI84">
        <f t="shared" si="44"/>
        <v>13.33765001281785</v>
      </c>
      <c r="BJ84">
        <f t="shared" si="44"/>
        <v>15.572886409105692</v>
      </c>
      <c r="BK84">
        <f t="shared" si="44"/>
        <v>17.769461523325162</v>
      </c>
      <c r="BL84">
        <f t="shared" si="44"/>
        <v>19.922845386708559</v>
      </c>
      <c r="BM84">
        <f t="shared" si="44"/>
        <v>38.872431332383051</v>
      </c>
      <c r="BN84">
        <f t="shared" si="44"/>
        <v>53.50916628799034</v>
      </c>
      <c r="BO84">
        <f t="shared" si="44"/>
        <v>64.659885853629348</v>
      </c>
      <c r="BP84">
        <f t="shared" si="44"/>
        <v>73.023310211526876</v>
      </c>
    </row>
    <row r="85" spans="5:68" x14ac:dyDescent="0.3">
      <c r="F85">
        <v>75</v>
      </c>
      <c r="G85">
        <f t="shared" si="42"/>
        <v>2.7789804964705772E-8</v>
      </c>
      <c r="H85">
        <f t="shared" si="42"/>
        <v>4.9566828944378283E-6</v>
      </c>
      <c r="I85">
        <f t="shared" si="42"/>
        <v>1.8988115040182365E-5</v>
      </c>
      <c r="J85">
        <f t="shared" si="42"/>
        <v>2.6420165269040645E-5</v>
      </c>
      <c r="K85">
        <f t="shared" si="42"/>
        <v>2.4083305905399667E-5</v>
      </c>
      <c r="L85">
        <f t="shared" si="42"/>
        <v>1.7627486502344462E-5</v>
      </c>
      <c r="M85">
        <f t="shared" si="42"/>
        <v>1.133387906792918E-5</v>
      </c>
      <c r="N85">
        <f t="shared" si="42"/>
        <v>6.7037875670929623E-6</v>
      </c>
      <c r="O85">
        <f t="shared" si="42"/>
        <v>3.744756972744004E-6</v>
      </c>
      <c r="P85">
        <f t="shared" si="42"/>
        <v>2.0076576533341866E-6</v>
      </c>
      <c r="Q85">
        <f t="shared" si="42"/>
        <v>1.5033336978957861E-9</v>
      </c>
      <c r="R85">
        <f t="shared" si="42"/>
        <v>6.2887020185598967E-13</v>
      </c>
      <c r="S85">
        <f t="shared" si="42"/>
        <v>2.2151007806845086E-16</v>
      </c>
      <c r="T85">
        <f t="shared" si="42"/>
        <v>7.2155403703352413E-20</v>
      </c>
      <c r="AD85">
        <v>75</v>
      </c>
      <c r="AE85">
        <f t="shared" si="43"/>
        <v>7.7964536356685973E-73</v>
      </c>
      <c r="AF85">
        <f t="shared" si="43"/>
        <v>1.9275156264028462E-36</v>
      </c>
      <c r="AG85">
        <f t="shared" si="43"/>
        <v>3.3801920383859022E-24</v>
      </c>
      <c r="AH85">
        <f t="shared" si="43"/>
        <v>5.0783645010190668E-18</v>
      </c>
      <c r="AI85">
        <f t="shared" si="43"/>
        <v>2.7815974982913545E-14</v>
      </c>
      <c r="AJ85">
        <f t="shared" si="43"/>
        <v>9.0821805958351661E-12</v>
      </c>
      <c r="AK85">
        <f t="shared" si="43"/>
        <v>5.87650146287428E-10</v>
      </c>
      <c r="AL85">
        <f t="shared" si="43"/>
        <v>1.3763622037866602E-8</v>
      </c>
      <c r="AM85">
        <f t="shared" si="43"/>
        <v>1.6324287130996327E-7</v>
      </c>
      <c r="AN85">
        <f t="shared" si="43"/>
        <v>1.1999617605265484E-6</v>
      </c>
      <c r="AO85">
        <f t="shared" si="43"/>
        <v>1.3030544475483807E-2</v>
      </c>
      <c r="AP85">
        <f t="shared" si="43"/>
        <v>0.36946835976141928</v>
      </c>
      <c r="AQ85">
        <f t="shared" si="43"/>
        <v>2.2117419063969725</v>
      </c>
      <c r="AR85">
        <f t="shared" si="43"/>
        <v>6.9260635640923374</v>
      </c>
      <c r="BB85">
        <v>75</v>
      </c>
      <c r="BC85">
        <f t="shared" si="44"/>
        <v>0.92105444357431909</v>
      </c>
      <c r="BD85">
        <f t="shared" si="44"/>
        <v>3.0737663150859613</v>
      </c>
      <c r="BE85">
        <f t="shared" si="44"/>
        <v>5.5179748738405614</v>
      </c>
      <c r="BF85">
        <f t="shared" si="44"/>
        <v>8.0395963066053486</v>
      </c>
      <c r="BG85">
        <f t="shared" si="44"/>
        <v>10.56596452007194</v>
      </c>
      <c r="BH85">
        <f t="shared" si="44"/>
        <v>13.065527350464505</v>
      </c>
      <c r="BI85">
        <f t="shared" si="44"/>
        <v>15.522844789847014</v>
      </c>
      <c r="BJ85">
        <f t="shared" si="44"/>
        <v>17.929955295790698</v>
      </c>
      <c r="BK85">
        <f t="shared" si="44"/>
        <v>20.28276332462621</v>
      </c>
      <c r="BL85">
        <f t="shared" si="44"/>
        <v>22.579322806039325</v>
      </c>
      <c r="BM85">
        <f t="shared" si="44"/>
        <v>42.521159965913213</v>
      </c>
      <c r="BN85">
        <f t="shared" si="44"/>
        <v>57.717719999186507</v>
      </c>
      <c r="BO85">
        <f t="shared" si="44"/>
        <v>69.201418782683064</v>
      </c>
      <c r="BP85">
        <f t="shared" si="44"/>
        <v>77.753942965823626</v>
      </c>
    </row>
    <row r="86" spans="5:68" x14ac:dyDescent="0.3">
      <c r="F86">
        <v>80</v>
      </c>
      <c r="G86">
        <f t="shared" si="42"/>
        <v>7.579365284338607E-6</v>
      </c>
      <c r="H86">
        <f t="shared" si="42"/>
        <v>1.6587408287144798E-4</v>
      </c>
      <c r="I86">
        <f t="shared" si="42"/>
        <v>3.1223070107064575E-4</v>
      </c>
      <c r="J86">
        <f t="shared" si="42"/>
        <v>3.0308930519031821E-4</v>
      </c>
      <c r="K86">
        <f t="shared" si="42"/>
        <v>2.2207058889345271E-4</v>
      </c>
      <c r="L86">
        <f t="shared" si="42"/>
        <v>1.403239532953684E-4</v>
      </c>
      <c r="M86">
        <f t="shared" si="42"/>
        <v>8.1163324897425636E-5</v>
      </c>
      <c r="N86">
        <f t="shared" si="42"/>
        <v>4.4319370182589267E-5</v>
      </c>
      <c r="O86">
        <f t="shared" si="42"/>
        <v>2.3256251694188605E-5</v>
      </c>
      <c r="P86">
        <f t="shared" si="42"/>
        <v>1.1856737447549233E-5</v>
      </c>
      <c r="Q86">
        <f t="shared" si="42"/>
        <v>7.0543407620870403E-9</v>
      </c>
      <c r="R86">
        <f t="shared" si="42"/>
        <v>2.7284525355251984E-12</v>
      </c>
      <c r="S86">
        <f t="shared" si="42"/>
        <v>9.2371861562853933E-16</v>
      </c>
      <c r="T86">
        <f t="shared" si="42"/>
        <v>2.9377968295030388E-19</v>
      </c>
      <c r="AD86">
        <v>80</v>
      </c>
      <c r="AE86">
        <f t="shared" si="43"/>
        <v>3.4612128025016693E-44</v>
      </c>
      <c r="AF86">
        <f t="shared" si="43"/>
        <v>4.1122501988925371E-22</v>
      </c>
      <c r="AG86">
        <f t="shared" si="43"/>
        <v>1.2161393239625795E-14</v>
      </c>
      <c r="AH86">
        <f t="shared" si="43"/>
        <v>7.4996289002319333E-11</v>
      </c>
      <c r="AI86">
        <f t="shared" si="43"/>
        <v>1.5185100802461255E-8</v>
      </c>
      <c r="AJ86">
        <f t="shared" si="43"/>
        <v>5.5003958274819494E-7</v>
      </c>
      <c r="AK86">
        <f t="shared" si="43"/>
        <v>7.3983574723071181E-6</v>
      </c>
      <c r="AL86">
        <f t="shared" si="43"/>
        <v>5.3336363868796739E-5</v>
      </c>
      <c r="AM86">
        <f t="shared" si="43"/>
        <v>2.5295504128369404E-4</v>
      </c>
      <c r="AN86">
        <f t="shared" si="43"/>
        <v>8.9299415502144114E-4</v>
      </c>
      <c r="AO86">
        <f t="shared" si="43"/>
        <v>0.35627324847219083</v>
      </c>
      <c r="AP86">
        <f t="shared" si="43"/>
        <v>3.347193733532428</v>
      </c>
      <c r="AQ86">
        <f t="shared" si="43"/>
        <v>11.512697843671861</v>
      </c>
      <c r="AR86">
        <f t="shared" si="43"/>
        <v>25.824461383109348</v>
      </c>
      <c r="BB86">
        <v>80</v>
      </c>
      <c r="BC86">
        <f t="shared" si="44"/>
        <v>1.4551565886591866</v>
      </c>
      <c r="BD86">
        <f t="shared" si="44"/>
        <v>4.0740568763243656</v>
      </c>
      <c r="BE86">
        <f t="shared" si="44"/>
        <v>6.8571043741406079</v>
      </c>
      <c r="BF86">
        <f t="shared" si="44"/>
        <v>9.6502875192587556</v>
      </c>
      <c r="BG86">
        <f t="shared" si="44"/>
        <v>12.405888947555008</v>
      </c>
      <c r="BH86">
        <f t="shared" si="44"/>
        <v>15.105034185011259</v>
      </c>
      <c r="BI86">
        <f t="shared" si="44"/>
        <v>17.739675865449303</v>
      </c>
      <c r="BJ86">
        <f t="shared" si="44"/>
        <v>20.306585433836965</v>
      </c>
      <c r="BK86">
        <f t="shared" si="44"/>
        <v>22.804907264147712</v>
      </c>
      <c r="BL86">
        <f t="shared" si="44"/>
        <v>25.235027140445062</v>
      </c>
      <c r="BM86">
        <f t="shared" si="44"/>
        <v>46.106901099623663</v>
      </c>
      <c r="BN86">
        <f t="shared" si="44"/>
        <v>61.830070177323741</v>
      </c>
      <c r="BO86">
        <f t="shared" si="44"/>
        <v>73.626480584847812</v>
      </c>
      <c r="BP86">
        <f t="shared" si="44"/>
        <v>82.355362352204125</v>
      </c>
    </row>
    <row r="87" spans="5:68" x14ac:dyDescent="0.3">
      <c r="F87">
        <v>85</v>
      </c>
      <c r="G87">
        <f t="shared" si="42"/>
        <v>5.8910252847775427E-4</v>
      </c>
      <c r="H87">
        <f t="shared" si="42"/>
        <v>2.8479867950099674E-3</v>
      </c>
      <c r="I87">
        <f t="shared" si="42"/>
        <v>3.2006982059366216E-3</v>
      </c>
      <c r="J87">
        <f t="shared" si="42"/>
        <v>2.3890182645093217E-3</v>
      </c>
      <c r="K87">
        <f t="shared" si="42"/>
        <v>1.4915448144667629E-3</v>
      </c>
      <c r="L87">
        <f t="shared" si="42"/>
        <v>8.4600507856260102E-4</v>
      </c>
      <c r="M87">
        <f t="shared" si="42"/>
        <v>4.5264368846221727E-4</v>
      </c>
      <c r="N87">
        <f t="shared" si="42"/>
        <v>2.3301725192151262E-4</v>
      </c>
      <c r="O87">
        <f t="shared" si="42"/>
        <v>1.167546945975809E-4</v>
      </c>
      <c r="P87">
        <f t="shared" si="42"/>
        <v>5.7352076827878853E-5</v>
      </c>
      <c r="Q87">
        <f t="shared" si="42"/>
        <v>2.8772093698288004E-8</v>
      </c>
      <c r="R87">
        <f t="shared" si="42"/>
        <v>1.0497883943439531E-11</v>
      </c>
      <c r="S87">
        <f t="shared" si="42"/>
        <v>3.4506963243957879E-15</v>
      </c>
      <c r="T87">
        <f t="shared" si="42"/>
        <v>1.0780596285193917E-18</v>
      </c>
      <c r="AD87">
        <v>85</v>
      </c>
      <c r="AE87">
        <f t="shared" si="43"/>
        <v>7.7924409638600782E-24</v>
      </c>
      <c r="AF87">
        <f t="shared" si="43"/>
        <v>6.4754236949085947E-12</v>
      </c>
      <c r="AG87">
        <f t="shared" si="43"/>
        <v>7.877227359213074E-8</v>
      </c>
      <c r="AH87">
        <f t="shared" si="43"/>
        <v>9.8409990815638587E-6</v>
      </c>
      <c r="AI87">
        <f t="shared" si="43"/>
        <v>1.9187547588819985E-4</v>
      </c>
      <c r="AJ87">
        <f t="shared" si="43"/>
        <v>1.4592045191005507E-3</v>
      </c>
      <c r="AK87">
        <f t="shared" si="43"/>
        <v>6.4332888455462299E-3</v>
      </c>
      <c r="AL87">
        <f t="shared" si="43"/>
        <v>2.0082539124395789E-2</v>
      </c>
      <c r="AM87">
        <f t="shared" si="43"/>
        <v>4.9654726805486799E-2</v>
      </c>
      <c r="AN87">
        <f t="shared" si="43"/>
        <v>0.10407181245529616</v>
      </c>
      <c r="AO87">
        <f t="shared" si="43"/>
        <v>3.9481315095357599</v>
      </c>
      <c r="AP87">
        <f t="shared" si="43"/>
        <v>16.828040360966277</v>
      </c>
      <c r="AQ87">
        <f t="shared" si="43"/>
        <v>38.862443475278681</v>
      </c>
      <c r="AR87">
        <f t="shared" si="43"/>
        <v>68.512011157963101</v>
      </c>
      <c r="BB87">
        <v>85</v>
      </c>
      <c r="BC87">
        <f t="shared" si="44"/>
        <v>2.1175681846624417</v>
      </c>
      <c r="BD87">
        <f t="shared" si="44"/>
        <v>5.1706282409259501</v>
      </c>
      <c r="BE87">
        <f t="shared" si="44"/>
        <v>8.2656921230846461</v>
      </c>
      <c r="BF87">
        <f t="shared" si="44"/>
        <v>11.309809067089953</v>
      </c>
      <c r="BG87">
        <f t="shared" si="44"/>
        <v>14.278169920267391</v>
      </c>
      <c r="BH87">
        <f t="shared" si="44"/>
        <v>17.163266301839553</v>
      </c>
      <c r="BI87">
        <f t="shared" si="44"/>
        <v>19.963641056364018</v>
      </c>
      <c r="BJ87">
        <f t="shared" si="44"/>
        <v>22.680286693411649</v>
      </c>
      <c r="BK87">
        <f t="shared" si="44"/>
        <v>25.315245020419361</v>
      </c>
      <c r="BL87">
        <f t="shared" si="44"/>
        <v>27.870994702782028</v>
      </c>
      <c r="BM87">
        <f t="shared" si="44"/>
        <v>49.621923822185828</v>
      </c>
      <c r="BN87">
        <f t="shared" si="44"/>
        <v>65.844600318669464</v>
      </c>
      <c r="BO87">
        <f t="shared" si="44"/>
        <v>77.937316862428233</v>
      </c>
      <c r="BP87">
        <f t="shared" si="44"/>
        <v>86.832417947427174</v>
      </c>
    </row>
    <row r="88" spans="5:68" x14ac:dyDescent="0.3">
      <c r="F88">
        <v>90</v>
      </c>
      <c r="G88">
        <f t="shared" si="42"/>
        <v>1.604741054624784E-2</v>
      </c>
      <c r="H88">
        <f t="shared" si="42"/>
        <v>2.791670775965386E-2</v>
      </c>
      <c r="I88">
        <f t="shared" si="42"/>
        <v>2.2018861103185457E-2</v>
      </c>
      <c r="J88">
        <f t="shared" si="42"/>
        <v>1.370127167261178E-2</v>
      </c>
      <c r="K88">
        <f t="shared" si="42"/>
        <v>7.6522423913694777E-3</v>
      </c>
      <c r="L88">
        <f t="shared" si="42"/>
        <v>4.0247636508827511E-3</v>
      </c>
      <c r="M88">
        <f t="shared" si="42"/>
        <v>2.0389060047468284E-3</v>
      </c>
      <c r="N88">
        <f t="shared" si="42"/>
        <v>1.0070232653777104E-3</v>
      </c>
      <c r="O88">
        <f t="shared" si="42"/>
        <v>4.8843334161429786E-4</v>
      </c>
      <c r="P88">
        <f t="shared" si="42"/>
        <v>2.3371939764865005E-4</v>
      </c>
      <c r="Q88">
        <f t="shared" si="42"/>
        <v>1.0392225595745478E-7</v>
      </c>
      <c r="R88">
        <f t="shared" si="42"/>
        <v>3.6378412447674589E-11</v>
      </c>
      <c r="S88">
        <f t="shared" si="42"/>
        <v>1.1709239325410251E-14</v>
      </c>
      <c r="T88">
        <f t="shared" si="42"/>
        <v>3.6120137916171255E-18</v>
      </c>
      <c r="AD88">
        <v>90</v>
      </c>
      <c r="AE88">
        <f t="shared" si="43"/>
        <v>1.9425799510435276E-10</v>
      </c>
      <c r="AF88">
        <f t="shared" si="43"/>
        <v>3.5863762698205365E-5</v>
      </c>
      <c r="AG88">
        <f t="shared" si="43"/>
        <v>2.6301551441708345E-3</v>
      </c>
      <c r="AH88">
        <f t="shared" si="43"/>
        <v>2.5436866319320899E-2</v>
      </c>
      <c r="AI88">
        <f t="shared" si="43"/>
        <v>0.10661748329831354</v>
      </c>
      <c r="AJ88">
        <f t="shared" si="43"/>
        <v>0.29052218057866946</v>
      </c>
      <c r="AK88">
        <f t="shared" si="43"/>
        <v>0.61460001246215368</v>
      </c>
      <c r="AL88">
        <f t="shared" si="43"/>
        <v>1.1050808875887044</v>
      </c>
      <c r="AM88">
        <f t="shared" si="43"/>
        <v>1.7777224724965428</v>
      </c>
      <c r="AN88">
        <f t="shared" si="43"/>
        <v>2.640143752987671</v>
      </c>
      <c r="AO88">
        <f t="shared" si="43"/>
        <v>20.980085575820258</v>
      </c>
      <c r="AP88">
        <f t="shared" si="43"/>
        <v>52.547460630123489</v>
      </c>
      <c r="AQ88">
        <f t="shared" si="43"/>
        <v>92.558361445530593</v>
      </c>
      <c r="AR88">
        <f t="shared" si="43"/>
        <v>138.30678902103341</v>
      </c>
      <c r="BB88">
        <v>90</v>
      </c>
      <c r="BC88">
        <f t="shared" si="44"/>
        <v>2.8792657508963151</v>
      </c>
      <c r="BD88">
        <f t="shared" si="44"/>
        <v>6.329023349308466</v>
      </c>
      <c r="BE88">
        <f t="shared" si="44"/>
        <v>9.7120512488610053</v>
      </c>
      <c r="BF88">
        <f t="shared" si="44"/>
        <v>12.989781163209928</v>
      </c>
      <c r="BG88">
        <f t="shared" si="44"/>
        <v>16.157414863450281</v>
      </c>
      <c r="BH88">
        <f t="shared" si="44"/>
        <v>19.217426336289186</v>
      </c>
      <c r="BI88">
        <f t="shared" si="44"/>
        <v>22.174195796009304</v>
      </c>
      <c r="BJ88">
        <f t="shared" si="44"/>
        <v>25.032485576709533</v>
      </c>
      <c r="BK88">
        <f t="shared" si="44"/>
        <v>27.796944243269063</v>
      </c>
      <c r="BL88">
        <f t="shared" si="44"/>
        <v>30.471945462155286</v>
      </c>
      <c r="BM88">
        <f t="shared" si="44"/>
        <v>53.06072218755623</v>
      </c>
      <c r="BN88">
        <f t="shared" si="44"/>
        <v>69.760891463985004</v>
      </c>
      <c r="BO88">
        <f t="shared" si="44"/>
        <v>82.136671186840374</v>
      </c>
      <c r="BP88">
        <f t="shared" si="44"/>
        <v>91.189963090037736</v>
      </c>
    </row>
    <row r="89" spans="5:68" x14ac:dyDescent="0.3">
      <c r="F89">
        <v>95</v>
      </c>
      <c r="G89">
        <f t="shared" si="42"/>
        <v>0.18212639408080081</v>
      </c>
      <c r="H89">
        <f t="shared" si="42"/>
        <v>0.17059294942080999</v>
      </c>
      <c r="I89">
        <f t="shared" si="42"/>
        <v>0.10797719118723807</v>
      </c>
      <c r="J89">
        <f t="shared" si="42"/>
        <v>5.9913058156310518E-2</v>
      </c>
      <c r="K89">
        <f t="shared" si="42"/>
        <v>3.1174394735547423E-2</v>
      </c>
      <c r="L89">
        <f t="shared" si="42"/>
        <v>1.5623912071818423E-2</v>
      </c>
      <c r="M89">
        <f t="shared" si="42"/>
        <v>7.6420775328775508E-3</v>
      </c>
      <c r="N89">
        <f t="shared" si="42"/>
        <v>3.6750578300067567E-3</v>
      </c>
      <c r="O89">
        <f t="shared" si="42"/>
        <v>1.7454570478605159E-3</v>
      </c>
      <c r="P89">
        <f t="shared" si="42"/>
        <v>8.2116247367891126E-4</v>
      </c>
      <c r="Q89">
        <f t="shared" si="42"/>
        <v>3.3755119955355499E-7</v>
      </c>
      <c r="R89">
        <f t="shared" si="42"/>
        <v>1.1499978928408715E-10</v>
      </c>
      <c r="S89">
        <f t="shared" si="42"/>
        <v>3.6509012454843524E-14</v>
      </c>
      <c r="T89">
        <f t="shared" si="42"/>
        <v>1.1168611824923962E-17</v>
      </c>
      <c r="AD89">
        <v>95</v>
      </c>
      <c r="AE89">
        <f t="shared" si="43"/>
        <v>7.13775051660247E-3</v>
      </c>
      <c r="AF89">
        <f t="shared" si="43"/>
        <v>0.26662550009934899</v>
      </c>
      <c r="AG89">
        <f t="shared" si="43"/>
        <v>1.1298455673281689</v>
      </c>
      <c r="AH89">
        <f t="shared" si="43"/>
        <v>2.6035171220958442</v>
      </c>
      <c r="AI89">
        <f t="shared" si="43"/>
        <v>4.5893015604682565</v>
      </c>
      <c r="AJ89">
        <f t="shared" si="43"/>
        <v>6.9930800372694062</v>
      </c>
      <c r="AK89">
        <f t="shared" si="43"/>
        <v>9.7407798347422521</v>
      </c>
      <c r="AL89">
        <f t="shared" si="43"/>
        <v>12.775977503387372</v>
      </c>
      <c r="AM89">
        <f t="shared" si="43"/>
        <v>16.055487746950437</v>
      </c>
      <c r="AN89">
        <f t="shared" si="43"/>
        <v>19.545754699748976</v>
      </c>
      <c r="AO89">
        <f t="shared" si="43"/>
        <v>62.018613359043243</v>
      </c>
      <c r="AP89">
        <f t="shared" si="43"/>
        <v>112.44272228148991</v>
      </c>
      <c r="AQ89">
        <f t="shared" si="43"/>
        <v>167.28712913649767</v>
      </c>
      <c r="AR89">
        <f t="shared" si="43"/>
        <v>225.01525145546887</v>
      </c>
      <c r="BB89">
        <v>95</v>
      </c>
      <c r="BC89">
        <f t="shared" si="44"/>
        <v>3.7008772956867859</v>
      </c>
      <c r="BD89">
        <f t="shared" si="44"/>
        <v>7.5150822964608555</v>
      </c>
      <c r="BE89">
        <f t="shared" si="44"/>
        <v>11.167360058420762</v>
      </c>
      <c r="BF89">
        <f t="shared" si="44"/>
        <v>14.665460755790338</v>
      </c>
      <c r="BG89">
        <f t="shared" si="44"/>
        <v>18.022062137505021</v>
      </c>
      <c r="BH89">
        <f t="shared" si="44"/>
        <v>21.248519552240701</v>
      </c>
      <c r="BI89">
        <f t="shared" si="44"/>
        <v>24.354476704529471</v>
      </c>
      <c r="BJ89">
        <f t="shared" si="44"/>
        <v>27.348129310558519</v>
      </c>
      <c r="BK89">
        <f t="shared" si="44"/>
        <v>30.236518509314926</v>
      </c>
      <c r="BL89">
        <f t="shared" si="44"/>
        <v>33.025768031132451</v>
      </c>
      <c r="BM89">
        <f t="shared" si="44"/>
        <v>56.419538109237259</v>
      </c>
      <c r="BN89">
        <f t="shared" si="44"/>
        <v>73.579406492834053</v>
      </c>
      <c r="BO89">
        <f t="shared" si="44"/>
        <v>86.227600978662068</v>
      </c>
      <c r="BP89">
        <f t="shared" si="44"/>
        <v>95.432770991726173</v>
      </c>
    </row>
    <row r="90" spans="5:68" x14ac:dyDescent="0.3">
      <c r="F90">
        <v>100</v>
      </c>
      <c r="G90">
        <f t="shared" si="42"/>
        <v>1.0004548976580219</v>
      </c>
      <c r="H90">
        <f t="shared" si="42"/>
        <v>0.69967492591508751</v>
      </c>
      <c r="I90">
        <f t="shared" si="42"/>
        <v>0.39684759693521132</v>
      </c>
      <c r="J90">
        <f t="shared" si="42"/>
        <v>0.20764330958531174</v>
      </c>
      <c r="K90">
        <f t="shared" si="42"/>
        <v>0.10413188481026556</v>
      </c>
      <c r="L90">
        <f t="shared" si="42"/>
        <v>5.0879300016575743E-2</v>
      </c>
      <c r="M90">
        <f t="shared" si="42"/>
        <v>2.4427430293743443E-2</v>
      </c>
      <c r="N90">
        <f t="shared" si="42"/>
        <v>1.1580913611922814E-2</v>
      </c>
      <c r="O90">
        <f t="shared" si="42"/>
        <v>5.4386992498154547E-3</v>
      </c>
      <c r="P90">
        <f t="shared" si="42"/>
        <v>2.535400449263773E-3</v>
      </c>
      <c r="Q90">
        <f t="shared" si="42"/>
        <v>9.9865041671811198E-7</v>
      </c>
      <c r="R90">
        <f t="shared" si="42"/>
        <v>3.3519472179254003E-10</v>
      </c>
      <c r="S90">
        <f t="shared" si="42"/>
        <v>1.0560841453742579E-13</v>
      </c>
      <c r="T90">
        <f t="shared" si="42"/>
        <v>3.2158385025342837E-17</v>
      </c>
      <c r="AD90">
        <v>100</v>
      </c>
      <c r="AE90">
        <f t="shared" si="43"/>
        <v>5.2154434086455765</v>
      </c>
      <c r="AF90">
        <f t="shared" si="43"/>
        <v>10.602580193516067</v>
      </c>
      <c r="AG90">
        <f t="shared" si="43"/>
        <v>16.097057974110687</v>
      </c>
      <c r="AH90">
        <f t="shared" si="43"/>
        <v>21.675716900074672</v>
      </c>
      <c r="AI90">
        <f t="shared" si="43"/>
        <v>27.325076969888265</v>
      </c>
      <c r="AJ90">
        <f t="shared" si="43"/>
        <v>33.035981991228653</v>
      </c>
      <c r="AK90">
        <f t="shared" si="43"/>
        <v>38.80166687938042</v>
      </c>
      <c r="AL90">
        <f t="shared" si="43"/>
        <v>44.616857372460707</v>
      </c>
      <c r="AM90">
        <f t="shared" si="43"/>
        <v>50.47728449952892</v>
      </c>
      <c r="AN90">
        <f t="shared" si="43"/>
        <v>56.37939597115281</v>
      </c>
      <c r="AO90">
        <f t="shared" si="43"/>
        <v>117.17970668275383</v>
      </c>
      <c r="AP90">
        <f t="shared" si="43"/>
        <v>180.23984767739293</v>
      </c>
      <c r="AQ90">
        <f t="shared" si="43"/>
        <v>244.74406567121272</v>
      </c>
      <c r="AR90">
        <f t="shared" si="43"/>
        <v>310.20383271045563</v>
      </c>
      <c r="BB90">
        <v>100</v>
      </c>
      <c r="BC90">
        <f t="shared" si="44"/>
        <v>4.5401838143815914</v>
      </c>
      <c r="BD90">
        <f t="shared" si="44"/>
        <v>8.6976755577727189</v>
      </c>
      <c r="BE90">
        <f t="shared" si="44"/>
        <v>12.606707710709662</v>
      </c>
      <c r="BF90">
        <f t="shared" si="44"/>
        <v>16.316054929266326</v>
      </c>
      <c r="BG90">
        <f t="shared" si="44"/>
        <v>19.854328756170009</v>
      </c>
      <c r="BH90">
        <f t="shared" si="44"/>
        <v>23.241103733543959</v>
      </c>
      <c r="BI90">
        <f t="shared" si="44"/>
        <v>26.490940145264826</v>
      </c>
      <c r="BJ90">
        <f t="shared" si="44"/>
        <v>29.61526143651075</v>
      </c>
      <c r="BK90">
        <f t="shared" si="44"/>
        <v>32.623368627092766</v>
      </c>
      <c r="BL90">
        <f t="shared" si="44"/>
        <v>35.523044432714762</v>
      </c>
      <c r="BM90">
        <f t="shared" si="44"/>
        <v>59.69598669691382</v>
      </c>
      <c r="BN90">
        <f t="shared" si="44"/>
        <v>77.301254581421489</v>
      </c>
      <c r="BO90">
        <f t="shared" si="44"/>
        <v>90.213347151624674</v>
      </c>
      <c r="BP90">
        <f t="shared" si="44"/>
        <v>99.565482199737389</v>
      </c>
    </row>
    <row r="91" spans="5:68" x14ac:dyDescent="0.3">
      <c r="F91">
        <v>105</v>
      </c>
      <c r="G91">
        <f t="shared" si="42"/>
        <v>3.0497208428683913</v>
      </c>
      <c r="H91">
        <f t="shared" si="42"/>
        <v>2.0520094146381589</v>
      </c>
      <c r="I91">
        <f t="shared" si="42"/>
        <v>1.1402901333398119</v>
      </c>
      <c r="J91">
        <f t="shared" si="42"/>
        <v>0.58915556711313577</v>
      </c>
      <c r="K91">
        <f t="shared" si="42"/>
        <v>0.29293392465360257</v>
      </c>
      <c r="L91">
        <f t="shared" si="42"/>
        <v>0.14224036448869493</v>
      </c>
      <c r="M91">
        <f t="shared" si="42"/>
        <v>6.7967994460000014E-2</v>
      </c>
      <c r="N91">
        <f t="shared" si="42"/>
        <v>3.2103566673176584E-2</v>
      </c>
      <c r="O91">
        <f t="shared" si="42"/>
        <v>1.5031427766533828E-2</v>
      </c>
      <c r="P91">
        <f t="shared" si="42"/>
        <v>6.9899655268315184E-3</v>
      </c>
      <c r="Q91">
        <f t="shared" si="42"/>
        <v>2.7201243026635845E-6</v>
      </c>
      <c r="R91">
        <f t="shared" si="42"/>
        <v>9.089690441425056E-10</v>
      </c>
      <c r="S91">
        <f t="shared" si="42"/>
        <v>2.8572682155014998E-13</v>
      </c>
      <c r="T91">
        <f t="shared" si="42"/>
        <v>8.6882856098416134E-17</v>
      </c>
      <c r="AD91">
        <v>105</v>
      </c>
      <c r="AE91">
        <f t="shared" si="43"/>
        <v>9.9815977047491025</v>
      </c>
      <c r="AF91">
        <f t="shared" si="43"/>
        <v>19.722442652470058</v>
      </c>
      <c r="AG91">
        <f t="shared" si="43"/>
        <v>29.005935745471149</v>
      </c>
      <c r="AH91">
        <f t="shared" si="43"/>
        <v>37.883823051454243</v>
      </c>
      <c r="AI91">
        <f t="shared" si="43"/>
        <v>46.450942177652628</v>
      </c>
      <c r="AJ91">
        <f t="shared" si="43"/>
        <v>54.782654073780762</v>
      </c>
      <c r="AK91">
        <f t="shared" si="43"/>
        <v>62.933257045068586</v>
      </c>
      <c r="AL91">
        <f t="shared" si="43"/>
        <v>70.941709196962876</v>
      </c>
      <c r="AM91">
        <f t="shared" si="43"/>
        <v>78.836434145986033</v>
      </c>
      <c r="AN91">
        <f t="shared" si="43"/>
        <v>86.638608819868125</v>
      </c>
      <c r="AO91">
        <f t="shared" si="43"/>
        <v>161.87888979227972</v>
      </c>
      <c r="AP91">
        <f t="shared" si="43"/>
        <v>234.91255400973751</v>
      </c>
      <c r="AQ91">
        <f t="shared" si="43"/>
        <v>307.05178942131579</v>
      </c>
      <c r="AR91">
        <f t="shared" si="43"/>
        <v>378.62785195483758</v>
      </c>
      <c r="BB91">
        <v>105</v>
      </c>
      <c r="BC91">
        <f t="shared" si="44"/>
        <v>5.3585597674462102</v>
      </c>
      <c r="BD91">
        <f t="shared" si="44"/>
        <v>9.8504048815811149</v>
      </c>
      <c r="BE91">
        <f t="shared" si="44"/>
        <v>14.009555866074988</v>
      </c>
      <c r="BF91">
        <f t="shared" si="44"/>
        <v>17.9247055877298</v>
      </c>
      <c r="BG91">
        <f t="shared" si="44"/>
        <v>21.639977256676346</v>
      </c>
      <c r="BH91">
        <f t="shared" si="44"/>
        <v>25.182948717202216</v>
      </c>
      <c r="BI91">
        <f t="shared" si="44"/>
        <v>28.572968358836068</v>
      </c>
      <c r="BJ91">
        <f t="shared" si="44"/>
        <v>31.824603309199389</v>
      </c>
      <c r="BK91">
        <f t="shared" si="44"/>
        <v>34.949355774175594</v>
      </c>
      <c r="BL91">
        <f t="shared" si="44"/>
        <v>37.956624450440287</v>
      </c>
      <c r="BM91">
        <f t="shared" si="44"/>
        <v>62.888760989060437</v>
      </c>
      <c r="BN91">
        <f t="shared" si="44"/>
        <v>80.928014288314898</v>
      </c>
      <c r="BO91">
        <f t="shared" si="44"/>
        <v>94.097241575803508</v>
      </c>
      <c r="BP91">
        <f t="shared" si="44"/>
        <v>103.59257297818026</v>
      </c>
    </row>
    <row r="92" spans="5:68" x14ac:dyDescent="0.3">
      <c r="F92">
        <v>110</v>
      </c>
      <c r="G92">
        <f t="shared" si="42"/>
        <v>5.889126706196457</v>
      </c>
      <c r="H92">
        <f t="shared" si="42"/>
        <v>4.5498921656381679</v>
      </c>
      <c r="I92">
        <f t="shared" si="42"/>
        <v>2.655847377734236</v>
      </c>
      <c r="J92">
        <f t="shared" si="42"/>
        <v>1.4066422973310506</v>
      </c>
      <c r="K92">
        <f t="shared" si="42"/>
        <v>0.70984210463359165</v>
      </c>
      <c r="L92">
        <f t="shared" si="42"/>
        <v>0.34808190339796968</v>
      </c>
      <c r="M92">
        <f t="shared" si="42"/>
        <v>0.16749074119790006</v>
      </c>
      <c r="N92">
        <f t="shared" si="42"/>
        <v>7.9523646187840455E-2</v>
      </c>
      <c r="O92">
        <f t="shared" si="42"/>
        <v>3.7384214687102235E-2</v>
      </c>
      <c r="P92">
        <f t="shared" si="42"/>
        <v>1.744021052539238E-2</v>
      </c>
      <c r="Q92">
        <f t="shared" si="42"/>
        <v>6.8835172147044165E-6</v>
      </c>
      <c r="R92">
        <f t="shared" si="42"/>
        <v>2.3108424894079467E-9</v>
      </c>
      <c r="S92">
        <f t="shared" si="42"/>
        <v>7.2804872264963282E-13</v>
      </c>
      <c r="T92">
        <f t="shared" si="42"/>
        <v>2.2168296219929899E-16</v>
      </c>
      <c r="AD92">
        <v>110</v>
      </c>
      <c r="AE92">
        <f t="shared" si="43"/>
        <v>9.990004992452393</v>
      </c>
      <c r="AF92">
        <f t="shared" si="43"/>
        <v>19.959898203851797</v>
      </c>
      <c r="AG92">
        <f t="shared" si="43"/>
        <v>29.904918905011474</v>
      </c>
      <c r="AH92">
        <f t="shared" si="43"/>
        <v>39.804858626215072</v>
      </c>
      <c r="AI92">
        <f t="shared" si="43"/>
        <v>49.630985812514382</v>
      </c>
      <c r="AJ92">
        <f t="shared" si="43"/>
        <v>59.360192582529834</v>
      </c>
      <c r="AK92">
        <f t="shared" si="43"/>
        <v>68.97930980124481</v>
      </c>
      <c r="AL92">
        <f t="shared" si="43"/>
        <v>78.483472793431659</v>
      </c>
      <c r="AM92">
        <f t="shared" si="43"/>
        <v>87.873343001175186</v>
      </c>
      <c r="AN92">
        <f t="shared" si="43"/>
        <v>97.152834057768871</v>
      </c>
      <c r="AO92">
        <f t="shared" si="43"/>
        <v>185.19599406842477</v>
      </c>
      <c r="AP92">
        <f t="shared" si="43"/>
        <v>267.7816405895245</v>
      </c>
      <c r="AQ92">
        <f t="shared" si="43"/>
        <v>347.31769404379759</v>
      </c>
      <c r="AR92">
        <f t="shared" si="43"/>
        <v>424.82474377270159</v>
      </c>
      <c r="BB92">
        <v>110</v>
      </c>
      <c r="BC92">
        <f t="shared" si="44"/>
        <v>6.1252011093346281</v>
      </c>
      <c r="BD92">
        <f t="shared" si="44"/>
        <v>10.952391908970213</v>
      </c>
      <c r="BE92">
        <f t="shared" si="44"/>
        <v>15.359769884226241</v>
      </c>
      <c r="BF92">
        <f t="shared" si="44"/>
        <v>19.478259247363045</v>
      </c>
      <c r="BG92">
        <f t="shared" si="44"/>
        <v>23.367979915330192</v>
      </c>
      <c r="BH92">
        <f t="shared" si="44"/>
        <v>27.064657548621632</v>
      </c>
      <c r="BI92">
        <f t="shared" si="44"/>
        <v>30.592476348696334</v>
      </c>
      <c r="BJ92">
        <f t="shared" si="44"/>
        <v>33.969161107584327</v>
      </c>
      <c r="BK92">
        <f t="shared" si="44"/>
        <v>37.20841616568584</v>
      </c>
      <c r="BL92">
        <f t="shared" si="44"/>
        <v>40.321251948718029</v>
      </c>
      <c r="BM92">
        <f t="shared" si="44"/>
        <v>65.99739847295794</v>
      </c>
      <c r="BN92">
        <f t="shared" si="44"/>
        <v>84.461599956165827</v>
      </c>
      <c r="BO92">
        <f t="shared" si="44"/>
        <v>97.882641428646721</v>
      </c>
      <c r="BP92">
        <f t="shared" si="44"/>
        <v>107.51833771438079</v>
      </c>
    </row>
    <row r="93" spans="5:68" x14ac:dyDescent="0.3">
      <c r="F93">
        <v>115</v>
      </c>
      <c r="G93">
        <f t="shared" si="42"/>
        <v>8.2276023980704824</v>
      </c>
      <c r="H93">
        <f t="shared" si="42"/>
        <v>8.0204205172080449</v>
      </c>
      <c r="I93">
        <f t="shared" si="42"/>
        <v>5.174040921843126</v>
      </c>
      <c r="J93">
        <f t="shared" si="42"/>
        <v>2.8933282290397164</v>
      </c>
      <c r="K93">
        <f t="shared" si="42"/>
        <v>1.5104719858578415</v>
      </c>
      <c r="L93">
        <f t="shared" si="42"/>
        <v>0.75804312345131053</v>
      </c>
      <c r="M93">
        <f t="shared" si="42"/>
        <v>0.3709396204285364</v>
      </c>
      <c r="N93">
        <f t="shared" si="42"/>
        <v>0.17837916411548813</v>
      </c>
      <c r="O93">
        <f t="shared" si="42"/>
        <v>8.4698656688041149E-2</v>
      </c>
      <c r="P93">
        <f t="shared" si="42"/>
        <v>3.9832174932675955E-2</v>
      </c>
      <c r="Q93">
        <f t="shared" si="42"/>
        <v>1.6309660961999287E-5</v>
      </c>
      <c r="R93">
        <f t="shared" si="42"/>
        <v>5.5437170228488757E-9</v>
      </c>
      <c r="S93">
        <f t="shared" si="42"/>
        <v>1.7575309829985777E-12</v>
      </c>
      <c r="T93">
        <f t="shared" si="42"/>
        <v>5.3716313372780418E-16</v>
      </c>
      <c r="AD93">
        <v>115</v>
      </c>
      <c r="AE93">
        <f t="shared" si="43"/>
        <v>9.9900049983337507</v>
      </c>
      <c r="AF93">
        <f t="shared" si="43"/>
        <v>19.960039970877752</v>
      </c>
      <c r="AG93">
        <f t="shared" si="43"/>
        <v>29.910131872453039</v>
      </c>
      <c r="AH93">
        <f t="shared" si="43"/>
        <v>39.840202266473987</v>
      </c>
      <c r="AI93">
        <f t="shared" si="43"/>
        <v>49.749488200400314</v>
      </c>
      <c r="AJ93">
        <f t="shared" si="43"/>
        <v>59.635681069861462</v>
      </c>
      <c r="AK93">
        <f t="shared" si="43"/>
        <v>69.494756917450118</v>
      </c>
      <c r="AL93">
        <f t="shared" si="43"/>
        <v>79.321608262959501</v>
      </c>
      <c r="AM93">
        <f t="shared" si="43"/>
        <v>89.110891324820571</v>
      </c>
      <c r="AN93">
        <f t="shared" si="43"/>
        <v>98.857679656492337</v>
      </c>
      <c r="AO93">
        <f t="shared" si="43"/>
        <v>193.47679765716146</v>
      </c>
      <c r="AP93">
        <f t="shared" si="43"/>
        <v>283.09175446033976</v>
      </c>
      <c r="AQ93">
        <f t="shared" si="43"/>
        <v>368.84131062808984</v>
      </c>
      <c r="AR93">
        <f t="shared" si="43"/>
        <v>451.66313314685402</v>
      </c>
      <c r="BB93">
        <v>115</v>
      </c>
      <c r="BC93">
        <f t="shared" si="44"/>
        <v>6.8189542672669941</v>
      </c>
      <c r="BD93">
        <f t="shared" si="44"/>
        <v>11.988361677521826</v>
      </c>
      <c r="BE93">
        <f t="shared" si="44"/>
        <v>16.645360459944616</v>
      </c>
      <c r="BF93">
        <f t="shared" si="44"/>
        <v>20.966910509726688</v>
      </c>
      <c r="BG93">
        <f t="shared" si="44"/>
        <v>25.030135664524561</v>
      </c>
      <c r="BH93">
        <f t="shared" si="44"/>
        <v>28.879283231273185</v>
      </c>
      <c r="BI93">
        <f t="shared" si="44"/>
        <v>32.543539261601879</v>
      </c>
      <c r="BJ93">
        <f t="shared" si="44"/>
        <v>36.043868348142041</v>
      </c>
      <c r="BK93">
        <f t="shared" si="44"/>
        <v>39.396220397460375</v>
      </c>
      <c r="BL93">
        <f t="shared" si="44"/>
        <v>42.613241418606641</v>
      </c>
      <c r="BM93">
        <f t="shared" si="44"/>
        <v>69.022095896247407</v>
      </c>
      <c r="BN93">
        <f t="shared" si="44"/>
        <v>87.904160407734352</v>
      </c>
      <c r="BO93">
        <f t="shared" si="44"/>
        <v>101.57288283262321</v>
      </c>
      <c r="BP93">
        <f t="shared" si="44"/>
        <v>111.34688073546634</v>
      </c>
    </row>
    <row r="94" spans="5:68" x14ac:dyDescent="0.3">
      <c r="F94">
        <v>120</v>
      </c>
      <c r="G94">
        <f t="shared" si="42"/>
        <v>9.4448105376798726</v>
      </c>
      <c r="H94">
        <f t="shared" si="42"/>
        <v>11.773761503657013</v>
      </c>
      <c r="I94">
        <f t="shared" si="42"/>
        <v>8.6685018177622855</v>
      </c>
      <c r="J94">
        <f t="shared" si="42"/>
        <v>5.2327361504512737</v>
      </c>
      <c r="K94">
        <f t="shared" si="42"/>
        <v>2.8694847032577262</v>
      </c>
      <c r="L94">
        <f t="shared" si="42"/>
        <v>1.4900792992751379</v>
      </c>
      <c r="M94">
        <f t="shared" si="42"/>
        <v>0.74763296715139638</v>
      </c>
      <c r="N94">
        <f t="shared" si="42"/>
        <v>0.36646543561123646</v>
      </c>
      <c r="O94">
        <f t="shared" si="42"/>
        <v>0.17664949073961941</v>
      </c>
      <c r="P94">
        <f t="shared" si="42"/>
        <v>8.4093545221136698E-2</v>
      </c>
      <c r="Q94">
        <f t="shared" si="42"/>
        <v>3.6423815422439742E-5</v>
      </c>
      <c r="R94">
        <f t="shared" si="42"/>
        <v>1.262087957555747E-8</v>
      </c>
      <c r="S94">
        <f t="shared" si="42"/>
        <v>4.0402109057581177E-12</v>
      </c>
      <c r="T94">
        <f t="shared" si="42"/>
        <v>1.2420723140917811E-15</v>
      </c>
      <c r="AD94">
        <v>120</v>
      </c>
      <c r="AE94">
        <f t="shared" si="43"/>
        <v>9.9900049983337507</v>
      </c>
      <c r="AF94">
        <f t="shared" si="43"/>
        <v>19.960039973346657</v>
      </c>
      <c r="AG94">
        <f t="shared" si="43"/>
        <v>29.910134864885052</v>
      </c>
      <c r="AH94">
        <f t="shared" si="43"/>
        <v>39.840319490133353</v>
      </c>
      <c r="AI94">
        <f t="shared" si="43"/>
        <v>49.750620756232365</v>
      </c>
      <c r="AJ94">
        <f t="shared" si="43"/>
        <v>59.641039719506949</v>
      </c>
      <c r="AK94">
        <f t="shared" si="43"/>
        <v>69.511480031699364</v>
      </c>
      <c r="AL94">
        <f t="shared" si="43"/>
        <v>79.361639617438144</v>
      </c>
      <c r="AM94">
        <f t="shared" si="43"/>
        <v>89.190922732291682</v>
      </c>
      <c r="AN94">
        <f t="shared" si="43"/>
        <v>98.998415410794919</v>
      </c>
      <c r="AO94">
        <f t="shared" si="43"/>
        <v>195.57759591312399</v>
      </c>
      <c r="AP94">
        <f t="shared" si="43"/>
        <v>288.80115110315461</v>
      </c>
      <c r="AQ94">
        <f t="shared" si="43"/>
        <v>378.59636972134138</v>
      </c>
      <c r="AR94">
        <f t="shared" si="43"/>
        <v>465.34817532852253</v>
      </c>
      <c r="BB94">
        <v>120</v>
      </c>
      <c r="BC94">
        <f t="shared" si="44"/>
        <v>7.4281883757532814</v>
      </c>
      <c r="BD94">
        <f t="shared" si="44"/>
        <v>12.94824455708539</v>
      </c>
      <c r="BE94">
        <f t="shared" si="44"/>
        <v>17.858051848892021</v>
      </c>
      <c r="BF94">
        <f t="shared" si="44"/>
        <v>22.383784245237308</v>
      </c>
      <c r="BG94">
        <f t="shared" si="44"/>
        <v>26.620677091200157</v>
      </c>
      <c r="BH94">
        <f t="shared" si="44"/>
        <v>30.621962081845389</v>
      </c>
      <c r="BI94">
        <f t="shared" si="44"/>
        <v>34.42205096118402</v>
      </c>
      <c r="BJ94">
        <f t="shared" si="44"/>
        <v>38.045267812926753</v>
      </c>
      <c r="BK94">
        <f t="shared" si="44"/>
        <v>41.509876776348094</v>
      </c>
      <c r="BL94">
        <f t="shared" si="44"/>
        <v>44.8302008797478</v>
      </c>
      <c r="BM94">
        <f t="shared" si="44"/>
        <v>71.963561985236439</v>
      </c>
      <c r="BN94">
        <f t="shared" si="44"/>
        <v>91.25800191347362</v>
      </c>
      <c r="BO94">
        <f t="shared" si="44"/>
        <v>105.17124842733989</v>
      </c>
      <c r="BP94">
        <f t="shared" si="44"/>
        <v>115.0821144130956</v>
      </c>
    </row>
    <row r="95" spans="5:68" x14ac:dyDescent="0.3">
      <c r="F95">
        <v>125</v>
      </c>
      <c r="G95">
        <f t="shared" si="42"/>
        <v>9.8670833421587503</v>
      </c>
      <c r="H95">
        <f t="shared" si="42"/>
        <v>15.027672644734654</v>
      </c>
      <c r="I95">
        <f t="shared" si="42"/>
        <v>12.803938905503166</v>
      </c>
      <c r="J95">
        <f t="shared" si="42"/>
        <v>8.4711168353225936</v>
      </c>
      <c r="K95">
        <f t="shared" si="42"/>
        <v>4.9370338651236514</v>
      </c>
      <c r="L95">
        <f t="shared" si="42"/>
        <v>2.6763192293161784</v>
      </c>
      <c r="M95">
        <f t="shared" si="42"/>
        <v>1.3862460534542853</v>
      </c>
      <c r="N95">
        <f t="shared" si="42"/>
        <v>0.69632748730214933</v>
      </c>
      <c r="O95">
        <f t="shared" si="42"/>
        <v>0.34222445149467723</v>
      </c>
      <c r="P95">
        <f t="shared" si="42"/>
        <v>0.16549675374233488</v>
      </c>
      <c r="Q95">
        <f t="shared" si="42"/>
        <v>7.711416823227881E-5</v>
      </c>
      <c r="R95">
        <f t="shared" si="42"/>
        <v>2.7400608318321132E-8</v>
      </c>
      <c r="S95">
        <f t="shared" si="42"/>
        <v>8.883786613486646E-12</v>
      </c>
      <c r="T95">
        <f t="shared" si="42"/>
        <v>2.7521667137399928E-15</v>
      </c>
      <c r="AD95">
        <v>125</v>
      </c>
      <c r="AE95">
        <f t="shared" si="43"/>
        <v>9.9900049983337507</v>
      </c>
      <c r="AF95">
        <f t="shared" si="43"/>
        <v>19.96003997334666</v>
      </c>
      <c r="AG95">
        <f t="shared" si="43"/>
        <v>29.910134865101188</v>
      </c>
      <c r="AH95">
        <f t="shared" si="43"/>
        <v>39.840319573744395</v>
      </c>
      <c r="AI95">
        <f t="shared" si="43"/>
        <v>49.750623956566649</v>
      </c>
      <c r="AJ95">
        <f t="shared" si="43"/>
        <v>59.641077732913743</v>
      </c>
      <c r="AK95">
        <f t="shared" si="43"/>
        <v>69.511709531797067</v>
      </c>
      <c r="AL95">
        <f t="shared" si="43"/>
        <v>79.362542637149119</v>
      </c>
      <c r="AM95">
        <f t="shared" si="43"/>
        <v>89.193584395471191</v>
      </c>
      <c r="AN95">
        <f t="shared" si="43"/>
        <v>99.004809118065594</v>
      </c>
      <c r="AO95">
        <f t="shared" si="43"/>
        <v>195.9744552338023</v>
      </c>
      <c r="AP95">
        <f t="shared" si="43"/>
        <v>290.55431530802588</v>
      </c>
      <c r="AQ95">
        <f t="shared" si="43"/>
        <v>382.42512706458473</v>
      </c>
      <c r="AR95">
        <f t="shared" si="43"/>
        <v>471.57705067491599</v>
      </c>
      <c r="BB95">
        <v>125</v>
      </c>
      <c r="BC95">
        <f t="shared" si="44"/>
        <v>7.9494065492198009</v>
      </c>
      <c r="BD95">
        <f t="shared" si="44"/>
        <v>13.826495759379123</v>
      </c>
      <c r="BE95">
        <f t="shared" si="44"/>
        <v>18.992765198228806</v>
      </c>
      <c r="BF95">
        <f t="shared" si="44"/>
        <v>23.724501695340305</v>
      </c>
      <c r="BG95">
        <f t="shared" si="44"/>
        <v>28.13589139575484</v>
      </c>
      <c r="BH95">
        <f t="shared" si="44"/>
        <v>32.289575656544216</v>
      </c>
      <c r="BI95">
        <f t="shared" si="44"/>
        <v>36.225418568597945</v>
      </c>
      <c r="BJ95">
        <f t="shared" si="44"/>
        <v>39.971233100397299</v>
      </c>
      <c r="BK95">
        <f t="shared" si="44"/>
        <v>43.547675850358267</v>
      </c>
      <c r="BL95">
        <f t="shared" si="44"/>
        <v>46.970796348338041</v>
      </c>
      <c r="BM95">
        <f t="shared" si="44"/>
        <v>74.822900043889916</v>
      </c>
      <c r="BN95">
        <f t="shared" si="44"/>
        <v>94.525529531262123</v>
      </c>
      <c r="BO95">
        <f t="shared" si="44"/>
        <v>108.68094506570944</v>
      </c>
      <c r="BP95">
        <f t="shared" si="44"/>
        <v>118.7277614263778</v>
      </c>
    </row>
    <row r="96" spans="5:68" x14ac:dyDescent="0.3">
      <c r="F96">
        <v>130</v>
      </c>
      <c r="G96">
        <f t="shared" si="42"/>
        <v>9.9693471227433381</v>
      </c>
      <c r="H96">
        <f t="shared" si="42"/>
        <v>17.347099857445755</v>
      </c>
      <c r="I96">
        <f t="shared" si="42"/>
        <v>17.053435789234584</v>
      </c>
      <c r="J96">
        <f t="shared" si="42"/>
        <v>12.471308560022889</v>
      </c>
      <c r="K96">
        <f t="shared" si="42"/>
        <v>7.7902702204524443</v>
      </c>
      <c r="L96">
        <f t="shared" si="42"/>
        <v>4.4391477335595253</v>
      </c>
      <c r="M96">
        <f t="shared" si="42"/>
        <v>2.3868857043250418</v>
      </c>
      <c r="N96">
        <f t="shared" si="42"/>
        <v>1.2341545239173966</v>
      </c>
      <c r="O96">
        <f t="shared" si="42"/>
        <v>0.62067524602006929</v>
      </c>
      <c r="P96">
        <f t="shared" si="42"/>
        <v>0.30582886854977587</v>
      </c>
      <c r="Q96">
        <f t="shared" si="42"/>
        <v>1.5554933348993724E-4</v>
      </c>
      <c r="R96">
        <f t="shared" si="42"/>
        <v>5.6972648001916105E-8</v>
      </c>
      <c r="S96">
        <f t="shared" si="42"/>
        <v>1.8757574116582978E-11</v>
      </c>
      <c r="T96">
        <f t="shared" si="42"/>
        <v>5.8652098790450071E-15</v>
      </c>
      <c r="AD96">
        <v>130</v>
      </c>
      <c r="AE96">
        <f t="shared" si="43"/>
        <v>9.9900049983337507</v>
      </c>
      <c r="AF96">
        <f t="shared" si="43"/>
        <v>19.96003997334666</v>
      </c>
      <c r="AG96">
        <f t="shared" si="43"/>
        <v>29.910134865101192</v>
      </c>
      <c r="AH96">
        <f t="shared" si="43"/>
        <v>39.840319573759658</v>
      </c>
      <c r="AI96">
        <f t="shared" si="43"/>
        <v>49.750623959632989</v>
      </c>
      <c r="AJ96">
        <f t="shared" si="43"/>
        <v>59.64107784309136</v>
      </c>
      <c r="AK96">
        <f t="shared" si="43"/>
        <v>69.511711000531321</v>
      </c>
      <c r="AL96">
        <f t="shared" si="43"/>
        <v>79.362553119095708</v>
      </c>
      <c r="AM96">
        <f t="shared" si="43"/>
        <v>89.193633546231695</v>
      </c>
      <c r="AN96">
        <f t="shared" si="43"/>
        <v>99.004980462097549</v>
      </c>
      <c r="AO96">
        <f t="shared" si="43"/>
        <v>196.03232255192489</v>
      </c>
      <c r="AP96">
        <f t="shared" si="43"/>
        <v>291.008430195247</v>
      </c>
      <c r="AQ96">
        <f t="shared" si="43"/>
        <v>383.75027885188655</v>
      </c>
      <c r="AR96">
        <f t="shared" si="43"/>
        <v>474.14459045318819</v>
      </c>
      <c r="BB96">
        <v>130</v>
      </c>
      <c r="BC96">
        <f t="shared" si="44"/>
        <v>8.3852712371117537</v>
      </c>
      <c r="BD96">
        <f t="shared" si="44"/>
        <v>14.621289296545884</v>
      </c>
      <c r="BE96">
        <f t="shared" si="44"/>
        <v>20.047079908011941</v>
      </c>
      <c r="BF96">
        <f t="shared" si="44"/>
        <v>24.98676008029685</v>
      </c>
      <c r="BG96">
        <f t="shared" si="44"/>
        <v>29.573769427429795</v>
      </c>
      <c r="BH96">
        <f t="shared" si="44"/>
        <v>33.880447089047728</v>
      </c>
      <c r="BI96">
        <f t="shared" si="44"/>
        <v>37.952293992285455</v>
      </c>
      <c r="BJ96">
        <f t="shared" si="44"/>
        <v>41.820727863935794</v>
      </c>
      <c r="BK96">
        <f t="shared" si="44"/>
        <v>45.508872331416789</v>
      </c>
      <c r="BL96">
        <f t="shared" si="44"/>
        <v>49.034552861878261</v>
      </c>
      <c r="BM96">
        <f t="shared" si="44"/>
        <v>77.601514201925511</v>
      </c>
      <c r="BN96">
        <f t="shared" si="44"/>
        <v>97.709202439963136</v>
      </c>
      <c r="BO96">
        <f t="shared" si="44"/>
        <v>112.10508889483634</v>
      </c>
      <c r="BP96">
        <f t="shared" si="44"/>
        <v>122.28735972091873</v>
      </c>
    </row>
    <row r="97" spans="1:68" x14ac:dyDescent="0.3">
      <c r="F97">
        <v>135</v>
      </c>
      <c r="G97">
        <f t="shared" si="42"/>
        <v>9.9873500604051415</v>
      </c>
      <c r="H97">
        <f t="shared" si="42"/>
        <v>18.736742035882088</v>
      </c>
      <c r="I97">
        <f t="shared" si="42"/>
        <v>20.904732928404183</v>
      </c>
      <c r="J97">
        <f t="shared" si="42"/>
        <v>16.935393270360553</v>
      </c>
      <c r="K97">
        <f t="shared" si="42"/>
        <v>11.399247543788718</v>
      </c>
      <c r="L97">
        <f t="shared" si="42"/>
        <v>6.8634617711770893</v>
      </c>
      <c r="M97">
        <f t="shared" si="42"/>
        <v>3.8478585672429881</v>
      </c>
      <c r="N97">
        <f t="shared" si="42"/>
        <v>2.055479106641525</v>
      </c>
      <c r="O97">
        <f t="shared" si="42"/>
        <v>1.0610316477313579</v>
      </c>
      <c r="P97">
        <f t="shared" si="42"/>
        <v>0.53405572756888109</v>
      </c>
      <c r="Q97">
        <f t="shared" si="42"/>
        <v>3.0025596506637223E-4</v>
      </c>
      <c r="R97">
        <f t="shared" si="42"/>
        <v>1.1387658350769126E-7</v>
      </c>
      <c r="S97">
        <f t="shared" si="42"/>
        <v>3.8161590061622604E-11</v>
      </c>
      <c r="T97">
        <f t="shared" si="42"/>
        <v>1.206080057029406E-14</v>
      </c>
      <c r="AD97">
        <v>135</v>
      </c>
      <c r="AE97">
        <f t="shared" si="43"/>
        <v>9.9900049983337507</v>
      </c>
      <c r="AF97">
        <f t="shared" si="43"/>
        <v>19.96003997334666</v>
      </c>
      <c r="AG97">
        <f t="shared" si="43"/>
        <v>29.910134865101192</v>
      </c>
      <c r="AH97">
        <f t="shared" si="43"/>
        <v>39.840319573759658</v>
      </c>
      <c r="AI97">
        <f t="shared" si="43"/>
        <v>49.750623959634119</v>
      </c>
      <c r="AJ97">
        <f t="shared" si="43"/>
        <v>59.641077843236026</v>
      </c>
      <c r="AK97">
        <f t="shared" si="43"/>
        <v>69.511711005317864</v>
      </c>
      <c r="AL97">
        <f t="shared" si="43"/>
        <v>79.362553186704801</v>
      </c>
      <c r="AM97">
        <f t="shared" si="43"/>
        <v>89.193634085801492</v>
      </c>
      <c r="AN97">
        <f t="shared" si="43"/>
        <v>99.004983342595096</v>
      </c>
      <c r="AO97">
        <f t="shared" si="43"/>
        <v>196.03904178146894</v>
      </c>
      <c r="AP97">
        <f t="shared" si="43"/>
        <v>291.10974557725348</v>
      </c>
      <c r="AQ97">
        <f t="shared" si="43"/>
        <v>384.16107520637604</v>
      </c>
      <c r="AR97">
        <f t="shared" si="43"/>
        <v>475.11500881269768</v>
      </c>
      <c r="BB97">
        <v>135</v>
      </c>
      <c r="BC97">
        <f t="shared" si="44"/>
        <v>8.74255696965227</v>
      </c>
      <c r="BD97">
        <f t="shared" si="44"/>
        <v>15.33369795291873</v>
      </c>
      <c r="BE97">
        <f t="shared" si="44"/>
        <v>21.020714589719958</v>
      </c>
      <c r="BF97">
        <f t="shared" si="44"/>
        <v>26.169943587272535</v>
      </c>
      <c r="BG97">
        <f t="shared" si="44"/>
        <v>30.933690093495606</v>
      </c>
      <c r="BH97">
        <f t="shared" si="44"/>
        <v>35.394073670158818</v>
      </c>
      <c r="BI97">
        <f t="shared" si="44"/>
        <v>39.602341199475404</v>
      </c>
      <c r="BJ97">
        <f t="shared" si="44"/>
        <v>43.593599670607503</v>
      </c>
      <c r="BK97">
        <f t="shared" si="44"/>
        <v>47.393500240955177</v>
      </c>
      <c r="BL97">
        <f t="shared" si="44"/>
        <v>51.021687223282008</v>
      </c>
      <c r="BM97">
        <f t="shared" si="44"/>
        <v>80.301034451323034</v>
      </c>
      <c r="BN97">
        <f t="shared" si="44"/>
        <v>100.8114999899487</v>
      </c>
      <c r="BO97">
        <f t="shared" si="44"/>
        <v>115.44669583544025</v>
      </c>
      <c r="BP97">
        <f t="shared" si="44"/>
        <v>125.76426915655607</v>
      </c>
    </row>
    <row r="98" spans="1:68" x14ac:dyDescent="0.3">
      <c r="F98">
        <v>140</v>
      </c>
      <c r="G98">
        <f t="shared" si="42"/>
        <v>9.9897372921961995</v>
      </c>
      <c r="H98">
        <f t="shared" si="42"/>
        <v>19.450084556578457</v>
      </c>
      <c r="I98">
        <f t="shared" si="42"/>
        <v>24.025262541459711</v>
      </c>
      <c r="J98">
        <f t="shared" si="42"/>
        <v>21.484798106877328</v>
      </c>
      <c r="K98">
        <f t="shared" si="42"/>
        <v>15.621330949207824</v>
      </c>
      <c r="L98">
        <f t="shared" si="42"/>
        <v>9.9733560155965524</v>
      </c>
      <c r="M98">
        <f t="shared" si="42"/>
        <v>5.849624520898657</v>
      </c>
      <c r="N98">
        <f t="shared" si="42"/>
        <v>3.2378800619173105</v>
      </c>
      <c r="O98">
        <f t="shared" si="42"/>
        <v>1.719857535718039</v>
      </c>
      <c r="P98">
        <f t="shared" si="42"/>
        <v>0.88619374628886749</v>
      </c>
      <c r="Q98">
        <f t="shared" si="42"/>
        <v>5.5677370206278604E-4</v>
      </c>
      <c r="R98">
        <f t="shared" si="42"/>
        <v>2.1953210788954339E-7</v>
      </c>
      <c r="S98">
        <f t="shared" si="42"/>
        <v>7.5034463268188714E-11</v>
      </c>
      <c r="T98">
        <f t="shared" si="42"/>
        <v>2.3999002948581754E-14</v>
      </c>
      <c r="AD98">
        <v>140</v>
      </c>
      <c r="AE98">
        <f t="shared" si="43"/>
        <v>9.9900049983337507</v>
      </c>
      <c r="AF98">
        <f t="shared" si="43"/>
        <v>19.96003997334666</v>
      </c>
      <c r="AG98">
        <f t="shared" si="43"/>
        <v>29.910134865101192</v>
      </c>
      <c r="AH98">
        <f t="shared" si="43"/>
        <v>39.840319573759658</v>
      </c>
      <c r="AI98">
        <f t="shared" si="43"/>
        <v>49.750623959634119</v>
      </c>
      <c r="AJ98">
        <f t="shared" si="43"/>
        <v>59.641077843236118</v>
      </c>
      <c r="AK98">
        <f t="shared" si="43"/>
        <v>69.511711005326447</v>
      </c>
      <c r="AL98">
        <f t="shared" si="43"/>
        <v>79.36255318696422</v>
      </c>
      <c r="AM98">
        <f t="shared" si="43"/>
        <v>89.193634089542201</v>
      </c>
      <c r="AN98">
        <f t="shared" si="43"/>
        <v>99.004983374667319</v>
      </c>
      <c r="AO98">
        <f t="shared" si="43"/>
        <v>196.0396801673327</v>
      </c>
      <c r="AP98">
        <f t="shared" si="43"/>
        <v>291.12956988437332</v>
      </c>
      <c r="AQ98">
        <f t="shared" si="43"/>
        <v>384.27668557419531</v>
      </c>
      <c r="AR98">
        <f t="shared" si="43"/>
        <v>475.45493841704553</v>
      </c>
      <c r="BB98">
        <v>140</v>
      </c>
      <c r="BC98">
        <f t="shared" si="44"/>
        <v>9.0303468578460144</v>
      </c>
      <c r="BD98">
        <f t="shared" si="44"/>
        <v>15.966930524683846</v>
      </c>
      <c r="BE98">
        <f t="shared" si="44"/>
        <v>21.915052593952048</v>
      </c>
      <c r="BF98">
        <f t="shared" si="44"/>
        <v>27.274775203357478</v>
      </c>
      <c r="BG98">
        <f t="shared" si="44"/>
        <v>32.216142846854574</v>
      </c>
      <c r="BH98">
        <f t="shared" si="44"/>
        <v>36.830894983278228</v>
      </c>
      <c r="BI98">
        <f t="shared" si="44"/>
        <v>41.176036704903893</v>
      </c>
      <c r="BJ98">
        <f t="shared" si="44"/>
        <v>45.290404919817227</v>
      </c>
      <c r="BK98">
        <f t="shared" si="44"/>
        <v>49.20221713225142</v>
      </c>
      <c r="BL98">
        <f t="shared" si="44"/>
        <v>52.932967999837444</v>
      </c>
      <c r="BM98">
        <f t="shared" si="44"/>
        <v>82.923256662580982</v>
      </c>
      <c r="BN98">
        <f t="shared" si="44"/>
        <v>103.83489599925186</v>
      </c>
      <c r="BO98">
        <f t="shared" si="44"/>
        <v>118.70867600901849</v>
      </c>
      <c r="BP98">
        <f t="shared" si="44"/>
        <v>129.16167914875405</v>
      </c>
    </row>
    <row r="101" spans="1:68" x14ac:dyDescent="0.3">
      <c r="F101" s="1"/>
    </row>
    <row r="102" spans="1:68" x14ac:dyDescent="0.3">
      <c r="A102" t="s">
        <v>10</v>
      </c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moton</dc:creator>
  <cp:lastModifiedBy>moton</cp:lastModifiedBy>
  <dcterms:created xsi:type="dcterms:W3CDTF">2023-04-18T20:51:54Z</dcterms:created>
  <dcterms:modified xsi:type="dcterms:W3CDTF">2023-04-27T22:07:24Z</dcterms:modified>
</cp:coreProperties>
</file>