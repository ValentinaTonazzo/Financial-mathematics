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moton\Documents\Modelli di Office personalizzati\"/>
    </mc:Choice>
  </mc:AlternateContent>
  <xr:revisionPtr revIDLastSave="0" documentId="8_{618BF9E9-B940-488B-BAF9-5F58F938BD0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81029"/>
</workbook>
</file>

<file path=xl/calcChain.xml><?xml version="1.0" encoding="utf-8"?>
<calcChain xmlns="http://schemas.openxmlformats.org/spreadsheetml/2006/main">
  <c r="R2" i="1" l="1"/>
  <c r="S2" i="1"/>
  <c r="T2" i="1"/>
  <c r="U2" i="1"/>
  <c r="V2" i="1"/>
  <c r="W2" i="1"/>
  <c r="X2" i="1"/>
  <c r="Q2" i="1"/>
  <c r="R67" i="1"/>
  <c r="S68" i="1"/>
  <c r="T69" i="1"/>
  <c r="U70" i="1"/>
  <c r="V71" i="1"/>
  <c r="W72" i="1"/>
  <c r="V68" i="1"/>
  <c r="V67" i="1"/>
  <c r="X69" i="1"/>
  <c r="R71" i="1"/>
  <c r="S72" i="1"/>
  <c r="X68" i="1"/>
  <c r="R69" i="1"/>
  <c r="S67" i="1"/>
  <c r="T68" i="1"/>
  <c r="U69" i="1"/>
  <c r="V70" i="1"/>
  <c r="W71" i="1"/>
  <c r="X72" i="1"/>
  <c r="U67" i="1"/>
  <c r="W69" i="1"/>
  <c r="X70" i="1"/>
  <c r="R72" i="1"/>
  <c r="W68" i="1"/>
  <c r="W67" i="1"/>
  <c r="R70" i="1"/>
  <c r="S71" i="1"/>
  <c r="T72" i="1"/>
  <c r="X67" i="1"/>
  <c r="S70" i="1"/>
  <c r="T71" i="1"/>
  <c r="U72" i="1"/>
  <c r="R68" i="1"/>
  <c r="S69" i="1"/>
  <c r="T70" i="1"/>
  <c r="U71" i="1"/>
  <c r="V72" i="1"/>
  <c r="T67" i="1"/>
  <c r="U68" i="1"/>
  <c r="V69" i="1"/>
  <c r="W70" i="1"/>
  <c r="X71" i="1"/>
  <c r="Q68" i="1"/>
  <c r="Q69" i="1"/>
  <c r="Q70" i="1"/>
  <c r="Q71" i="1"/>
  <c r="Q72" i="1"/>
  <c r="Q67" i="1"/>
  <c r="Q51" i="1"/>
  <c r="R51" i="1"/>
  <c r="S52" i="1"/>
  <c r="T53" i="1"/>
  <c r="U54" i="1"/>
  <c r="V55" i="1"/>
  <c r="W56" i="1"/>
  <c r="R55" i="1"/>
  <c r="S55" i="1"/>
  <c r="S51" i="1"/>
  <c r="T52" i="1"/>
  <c r="U53" i="1"/>
  <c r="V54" i="1"/>
  <c r="W55" i="1"/>
  <c r="X56" i="1"/>
  <c r="V51" i="1"/>
  <c r="W51" i="1"/>
  <c r="X51" i="1"/>
  <c r="T55" i="1"/>
  <c r="S53" i="1"/>
  <c r="V56" i="1"/>
  <c r="T51" i="1"/>
  <c r="U52" i="1"/>
  <c r="V53" i="1"/>
  <c r="W54" i="1"/>
  <c r="X55" i="1"/>
  <c r="W52" i="1"/>
  <c r="S56" i="1"/>
  <c r="X52" i="1"/>
  <c r="T56" i="1"/>
  <c r="R53" i="1"/>
  <c r="U56" i="1"/>
  <c r="R52" i="1"/>
  <c r="U55" i="1"/>
  <c r="U51" i="1"/>
  <c r="V52" i="1"/>
  <c r="W53" i="1"/>
  <c r="X54" i="1"/>
  <c r="R56" i="1"/>
  <c r="X53" i="1"/>
  <c r="R54" i="1"/>
  <c r="S54" i="1"/>
  <c r="T54" i="1"/>
  <c r="Q52" i="1"/>
  <c r="Q53" i="1"/>
  <c r="Q54" i="1"/>
  <c r="Q55" i="1"/>
  <c r="Q56" i="1"/>
  <c r="Q35" i="1"/>
  <c r="R35" i="1"/>
  <c r="S36" i="1"/>
  <c r="T37" i="1"/>
  <c r="U38" i="1"/>
  <c r="V39" i="1"/>
  <c r="W40" i="1"/>
  <c r="R39" i="1"/>
  <c r="S39" i="1"/>
  <c r="T39" i="1"/>
  <c r="T38" i="1"/>
  <c r="S35" i="1"/>
  <c r="T36" i="1"/>
  <c r="U37" i="1"/>
  <c r="V38" i="1"/>
  <c r="W39" i="1"/>
  <c r="X40" i="1"/>
  <c r="V36" i="1"/>
  <c r="V35" i="1"/>
  <c r="X36" i="1"/>
  <c r="R37" i="1"/>
  <c r="S37" i="1"/>
  <c r="T35" i="1"/>
  <c r="U36" i="1"/>
  <c r="V37" i="1"/>
  <c r="W38" i="1"/>
  <c r="X39" i="1"/>
  <c r="U35" i="1"/>
  <c r="W36" i="1"/>
  <c r="S40" i="1"/>
  <c r="W35" i="1"/>
  <c r="T40" i="1"/>
  <c r="X35" i="1"/>
  <c r="U40" i="1"/>
  <c r="R36" i="1"/>
  <c r="W37" i="1"/>
  <c r="X38" i="1"/>
  <c r="R40" i="1"/>
  <c r="X37" i="1"/>
  <c r="R38" i="1"/>
  <c r="S38" i="1"/>
  <c r="U39" i="1"/>
  <c r="V40" i="1"/>
  <c r="Q36" i="1"/>
  <c r="Q37" i="1"/>
  <c r="Q39" i="1"/>
  <c r="Q40" i="1"/>
  <c r="Q38" i="1"/>
  <c r="Q19" i="1"/>
  <c r="S21" i="1"/>
  <c r="T5" i="1"/>
  <c r="Q4" i="1"/>
  <c r="V19" i="1"/>
  <c r="S19" i="1"/>
  <c r="X23" i="1"/>
  <c r="R24" i="1"/>
  <c r="T22" i="1"/>
  <c r="U5" i="1"/>
  <c r="V4" i="1"/>
  <c r="T9" i="1"/>
  <c r="U8" i="1"/>
  <c r="U4" i="1"/>
  <c r="S23" i="1"/>
  <c r="S22" i="1"/>
  <c r="Q20" i="1"/>
  <c r="X8" i="1"/>
  <c r="T8" i="1"/>
  <c r="Q5" i="1"/>
  <c r="W23" i="1"/>
  <c r="V21" i="1"/>
  <c r="Q21" i="1"/>
  <c r="V5" i="1"/>
  <c r="U9" i="1"/>
  <c r="Q6" i="1"/>
  <c r="R21" i="1"/>
  <c r="X19" i="1"/>
  <c r="V8" i="1"/>
  <c r="X5" i="1"/>
  <c r="V7" i="1"/>
  <c r="U20" i="1"/>
  <c r="X22" i="1"/>
  <c r="Q24" i="1"/>
  <c r="R9" i="1"/>
  <c r="T7" i="1"/>
  <c r="Q9" i="1"/>
  <c r="R19" i="1"/>
  <c r="R23" i="1"/>
  <c r="T20" i="1"/>
  <c r="U19" i="1"/>
  <c r="W20" i="1"/>
  <c r="U23" i="1"/>
  <c r="R4" i="1"/>
  <c r="V6" i="1"/>
  <c r="X6" i="1"/>
  <c r="X4" i="1"/>
  <c r="V9" i="1"/>
  <c r="W5" i="1"/>
  <c r="T21" i="1"/>
  <c r="V22" i="1"/>
  <c r="W19" i="1"/>
  <c r="T6" i="1"/>
  <c r="S9" i="1"/>
  <c r="T24" i="1"/>
  <c r="R22" i="1"/>
  <c r="U7" i="1"/>
  <c r="W4" i="1"/>
  <c r="U6" i="1"/>
  <c r="X24" i="1"/>
  <c r="V20" i="1"/>
  <c r="Q22" i="1"/>
  <c r="W6" i="1"/>
  <c r="R5" i="1"/>
  <c r="Q7" i="1"/>
  <c r="R7" i="1"/>
  <c r="Q8" i="1"/>
  <c r="W22" i="1"/>
  <c r="R20" i="1"/>
  <c r="T4" i="1"/>
  <c r="S8" i="1"/>
  <c r="X9" i="1"/>
  <c r="S20" i="1"/>
  <c r="X20" i="1"/>
  <c r="U21" i="1"/>
  <c r="X21" i="1"/>
  <c r="S24" i="1"/>
  <c r="V24" i="1"/>
  <c r="S5" i="1"/>
  <c r="W7" i="1"/>
  <c r="R8" i="1"/>
  <c r="S7" i="1"/>
  <c r="S4" i="1"/>
  <c r="R6" i="1"/>
  <c r="U22" i="1"/>
  <c r="V23" i="1"/>
  <c r="W24" i="1"/>
  <c r="T23" i="1"/>
  <c r="T19" i="1"/>
  <c r="W21" i="1"/>
  <c r="U24" i="1"/>
  <c r="Q23" i="1"/>
  <c r="W9" i="1"/>
  <c r="X7" i="1"/>
  <c r="S6" i="1"/>
  <c r="W8" i="1"/>
</calcChain>
</file>

<file path=xl/sharedStrings.xml><?xml version="1.0" encoding="utf-8"?>
<sst xmlns="http://schemas.openxmlformats.org/spreadsheetml/2006/main" count="115" uniqueCount="67">
  <si>
    <t>T [months]</t>
  </si>
  <si>
    <t>Option</t>
  </si>
  <si>
    <t>Contract Name</t>
  </si>
  <si>
    <t>Last Trade Date</t>
  </si>
  <si>
    <t>Strike</t>
  </si>
  <si>
    <t>Last Price</t>
  </si>
  <si>
    <t>Bid</t>
  </si>
  <si>
    <t>Ask</t>
  </si>
  <si>
    <t>mid</t>
  </si>
  <si>
    <t>discount</t>
  </si>
  <si>
    <t>interest rate</t>
  </si>
  <si>
    <t>call</t>
  </si>
  <si>
    <t>2023-04-20</t>
  </si>
  <si>
    <t>put</t>
  </si>
  <si>
    <t>PYPL230519C00045000</t>
  </si>
  <si>
    <t>2023-04-03</t>
  </si>
  <si>
    <t>PYPL230519C00110000</t>
  </si>
  <si>
    <t>PYPL230519P00045000</t>
  </si>
  <si>
    <t>2023-04-21</t>
  </si>
  <si>
    <t>PYPL230519P00110000</t>
  </si>
  <si>
    <t>2023-03-20</t>
  </si>
  <si>
    <t>PYPL230616C00045000</t>
  </si>
  <si>
    <t>2023-04-06</t>
  </si>
  <si>
    <t>PYPL230616C00110000</t>
  </si>
  <si>
    <t>2023-04-25</t>
  </si>
  <si>
    <t>PYPL230616P00045000</t>
  </si>
  <si>
    <t>2023-04-17</t>
  </si>
  <si>
    <t>PYPL230616P00110000</t>
  </si>
  <si>
    <t>2023-04-24</t>
  </si>
  <si>
    <t>PYPL230721C00045000</t>
  </si>
  <si>
    <t>2023-03-29</t>
  </si>
  <si>
    <t>PYPL230721C00110000</t>
  </si>
  <si>
    <t>PYPL230721P00045000</t>
  </si>
  <si>
    <t>PYPL230721P00110000</t>
  </si>
  <si>
    <t>2023-03-24</t>
  </si>
  <si>
    <t>PYPL230915C00045000</t>
  </si>
  <si>
    <t>2023-04-11</t>
  </si>
  <si>
    <t>PYPL230915C00110000</t>
  </si>
  <si>
    <t>PYPL230915P00045000</t>
  </si>
  <si>
    <t>PYPL230915P00110000</t>
  </si>
  <si>
    <t>PYPL231020C00045000</t>
  </si>
  <si>
    <t>2023-03-31</t>
  </si>
  <si>
    <t>PYPL231020C00110000</t>
  </si>
  <si>
    <t>PYPL231020P00045000</t>
  </si>
  <si>
    <t>PYPL231020P00110000</t>
  </si>
  <si>
    <t>2023-04-10</t>
  </si>
  <si>
    <t>PYPL240119C00045000</t>
  </si>
  <si>
    <t>2023-04-19</t>
  </si>
  <si>
    <t>PYPL240119C00110000</t>
  </si>
  <si>
    <t>PYPL240119P00045000</t>
  </si>
  <si>
    <t>PYPL240119P00110000</t>
  </si>
  <si>
    <t>PYPL240621C00045000</t>
  </si>
  <si>
    <t>PYPL240621C00110000</t>
  </si>
  <si>
    <t>PYPL240621P00045000</t>
  </si>
  <si>
    <t>PYPL240621P00110000</t>
  </si>
  <si>
    <t>PYPL250117C00045000</t>
  </si>
  <si>
    <t>PYPL250117C00110000</t>
  </si>
  <si>
    <t>PYPL250117P00045000</t>
  </si>
  <si>
    <t>PYPL250117P00110000</t>
  </si>
  <si>
    <t>S</t>
  </si>
  <si>
    <t xml:space="preserve"> 17:53:00</t>
  </si>
  <si>
    <t>"25 aprile 2023"</t>
  </si>
  <si>
    <t>r --&gt;</t>
  </si>
  <si>
    <t xml:space="preserve">hystorical implied volatility at specific maturity T [months] and strike K </t>
  </si>
  <si>
    <t>T [years] --&gt;</t>
  </si>
  <si>
    <t>stike K</t>
  </si>
  <si>
    <t>&lt;-- T [months]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</si>
</sst>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Liberation Sans"/>
    </font>
    <font>
      <sz val="11"/>
      <color theme="1"/>
      <name val="Liberation Sans"/>
    </font>
    <font>
      <b/>
      <sz val="10"/>
      <color rgb="FF000000"/>
      <name val="Liberation Sans"/>
    </font>
    <font>
      <sz val="10"/>
      <color rgb="FFFFFFFF"/>
      <name val="Liberation Sans"/>
    </font>
    <font>
      <sz val="10"/>
      <color rgb="FFCC0000"/>
      <name val="Liberation Sans"/>
    </font>
    <font>
      <b/>
      <sz val="10"/>
      <color rgb="FFFFFFFF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sz val="24"/>
      <color rgb="FF000000"/>
      <name val="Liberation Sans"/>
    </font>
    <font>
      <sz val="18"/>
      <color rgb="FF000000"/>
      <name val="Liberation Sans"/>
    </font>
    <font>
      <sz val="12"/>
      <color rgb="FF000000"/>
      <name val="Liberation Sans"/>
    </font>
    <font>
      <u/>
      <sz val="10"/>
      <color rgb="FF0000EE"/>
      <name val="Liberation Sans"/>
    </font>
    <font>
      <sz val="10"/>
      <color rgb="FF996600"/>
      <name val="Liberation Sans"/>
    </font>
    <font>
      <sz val="10"/>
      <color rgb="FF333333"/>
      <name val="Liberation Sans"/>
    </font>
    <font>
      <sz val="10"/>
      <color theme="1"/>
      <name val="Liberation Sans"/>
    </font>
    <font>
      <u/>
      <sz val="11"/>
      <color theme="1"/>
      <name val="Liberation Sans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8">
    <xf numFmtId="0" fontId="0" fillId="0" borderId="0"/>
    <xf numFmtId="0" fontId="2" fillId="0" borderId="0"/>
    <xf numFmtId="0" fontId="3" fillId="2" borderId="0"/>
    <xf numFmtId="0" fontId="3" fillId="3" borderId="0"/>
    <xf numFmtId="0" fontId="2" fillId="4" borderId="0"/>
    <xf numFmtId="0" fontId="4" fillId="5" borderId="0"/>
    <xf numFmtId="0" fontId="5" fillId="6" borderId="0"/>
    <xf numFmtId="0" fontId="6" fillId="0" borderId="0"/>
    <xf numFmtId="0" fontId="7" fillId="7" borderId="0"/>
    <xf numFmtId="0" fontId="8" fillId="0" borderId="0"/>
    <xf numFmtId="0" fontId="9" fillId="0" borderId="0"/>
    <xf numFmtId="0" fontId="10" fillId="0" borderId="0"/>
    <xf numFmtId="0" fontId="11" fillId="0" borderId="0"/>
    <xf numFmtId="0" fontId="12" fillId="8" borderId="0"/>
    <xf numFmtId="0" fontId="13" fillId="8" borderId="1"/>
    <xf numFmtId="0" fontId="1" fillId="0" borderId="0"/>
    <xf numFmtId="0" fontId="1" fillId="0" borderId="0"/>
    <xf numFmtId="0" fontId="4" fillId="0" borderId="0"/>
  </cellStyleXfs>
  <cellXfs count="7">
    <xf numFmtId="0" fontId="0" fillId="0" borderId="0" xfId="0"/>
    <xf numFmtId="0" fontId="15" fillId="0" borderId="0" xfId="0" applyFont="1"/>
    <xf numFmtId="22" fontId="0" fillId="0" borderId="0" xfId="0" applyNumberFormat="1"/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 wrapText="1"/>
    </xf>
    <xf numFmtId="49" fontId="0" fillId="0" borderId="0" xfId="0" applyNumberFormat="1"/>
    <xf numFmtId="0" fontId="0" fillId="0" borderId="0" xfId="0" applyAlignment="1">
      <alignment horizontal="center"/>
    </xf>
  </cellXfs>
  <cellStyles count="18">
    <cellStyle name="Accent" xfId="1" xr:uid="{00000000-0005-0000-0000-000000000000}"/>
    <cellStyle name="Accent 1" xfId="2" xr:uid="{00000000-0005-0000-0000-000001000000}"/>
    <cellStyle name="Accent 2" xfId="3" xr:uid="{00000000-0005-0000-0000-000002000000}"/>
    <cellStyle name="Accent 3" xfId="4" xr:uid="{00000000-0005-0000-0000-000003000000}"/>
    <cellStyle name="Bad" xfId="5" xr:uid="{00000000-0005-0000-0000-000004000000}"/>
    <cellStyle name="Error" xfId="6" xr:uid="{00000000-0005-0000-0000-000005000000}"/>
    <cellStyle name="Footnote" xfId="7" xr:uid="{00000000-0005-0000-0000-000006000000}"/>
    <cellStyle name="Good" xfId="8" xr:uid="{00000000-0005-0000-0000-000007000000}"/>
    <cellStyle name="Heading" xfId="9" xr:uid="{00000000-0005-0000-0000-000008000000}"/>
    <cellStyle name="Heading 1" xfId="10" xr:uid="{00000000-0005-0000-0000-000009000000}"/>
    <cellStyle name="Heading 2" xfId="11" xr:uid="{00000000-0005-0000-0000-00000A000000}"/>
    <cellStyle name="Hyperlink" xfId="12" xr:uid="{00000000-0005-0000-0000-00000B000000}"/>
    <cellStyle name="Neutral" xfId="13" xr:uid="{00000000-0005-0000-0000-00000C000000}"/>
    <cellStyle name="Normale" xfId="0" builtinId="0" customBuiltin="1"/>
    <cellStyle name="Note" xfId="14" xr:uid="{00000000-0005-0000-0000-00000E000000}"/>
    <cellStyle name="Status" xfId="15" xr:uid="{00000000-0005-0000-0000-00000F000000}"/>
    <cellStyle name="Text" xfId="16" xr:uid="{00000000-0005-0000-0000-000010000000}"/>
    <cellStyle name="Warning" xfId="17" xr:uid="{00000000-0005-0000-0000-00001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>
                <a:latin typeface="Arial" panose="020B0604020202020204" pitchFamily="34" charset="0"/>
                <a:cs typeface="Arial" panose="020B0604020202020204" pitchFamily="34" charset="0"/>
              </a:rPr>
              <a:t>Γ parameter 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Sheet1!$P$19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Sheet1!$Q$18:$X$18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13</c:v>
                </c:pt>
                <c:pt idx="7">
                  <c:v>20</c:v>
                </c:pt>
              </c:numCache>
            </c:numRef>
          </c:cat>
          <c:val>
            <c:numRef>
              <c:f>Sheet1!$Q$19:$X$19</c:f>
              <c:numCache>
                <c:formatCode>General</c:formatCode>
                <c:ptCount val="8"/>
                <c:pt idx="0">
                  <c:v>1.0229652405648974E-17</c:v>
                </c:pt>
                <c:pt idx="1">
                  <c:v>4.0231255949176031E-31</c:v>
                </c:pt>
                <c:pt idx="2">
                  <c:v>7.0877330897069048E-41</c:v>
                </c:pt>
                <c:pt idx="3">
                  <c:v>3.8940071657027241E-58</c:v>
                </c:pt>
                <c:pt idx="4">
                  <c:v>1.0211130126180985E-65</c:v>
                </c:pt>
                <c:pt idx="5">
                  <c:v>9.554007857420703E-100</c:v>
                </c:pt>
                <c:pt idx="6">
                  <c:v>1.670445919984527E-162</c:v>
                </c:pt>
                <c:pt idx="7">
                  <c:v>1.8322567431912594E-240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41-4667-B747-5AF9DA60378B}"/>
            </c:ext>
          </c:extLst>
        </c:ser>
        <c:ser>
          <c:idx val="1"/>
          <c:order val="1"/>
          <c:tx>
            <c:strRef>
              <c:f>Sheet1!$P$20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Sheet1!$Q$18:$X$18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13</c:v>
                </c:pt>
                <c:pt idx="7">
                  <c:v>20</c:v>
                </c:pt>
              </c:numCache>
            </c:numRef>
          </c:cat>
          <c:val>
            <c:numRef>
              <c:f>Sheet1!$Q$20:$X$20</c:f>
              <c:numCache>
                <c:formatCode>General</c:formatCode>
                <c:ptCount val="8"/>
                <c:pt idx="0">
                  <c:v>8.3999748343884098E-14</c:v>
                </c:pt>
                <c:pt idx="1">
                  <c:v>7.7320409307010711E-23</c:v>
                </c:pt>
                <c:pt idx="2">
                  <c:v>3.3896030037496563E-30</c:v>
                </c:pt>
                <c:pt idx="3">
                  <c:v>1.0009261677315743E-42</c:v>
                </c:pt>
                <c:pt idx="4">
                  <c:v>1.1553171373007486E-51</c:v>
                </c:pt>
                <c:pt idx="5">
                  <c:v>1.4685775712643778E-82</c:v>
                </c:pt>
                <c:pt idx="6">
                  <c:v>8.1099521269772221E-141</c:v>
                </c:pt>
                <c:pt idx="7">
                  <c:v>4.8829790755875715E-214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41-4667-B747-5AF9DA60378B}"/>
            </c:ext>
          </c:extLst>
        </c:ser>
        <c:ser>
          <c:idx val="2"/>
          <c:order val="2"/>
          <c:tx>
            <c:strRef>
              <c:f>Sheet1!$P$21</c:f>
              <c:strCache>
                <c:ptCount val="1"/>
                <c:pt idx="0">
                  <c:v>80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Sheet1!$Q$18:$X$18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13</c:v>
                </c:pt>
                <c:pt idx="7">
                  <c:v>20</c:v>
                </c:pt>
              </c:numCache>
            </c:numRef>
          </c:cat>
          <c:val>
            <c:numRef>
              <c:f>Sheet1!$Q$21:$X$21</c:f>
              <c:numCache>
                <c:formatCode>General</c:formatCode>
                <c:ptCount val="8"/>
                <c:pt idx="0">
                  <c:v>4.325146037764701E-11</c:v>
                </c:pt>
                <c:pt idx="1">
                  <c:v>2.2004608301338666E-17</c:v>
                </c:pt>
                <c:pt idx="2">
                  <c:v>7.7750162694404666E-24</c:v>
                </c:pt>
                <c:pt idx="3">
                  <c:v>6.3546963003785302E-35</c:v>
                </c:pt>
                <c:pt idx="4">
                  <c:v>1.5269719336531189E-42</c:v>
                </c:pt>
                <c:pt idx="5">
                  <c:v>7.8428973845370311E-69</c:v>
                </c:pt>
                <c:pt idx="6">
                  <c:v>3.8120991475534748E-121</c:v>
                </c:pt>
                <c:pt idx="7">
                  <c:v>1.0911390208762672E-188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41-4667-B747-5AF9DA60378B}"/>
            </c:ext>
          </c:extLst>
        </c:ser>
        <c:ser>
          <c:idx val="3"/>
          <c:order val="3"/>
          <c:tx>
            <c:strRef>
              <c:f>Sheet1!$P$22</c:f>
              <c:strCache>
                <c:ptCount val="1"/>
                <c:pt idx="0">
                  <c:v>90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Sheet1!$Q$18:$X$18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13</c:v>
                </c:pt>
                <c:pt idx="7">
                  <c:v>20</c:v>
                </c:pt>
              </c:numCache>
            </c:numRef>
          </c:cat>
          <c:val>
            <c:numRef>
              <c:f>Sheet1!$Q$22:$X$22</c:f>
              <c:numCache>
                <c:formatCode>General</c:formatCode>
                <c:ptCount val="8"/>
                <c:pt idx="0">
                  <c:v>3.4337864701057854E-11</c:v>
                </c:pt>
                <c:pt idx="1">
                  <c:v>3.7267846946357543E-16</c:v>
                </c:pt>
                <c:pt idx="2">
                  <c:v>8.9581688630085925E-21</c:v>
                </c:pt>
                <c:pt idx="3">
                  <c:v>2.1319712385646393E-30</c:v>
                </c:pt>
                <c:pt idx="4">
                  <c:v>3.4936171532271335E-37</c:v>
                </c:pt>
                <c:pt idx="5">
                  <c:v>1.1628059317971295E-59</c:v>
                </c:pt>
                <c:pt idx="6">
                  <c:v>4.6440013190573966E-106</c:v>
                </c:pt>
                <c:pt idx="7">
                  <c:v>2.4008619590408837E-169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41-4667-B747-5AF9DA60378B}"/>
            </c:ext>
          </c:extLst>
        </c:ser>
        <c:ser>
          <c:idx val="4"/>
          <c:order val="4"/>
          <c:tx>
            <c:strRef>
              <c:f>Sheet1!$P$23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Sheet1!$Q$18:$X$18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13</c:v>
                </c:pt>
                <c:pt idx="7">
                  <c:v>20</c:v>
                </c:pt>
              </c:numCache>
            </c:numRef>
          </c:cat>
          <c:val>
            <c:numRef>
              <c:f>Sheet1!$Q$23:$X$23</c:f>
              <c:numCache>
                <c:formatCode>General</c:formatCode>
                <c:ptCount val="8"/>
                <c:pt idx="0">
                  <c:v>1.4014024882989215E-13</c:v>
                </c:pt>
                <c:pt idx="1">
                  <c:v>1.9284664737605863E-17</c:v>
                </c:pt>
                <c:pt idx="2">
                  <c:v>6.769482191446341E-21</c:v>
                </c:pt>
                <c:pt idx="3">
                  <c:v>2.1090919418825215E-28</c:v>
                </c:pt>
                <c:pt idx="4">
                  <c:v>3.6940485698560569E-34</c:v>
                </c:pt>
                <c:pt idx="5">
                  <c:v>1.0628629908942703E-54</c:v>
                </c:pt>
                <c:pt idx="6">
                  <c:v>7.4924487811353221E-97</c:v>
                </c:pt>
                <c:pt idx="7">
                  <c:v>1.4580478928142315E-153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41-4667-B747-5AF9DA60378B}"/>
            </c:ext>
          </c:extLst>
        </c:ser>
        <c:ser>
          <c:idx val="5"/>
          <c:order val="5"/>
          <c:tx>
            <c:strRef>
              <c:f>Sheet1!$P$24</c:f>
              <c:strCache>
                <c:ptCount val="1"/>
                <c:pt idx="0">
                  <c:v>110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Sheet1!$Q$18:$X$18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13</c:v>
                </c:pt>
                <c:pt idx="7">
                  <c:v>20</c:v>
                </c:pt>
              </c:numCache>
            </c:numRef>
          </c:cat>
          <c:val>
            <c:numRef>
              <c:f>Sheet1!$Q$24:$X$24</c:f>
              <c:numCache>
                <c:formatCode>General</c:formatCode>
                <c:ptCount val="8"/>
                <c:pt idx="0">
                  <c:v>1.770453937775138E-16</c:v>
                </c:pt>
                <c:pt idx="1">
                  <c:v>1.8137742945107839E-21</c:v>
                </c:pt>
                <c:pt idx="2">
                  <c:v>3.717269972570874E-23</c:v>
                </c:pt>
                <c:pt idx="3">
                  <c:v>2.0170265473292183E-28</c:v>
                </c:pt>
                <c:pt idx="4">
                  <c:v>4.8704190452529942E-33</c:v>
                </c:pt>
                <c:pt idx="5">
                  <c:v>1.2189694494840647E-52</c:v>
                </c:pt>
                <c:pt idx="6">
                  <c:v>6.0364004110651963E-92</c:v>
                </c:pt>
                <c:pt idx="7">
                  <c:v>2.7997570833626192E-144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041-4667-B747-5AF9DA60378B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36099240"/>
        <c:axId val="636093120"/>
        <c:axId val="641471736"/>
      </c:surface3DChart>
      <c:catAx>
        <c:axId val="636099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36093120"/>
        <c:crosses val="autoZero"/>
        <c:auto val="1"/>
        <c:lblAlgn val="ctr"/>
        <c:lblOffset val="100"/>
        <c:noMultiLvlLbl val="0"/>
      </c:catAx>
      <c:valAx>
        <c:axId val="63609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36099240"/>
        <c:crosses val="autoZero"/>
        <c:crossBetween val="midCat"/>
      </c:valAx>
      <c:serAx>
        <c:axId val="6414717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3609312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l-GR">
                <a:cs typeface="Dubai" panose="020B0503030403030204" pitchFamily="34" charset="-78"/>
              </a:rPr>
              <a:t>Δ</a:t>
            </a:r>
            <a:r>
              <a:rPr lang="it-IT" baseline="0">
                <a:cs typeface="Dubai" panose="020B0503030403030204" pitchFamily="34" charset="-78"/>
              </a:rPr>
              <a:t> parameter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15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Sheet1!$P$4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Sheet1!$Q$3:$X$3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13</c:v>
                </c:pt>
                <c:pt idx="7">
                  <c:v>20</c:v>
                </c:pt>
              </c:numCache>
            </c:numRef>
          </c:cat>
          <c:val>
            <c:numRef>
              <c:f>Sheet1!$Q$4:$X$4</c:f>
              <c:numCache>
                <c:formatCode>General</c:formatCode>
                <c:ptCount val="8"/>
                <c:pt idx="0">
                  <c:v>0.99999999999999856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0D-4873-A21F-1A8D73DB936B}"/>
            </c:ext>
          </c:extLst>
        </c:ser>
        <c:ser>
          <c:idx val="1"/>
          <c:order val="1"/>
          <c:tx>
            <c:strRef>
              <c:f>Sheet1!$P$5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Sheet1!$Q$3:$X$3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13</c:v>
                </c:pt>
                <c:pt idx="7">
                  <c:v>20</c:v>
                </c:pt>
              </c:numCache>
            </c:numRef>
          </c:cat>
          <c:val>
            <c:numRef>
              <c:f>Sheet1!$Q$5:$X$5</c:f>
              <c:numCache>
                <c:formatCode>General</c:formatCode>
                <c:ptCount val="8"/>
                <c:pt idx="0">
                  <c:v>0.99999999998801536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0D-4873-A21F-1A8D73DB936B}"/>
            </c:ext>
          </c:extLst>
        </c:ser>
        <c:ser>
          <c:idx val="2"/>
          <c:order val="2"/>
          <c:tx>
            <c:strRef>
              <c:f>Sheet1!$P$6</c:f>
              <c:strCache>
                <c:ptCount val="1"/>
                <c:pt idx="0">
                  <c:v>80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Sheet1!$Q$3:$X$3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13</c:v>
                </c:pt>
                <c:pt idx="7">
                  <c:v>20</c:v>
                </c:pt>
              </c:numCache>
            </c:numRef>
          </c:cat>
          <c:val>
            <c:numRef>
              <c:f>Sheet1!$Q$6:$X$6</c:f>
              <c:numCache>
                <c:formatCode>General</c:formatCode>
                <c:ptCount val="8"/>
                <c:pt idx="0">
                  <c:v>0.9999999938642754</c:v>
                </c:pt>
                <c:pt idx="1">
                  <c:v>0.99999999999999689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0D-4873-A21F-1A8D73DB936B}"/>
            </c:ext>
          </c:extLst>
        </c:ser>
        <c:ser>
          <c:idx val="3"/>
          <c:order val="3"/>
          <c:tx>
            <c:strRef>
              <c:f>Sheet1!$P$7</c:f>
              <c:strCache>
                <c:ptCount val="1"/>
                <c:pt idx="0">
                  <c:v>90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Sheet1!$Q$3:$X$3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13</c:v>
                </c:pt>
                <c:pt idx="7">
                  <c:v>20</c:v>
                </c:pt>
              </c:numCache>
            </c:numRef>
          </c:cat>
          <c:val>
            <c:numRef>
              <c:f>Sheet1!$Q$7:$X$7</c:f>
              <c:numCache>
                <c:formatCode>General</c:formatCode>
                <c:ptCount val="8"/>
                <c:pt idx="0">
                  <c:v>0.99999999511837601</c:v>
                </c:pt>
                <c:pt idx="1">
                  <c:v>0.99999999999994649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0D-4873-A21F-1A8D73DB936B}"/>
            </c:ext>
          </c:extLst>
        </c:ser>
        <c:ser>
          <c:idx val="4"/>
          <c:order val="4"/>
          <c:tx>
            <c:strRef>
              <c:f>Sheet1!$P$8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Sheet1!$Q$3:$X$3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13</c:v>
                </c:pt>
                <c:pt idx="7">
                  <c:v>20</c:v>
                </c:pt>
              </c:numCache>
            </c:numRef>
          </c:cat>
          <c:val>
            <c:numRef>
              <c:f>Sheet1!$Q$8:$X$8</c:f>
              <c:numCache>
                <c:formatCode>General</c:formatCode>
                <c:ptCount val="8"/>
                <c:pt idx="0">
                  <c:v>0.99999999997993372</c:v>
                </c:pt>
                <c:pt idx="1">
                  <c:v>0.99999999999999722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0D-4873-A21F-1A8D73DB936B}"/>
            </c:ext>
          </c:extLst>
        </c:ser>
        <c:ser>
          <c:idx val="5"/>
          <c:order val="5"/>
          <c:tx>
            <c:strRef>
              <c:f>Sheet1!$P$9</c:f>
              <c:strCache>
                <c:ptCount val="1"/>
                <c:pt idx="0">
                  <c:v>110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Sheet1!$Q$3:$X$3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13</c:v>
                </c:pt>
                <c:pt idx="7">
                  <c:v>20</c:v>
                </c:pt>
              </c:numCache>
            </c:numRef>
          </c:cat>
          <c:val>
            <c:numRef>
              <c:f>Sheet1!$Q$9:$X$9</c:f>
              <c:numCache>
                <c:formatCode>General</c:formatCode>
                <c:ptCount val="8"/>
                <c:pt idx="0">
                  <c:v>0.99999999999997458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0D-4873-A21F-1A8D73DB936B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27637392"/>
        <c:axId val="627638832"/>
        <c:axId val="640097104"/>
      </c:surface3DChart>
      <c:catAx>
        <c:axId val="627637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27638832"/>
        <c:crosses val="autoZero"/>
        <c:auto val="1"/>
        <c:lblAlgn val="ctr"/>
        <c:lblOffset val="100"/>
        <c:noMultiLvlLbl val="0"/>
      </c:catAx>
      <c:valAx>
        <c:axId val="62763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27637392"/>
        <c:crosses val="autoZero"/>
        <c:crossBetween val="midCat"/>
      </c:valAx>
      <c:serAx>
        <c:axId val="6400971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2763883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</a:t>
            </a:r>
            <a:r>
              <a:rPr lang="it-IT" baseline="0"/>
              <a:t> parameter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15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Sheet1!$P$35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Sheet1!$Q$34:$X$34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13</c:v>
                </c:pt>
                <c:pt idx="7">
                  <c:v>20</c:v>
                </c:pt>
              </c:numCache>
            </c:numRef>
          </c:cat>
          <c:val>
            <c:numRef>
              <c:f>Sheet1!$Q$35:$X$35</c:f>
              <c:numCache>
                <c:formatCode>General</c:formatCode>
                <c:ptCount val="8"/>
                <c:pt idx="0">
                  <c:v>2.4751706830011287E-13</c:v>
                </c:pt>
                <c:pt idx="1">
                  <c:v>1.9390280893147291E-26</c:v>
                </c:pt>
                <c:pt idx="2">
                  <c:v>4.8828499945861847E-36</c:v>
                </c:pt>
                <c:pt idx="3">
                  <c:v>3.757735893086912E-53</c:v>
                </c:pt>
                <c:pt idx="4">
                  <c:v>1.1767341024197748E-60</c:v>
                </c:pt>
                <c:pt idx="5">
                  <c:v>1.7365422895746391E-94</c:v>
                </c:pt>
                <c:pt idx="6">
                  <c:v>4.9848588390523572E-157</c:v>
                </c:pt>
                <c:pt idx="7">
                  <c:v>8.2884452635668286E-235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6A-4FBB-B047-7A33E0964345}"/>
            </c:ext>
          </c:extLst>
        </c:ser>
        <c:ser>
          <c:idx val="1"/>
          <c:order val="1"/>
          <c:tx>
            <c:strRef>
              <c:f>Sheet1!$P$36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Sheet1!$Q$34:$X$34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13</c:v>
                </c:pt>
                <c:pt idx="7">
                  <c:v>20</c:v>
                </c:pt>
              </c:numCache>
            </c:numRef>
          </c:cat>
          <c:val>
            <c:numRef>
              <c:f>Sheet1!$Q$36:$X$36</c:f>
              <c:numCache>
                <c:formatCode>General</c:formatCode>
                <c:ptCount val="8"/>
                <c:pt idx="0">
                  <c:v>1.7215791387270332E-9</c:v>
                </c:pt>
                <c:pt idx="1">
                  <c:v>3.1056276401129487E-18</c:v>
                </c:pt>
                <c:pt idx="2">
                  <c:v>1.9673676219530442E-25</c:v>
                </c:pt>
                <c:pt idx="3">
                  <c:v>8.1647980836455155E-38</c:v>
                </c:pt>
                <c:pt idx="4">
                  <c:v>1.1695761299196209E-46</c:v>
                </c:pt>
                <c:pt idx="5">
                  <c:v>2.4172590528821473E-77</c:v>
                </c:pt>
                <c:pt idx="6">
                  <c:v>2.2481649924602741E-135</c:v>
                </c:pt>
                <c:pt idx="7">
                  <c:v>2.0816169572462286E-208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6A-4FBB-B047-7A33E0964345}"/>
            </c:ext>
          </c:extLst>
        </c:ser>
        <c:ser>
          <c:idx val="2"/>
          <c:order val="2"/>
          <c:tx>
            <c:strRef>
              <c:f>Sheet1!$P$37</c:f>
              <c:strCache>
                <c:ptCount val="1"/>
                <c:pt idx="0">
                  <c:v>80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Sheet1!$Q$34:$X$34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13</c:v>
                </c:pt>
                <c:pt idx="7">
                  <c:v>20</c:v>
                </c:pt>
              </c:numCache>
            </c:numRef>
          </c:cat>
          <c:val>
            <c:numRef>
              <c:f>Sheet1!$Q$37:$X$37</c:f>
              <c:numCache>
                <c:formatCode>General</c:formatCode>
                <c:ptCount val="8"/>
                <c:pt idx="0">
                  <c:v>7.5723216393360842E-7</c:v>
                </c:pt>
                <c:pt idx="1">
                  <c:v>7.4572571113991034E-13</c:v>
                </c:pt>
                <c:pt idx="2">
                  <c:v>3.9275618764813786E-19</c:v>
                </c:pt>
                <c:pt idx="3">
                  <c:v>4.6316256356267536E-30</c:v>
                </c:pt>
                <c:pt idx="4">
                  <c:v>1.3898148344558296E-37</c:v>
                </c:pt>
                <c:pt idx="5">
                  <c:v>1.172460723384155E-63</c:v>
                </c:pt>
                <c:pt idx="6">
                  <c:v>9.7767906373706956E-116</c:v>
                </c:pt>
                <c:pt idx="7">
                  <c:v>4.3613556116501633E-183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6A-4FBB-B047-7A33E0964345}"/>
            </c:ext>
          </c:extLst>
        </c:ser>
        <c:ser>
          <c:idx val="3"/>
          <c:order val="3"/>
          <c:tx>
            <c:strRef>
              <c:f>Sheet1!$P$38</c:f>
              <c:strCache>
                <c:ptCount val="1"/>
                <c:pt idx="0">
                  <c:v>90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Sheet1!$Q$34:$X$34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13</c:v>
                </c:pt>
                <c:pt idx="7">
                  <c:v>20</c:v>
                </c:pt>
              </c:numCache>
            </c:numRef>
          </c:cat>
          <c:val>
            <c:numRef>
              <c:f>Sheet1!$Q$38:$X$38</c:f>
              <c:numCache>
                <c:formatCode>General</c:formatCode>
                <c:ptCount val="8"/>
                <c:pt idx="0">
                  <c:v>6.0635057801716216E-7</c:v>
                </c:pt>
                <c:pt idx="1">
                  <c:v>1.2051755424902896E-11</c:v>
                </c:pt>
                <c:pt idx="2">
                  <c:v>4.1643105046912523E-16</c:v>
                </c:pt>
                <c:pt idx="3">
                  <c:v>1.4359582313678105E-25</c:v>
                </c:pt>
                <c:pt idx="4">
                  <c:v>2.9506346996433083E-32</c:v>
                </c:pt>
                <c:pt idx="5">
                  <c:v>1.6104996900876504E-54</c:v>
                </c:pt>
                <c:pt idx="6">
                  <c:v>1.1115611515190342E-100</c:v>
                </c:pt>
                <c:pt idx="7">
                  <c:v>9.0792341859937912E-164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6A-4FBB-B047-7A33E0964345}"/>
            </c:ext>
          </c:extLst>
        </c:ser>
        <c:ser>
          <c:idx val="4"/>
          <c:order val="4"/>
          <c:tx>
            <c:strRef>
              <c:f>Sheet1!$P$39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Sheet1!$Q$34:$X$34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13</c:v>
                </c:pt>
                <c:pt idx="7">
                  <c:v>20</c:v>
                </c:pt>
              </c:numCache>
            </c:numRef>
          </c:cat>
          <c:val>
            <c:numRef>
              <c:f>Sheet1!$Q$39:$X$39</c:f>
              <c:numCache>
                <c:formatCode>General</c:formatCode>
                <c:ptCount val="8"/>
                <c:pt idx="0">
                  <c:v>2.8510625855469245E-9</c:v>
                </c:pt>
                <c:pt idx="1">
                  <c:v>6.5611239181212634E-13</c:v>
                </c:pt>
                <c:pt idx="2">
                  <c:v>3.1603757107165132E-16</c:v>
                </c:pt>
                <c:pt idx="3">
                  <c:v>1.3663288162553253E-23</c:v>
                </c:pt>
                <c:pt idx="4">
                  <c:v>2.9750119167996072E-29</c:v>
                </c:pt>
                <c:pt idx="5">
                  <c:v>1.4049936352317728E-49</c:v>
                </c:pt>
                <c:pt idx="6">
                  <c:v>1.710459467965528E-91</c:v>
                </c:pt>
                <c:pt idx="7">
                  <c:v>5.2437016534513196E-148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C6A-4FBB-B047-7A33E0964345}"/>
            </c:ext>
          </c:extLst>
        </c:ser>
        <c:ser>
          <c:idx val="5"/>
          <c:order val="5"/>
          <c:tx>
            <c:strRef>
              <c:f>Sheet1!$P$40</c:f>
              <c:strCache>
                <c:ptCount val="1"/>
                <c:pt idx="0">
                  <c:v>110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Sheet1!$Q$34:$X$34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13</c:v>
                </c:pt>
                <c:pt idx="7">
                  <c:v>20</c:v>
                </c:pt>
              </c:numCache>
            </c:numRef>
          </c:cat>
          <c:val>
            <c:numRef>
              <c:f>Sheet1!$Q$40:$X$40</c:f>
              <c:numCache>
                <c:formatCode>General</c:formatCode>
                <c:ptCount val="8"/>
                <c:pt idx="0">
                  <c:v>4.1072348042324643E-12</c:v>
                </c:pt>
                <c:pt idx="1">
                  <c:v>7.0343257612046665E-17</c:v>
                </c:pt>
                <c:pt idx="2">
                  <c:v>1.8486221038376712E-18</c:v>
                </c:pt>
                <c:pt idx="3">
                  <c:v>1.307759088791438E-23</c:v>
                </c:pt>
                <c:pt idx="4">
                  <c:v>3.8500877131820819E-28</c:v>
                </c:pt>
                <c:pt idx="5">
                  <c:v>1.5785006248663053E-47</c:v>
                </c:pt>
                <c:pt idx="6">
                  <c:v>1.3411878135016912E-86</c:v>
                </c:pt>
                <c:pt idx="7">
                  <c:v>9.7513233483373187E-139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C6A-4FBB-B047-7A33E0964345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700183928"/>
        <c:axId val="700182848"/>
        <c:axId val="585980904"/>
      </c:surface3DChart>
      <c:catAx>
        <c:axId val="700183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00182848"/>
        <c:crosses val="autoZero"/>
        <c:auto val="1"/>
        <c:lblAlgn val="ctr"/>
        <c:lblOffset val="100"/>
        <c:noMultiLvlLbl val="0"/>
      </c:catAx>
      <c:valAx>
        <c:axId val="70018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00183928"/>
        <c:crosses val="autoZero"/>
        <c:crossBetween val="midCat"/>
      </c:valAx>
      <c:serAx>
        <c:axId val="5859809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0018284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l-GR">
                <a:latin typeface="Arial" panose="020B0604020202020204" pitchFamily="34" charset="0"/>
                <a:cs typeface="Arial" panose="020B0604020202020204" pitchFamily="34" charset="0"/>
              </a:rPr>
              <a:t>Θ</a:t>
            </a:r>
            <a:r>
              <a:rPr lang="it-IT">
                <a:latin typeface="Arial" panose="020B0604020202020204" pitchFamily="34" charset="0"/>
                <a:cs typeface="Arial" panose="020B0604020202020204" pitchFamily="34" charset="0"/>
              </a:rPr>
              <a:t> parameter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15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Sheet1!$P$51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Sheet1!$Q$50:$X$50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13</c:v>
                </c:pt>
                <c:pt idx="7">
                  <c:v>20</c:v>
                </c:pt>
              </c:numCache>
            </c:numRef>
          </c:cat>
          <c:val>
            <c:numRef>
              <c:f>Sheet1!$Q$51:$X$51</c:f>
              <c:numCache>
                <c:formatCode>General</c:formatCode>
                <c:ptCount val="8"/>
                <c:pt idx="0">
                  <c:v>-8.1111278655283698E-11</c:v>
                </c:pt>
                <c:pt idx="1">
                  <c:v>-3.1625825714819893E-24</c:v>
                </c:pt>
                <c:pt idx="2">
                  <c:v>-5.0598199009279075E-34</c:v>
                </c:pt>
                <c:pt idx="3">
                  <c:v>-3.0678585981396377E-51</c:v>
                </c:pt>
                <c:pt idx="4">
                  <c:v>-7.342522677103455E-59</c:v>
                </c:pt>
                <c:pt idx="5">
                  <c:v>-6.6760063246618606E-93</c:v>
                </c:pt>
                <c:pt idx="6">
                  <c:v>-1.1915258452591883E-155</c:v>
                </c:pt>
                <c:pt idx="7">
                  <c:v>-1.2688975719227548E-233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64-4BD2-9A2D-1A6A7E36DF5C}"/>
            </c:ext>
          </c:extLst>
        </c:ser>
        <c:ser>
          <c:idx val="1"/>
          <c:order val="1"/>
          <c:tx>
            <c:strRef>
              <c:f>Sheet1!$P$52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Sheet1!$Q$50:$X$50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13</c:v>
                </c:pt>
                <c:pt idx="7">
                  <c:v>20</c:v>
                </c:pt>
              </c:numCache>
            </c:numRef>
          </c:cat>
          <c:val>
            <c:numRef>
              <c:f>Sheet1!$Q$52:$X$52</c:f>
              <c:numCache>
                <c:formatCode>General</c:formatCode>
                <c:ptCount val="8"/>
                <c:pt idx="0">
                  <c:v>-4.7795737941293502E-7</c:v>
                </c:pt>
                <c:pt idx="1">
                  <c:v>-4.2211616003860207E-16</c:v>
                </c:pt>
                <c:pt idx="2">
                  <c:v>-1.7176124386992479E-23</c:v>
                </c:pt>
                <c:pt idx="3">
                  <c:v>-5.6345637095768173E-36</c:v>
                </c:pt>
                <c:pt idx="4">
                  <c:v>-6.4108116433434469E-45</c:v>
                </c:pt>
                <c:pt idx="5">
                  <c:v>-8.4154869178753776E-76</c:v>
                </c:pt>
                <c:pt idx="6">
                  <c:v>-4.9919211997396873E-134</c:v>
                </c:pt>
                <c:pt idx="7">
                  <c:v>-3.0032007064517144E-207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64-4BD2-9A2D-1A6A7E36DF5C}"/>
            </c:ext>
          </c:extLst>
        </c:ser>
        <c:ser>
          <c:idx val="2"/>
          <c:order val="2"/>
          <c:tx>
            <c:strRef>
              <c:f>Sheet1!$P$53</c:f>
              <c:strCache>
                <c:ptCount val="1"/>
                <c:pt idx="0">
                  <c:v>80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Sheet1!$Q$50:$X$50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13</c:v>
                </c:pt>
                <c:pt idx="7">
                  <c:v>20</c:v>
                </c:pt>
              </c:numCache>
            </c:numRef>
          </c:cat>
          <c:val>
            <c:numRef>
              <c:f>Sheet1!$Q$53:$X$53</c:f>
              <c:numCache>
                <c:formatCode>General</c:formatCode>
                <c:ptCount val="8"/>
                <c:pt idx="0">
                  <c:v>-1.7962856212545259E-4</c:v>
                </c:pt>
                <c:pt idx="1">
                  <c:v>-8.5518279281748833E-11</c:v>
                </c:pt>
                <c:pt idx="2">
                  <c:v>-2.9843913067504261E-17</c:v>
                </c:pt>
                <c:pt idx="3">
                  <c:v>-2.855856403095127E-28</c:v>
                </c:pt>
                <c:pt idx="4">
                  <c:v>-6.8491188250562592E-36</c:v>
                </c:pt>
                <c:pt idx="5">
                  <c:v>-3.7072138296258971E-62</c:v>
                </c:pt>
                <c:pt idx="6">
                  <c:v>-2.0084335586341556E-114</c:v>
                </c:pt>
                <c:pt idx="7">
                  <c:v>-5.8997217349701843E-182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64-4BD2-9A2D-1A6A7E36DF5C}"/>
            </c:ext>
          </c:extLst>
        </c:ser>
        <c:ser>
          <c:idx val="3"/>
          <c:order val="3"/>
          <c:tx>
            <c:strRef>
              <c:f>Sheet1!$P$54</c:f>
              <c:strCache>
                <c:ptCount val="1"/>
                <c:pt idx="0">
                  <c:v>90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Sheet1!$Q$50:$X$50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13</c:v>
                </c:pt>
                <c:pt idx="7">
                  <c:v>20</c:v>
                </c:pt>
              </c:numCache>
            </c:numRef>
          </c:cat>
          <c:val>
            <c:numRef>
              <c:f>Sheet1!$Q$54:$X$54</c:f>
              <c:numCache>
                <c:formatCode>General</c:formatCode>
                <c:ptCount val="8"/>
                <c:pt idx="0">
                  <c:v>-1.4507251366459173E-4</c:v>
                </c:pt>
                <c:pt idx="1">
                  <c:v>-1.3187920378122981E-9</c:v>
                </c:pt>
                <c:pt idx="2">
                  <c:v>-2.9119499453762456E-14</c:v>
                </c:pt>
                <c:pt idx="3">
                  <c:v>-8.1820190908444354E-24</c:v>
                </c:pt>
                <c:pt idx="4">
                  <c:v>-1.3492826723551875E-30</c:v>
                </c:pt>
                <c:pt idx="5">
                  <c:v>-4.7178003620747115E-53</c:v>
                </c:pt>
                <c:pt idx="6">
                  <c:v>-2.1310948108376539E-99</c:v>
                </c:pt>
                <c:pt idx="7">
                  <c:v>-1.1619859090914625E-162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64-4BD2-9A2D-1A6A7E36DF5C}"/>
            </c:ext>
          </c:extLst>
        </c:ser>
        <c:ser>
          <c:idx val="4"/>
          <c:order val="4"/>
          <c:tx>
            <c:strRef>
              <c:f>Sheet1!$P$55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Sheet1!$Q$50:$X$50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13</c:v>
                </c:pt>
                <c:pt idx="7">
                  <c:v>20</c:v>
                </c:pt>
              </c:numCache>
            </c:numRef>
          </c:cat>
          <c:val>
            <c:numRef>
              <c:f>Sheet1!$Q$55:$X$55</c:f>
              <c:numCache>
                <c:formatCode>General</c:formatCode>
                <c:ptCount val="8"/>
                <c:pt idx="0">
                  <c:v>-7.8571836953597279E-7</c:v>
                </c:pt>
                <c:pt idx="1">
                  <c:v>-7.5536903940303191E-11</c:v>
                </c:pt>
                <c:pt idx="2">
                  <c:v>-2.2194152436345572E-14</c:v>
                </c:pt>
                <c:pt idx="3">
                  <c:v>-7.4880687396479533E-22</c:v>
                </c:pt>
                <c:pt idx="4">
                  <c:v>-1.2972358965935989E-27</c:v>
                </c:pt>
                <c:pt idx="5">
                  <c:v>-3.9282174385971134E-48</c:v>
                </c:pt>
                <c:pt idx="6">
                  <c:v>-3.1277330963273311E-90</c:v>
                </c:pt>
                <c:pt idx="7">
                  <c:v>-6.3822642181118023E-147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64-4BD2-9A2D-1A6A7E36DF5C}"/>
            </c:ext>
          </c:extLst>
        </c:ser>
        <c:ser>
          <c:idx val="5"/>
          <c:order val="5"/>
          <c:tx>
            <c:strRef>
              <c:f>Sheet1!$P$56</c:f>
              <c:strCache>
                <c:ptCount val="1"/>
                <c:pt idx="0">
                  <c:v>110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Sheet1!$Q$50:$X$50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13</c:v>
                </c:pt>
                <c:pt idx="7">
                  <c:v>20</c:v>
                </c:pt>
              </c:numCache>
            </c:numRef>
          </c:cat>
          <c:val>
            <c:numRef>
              <c:f>Sheet1!$Q$56:$X$56</c:f>
              <c:numCache>
                <c:formatCode>General</c:formatCode>
                <c:ptCount val="8"/>
                <c:pt idx="0">
                  <c:v>-1.2905160139881895E-9</c:v>
                </c:pt>
                <c:pt idx="1">
                  <c:v>-9.2318091257125487E-15</c:v>
                </c:pt>
                <c:pt idx="2">
                  <c:v>-1.3828789651723478E-16</c:v>
                </c:pt>
                <c:pt idx="3">
                  <c:v>-7.1729673063543627E-22</c:v>
                </c:pt>
                <c:pt idx="4">
                  <c:v>-1.6478501687794037E-26</c:v>
                </c:pt>
                <c:pt idx="5">
                  <c:v>-4.3233472533108082E-46</c:v>
                </c:pt>
                <c:pt idx="6">
                  <c:v>-2.3868698989319945E-85</c:v>
                </c:pt>
                <c:pt idx="7">
                  <c:v>-1.1494182284902308E-137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64-4BD2-9A2D-1A6A7E36DF5C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3589624"/>
        <c:axId val="193588544"/>
        <c:axId val="639982640"/>
      </c:surface3DChart>
      <c:catAx>
        <c:axId val="193589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588544"/>
        <c:crosses val="autoZero"/>
        <c:auto val="1"/>
        <c:lblAlgn val="ctr"/>
        <c:lblOffset val="100"/>
        <c:noMultiLvlLbl val="0"/>
      </c:catAx>
      <c:valAx>
        <c:axId val="19358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589624"/>
        <c:crosses val="autoZero"/>
        <c:crossBetween val="midCat"/>
      </c:valAx>
      <c:serAx>
        <c:axId val="63998264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58854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>
                <a:latin typeface="Arial" panose="020B0604020202020204" pitchFamily="34" charset="0"/>
                <a:cs typeface="Arial" panose="020B0604020202020204" pitchFamily="34" charset="0"/>
              </a:rPr>
              <a:t>ρ parameter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Sheet1!$P$67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Sheet1!$Q$66:$X$66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13</c:v>
                </c:pt>
                <c:pt idx="7">
                  <c:v>20</c:v>
                </c:pt>
              </c:numCache>
            </c:numRef>
          </c:cat>
          <c:val>
            <c:numRef>
              <c:f>Sheet1!$Q$67:$X$67</c:f>
              <c:numCache>
                <c:formatCode>General</c:formatCode>
                <c:ptCount val="8"/>
                <c:pt idx="0">
                  <c:v>8.9444863174961265E-15</c:v>
                </c:pt>
                <c:pt idx="1">
                  <c:v>7.0814983108127727E-28</c:v>
                </c:pt>
                <c:pt idx="2">
                  <c:v>1.8749830025695711E-37</c:v>
                </c:pt>
                <c:pt idx="3">
                  <c:v>1.3757400897474423E-54</c:v>
                </c:pt>
                <c:pt idx="4">
                  <c:v>4.5114610472581648E-62</c:v>
                </c:pt>
                <c:pt idx="5">
                  <c:v>6.76149555061034E-96</c:v>
                </c:pt>
                <c:pt idx="6">
                  <c:v>1.9226389011585746E-158</c:v>
                </c:pt>
                <c:pt idx="7">
                  <c:v>3.2457904312455678E-236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BE-4E44-8C1C-9F677F79B7C6}"/>
            </c:ext>
          </c:extLst>
        </c:ser>
        <c:ser>
          <c:idx val="1"/>
          <c:order val="1"/>
          <c:tx>
            <c:strRef>
              <c:f>Sheet1!$P$68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Sheet1!$Q$66:$X$66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13</c:v>
                </c:pt>
                <c:pt idx="7">
                  <c:v>20</c:v>
                </c:pt>
              </c:numCache>
            </c:numRef>
          </c:cat>
          <c:val>
            <c:numRef>
              <c:f>Sheet1!$Q$68:$X$68</c:f>
              <c:numCache>
                <c:formatCode>General</c:formatCode>
                <c:ptCount val="8"/>
                <c:pt idx="0">
                  <c:v>7.2949055511499793E-11</c:v>
                </c:pt>
                <c:pt idx="1">
                  <c:v>1.3556088664016096E-19</c:v>
                </c:pt>
                <c:pt idx="2">
                  <c:v>8.9421924851300655E-27</c:v>
                </c:pt>
                <c:pt idx="3">
                  <c:v>3.5296446888450703E-39</c:v>
                </c:pt>
                <c:pt idx="4">
                  <c:v>5.0978385235168774E-48</c:v>
                </c:pt>
                <c:pt idx="5">
                  <c:v>1.0386436799928219E-78</c:v>
                </c:pt>
                <c:pt idx="6">
                  <c:v>9.3313624873647547E-137</c:v>
                </c:pt>
                <c:pt idx="7">
                  <c:v>8.6484737683811521E-210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BE-4E44-8C1C-9F677F79B7C6}"/>
            </c:ext>
          </c:extLst>
        </c:ser>
        <c:ser>
          <c:idx val="2"/>
          <c:order val="2"/>
          <c:tx>
            <c:strRef>
              <c:f>Sheet1!$P$69</c:f>
              <c:strCache>
                <c:ptCount val="1"/>
                <c:pt idx="0">
                  <c:v>80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Sheet1!$Q$66:$X$66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13</c:v>
                </c:pt>
                <c:pt idx="7">
                  <c:v>20</c:v>
                </c:pt>
              </c:numCache>
            </c:numRef>
          </c:cat>
          <c:val>
            <c:numRef>
              <c:f>Sheet1!$Q$69:$X$69</c:f>
              <c:numCache>
                <c:formatCode>General</c:formatCode>
                <c:ptCount val="8"/>
                <c:pt idx="0">
                  <c:v>3.7222808353718636E-8</c:v>
                </c:pt>
                <c:pt idx="1">
                  <c:v>3.8370937068117092E-14</c:v>
                </c:pt>
                <c:pt idx="2">
                  <c:v>2.0445337745940686E-20</c:v>
                </c:pt>
                <c:pt idx="3">
                  <c:v>2.2367977819711071E-31</c:v>
                </c:pt>
                <c:pt idx="4">
                  <c:v>6.7281801022215072E-39</c:v>
                </c:pt>
                <c:pt idx="5">
                  <c:v>5.5424304729530401E-65</c:v>
                </c:pt>
                <c:pt idx="6">
                  <c:v>4.3845353460334492E-117</c:v>
                </c:pt>
                <c:pt idx="7">
                  <c:v>1.9321493816775474E-184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BE-4E44-8C1C-9F677F79B7C6}"/>
            </c:ext>
          </c:extLst>
        </c:ser>
        <c:ser>
          <c:idx val="3"/>
          <c:order val="3"/>
          <c:tx>
            <c:strRef>
              <c:f>Sheet1!$P$70</c:f>
              <c:strCache>
                <c:ptCount val="1"/>
                <c:pt idx="0">
                  <c:v>90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Sheet1!$Q$66:$X$66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13</c:v>
                </c:pt>
                <c:pt idx="7">
                  <c:v>20</c:v>
                </c:pt>
              </c:numCache>
            </c:numRef>
          </c:cat>
          <c:val>
            <c:numRef>
              <c:f>Sheet1!$Q$70:$X$70</c:f>
              <c:numCache>
                <c:formatCode>General</c:formatCode>
                <c:ptCount val="8"/>
                <c:pt idx="0">
                  <c:v>2.9515843686883982E-8</c:v>
                </c:pt>
                <c:pt idx="1">
                  <c:v>6.4818390945420558E-13</c:v>
                </c:pt>
                <c:pt idx="2">
                  <c:v>2.3492435038367094E-17</c:v>
                </c:pt>
                <c:pt idx="3">
                  <c:v>7.4915107546153805E-27</c:v>
                </c:pt>
                <c:pt idx="4">
                  <c:v>1.537332039504899E-33</c:v>
                </c:pt>
                <c:pt idx="5">
                  <c:v>8.2107249009239086E-56</c:v>
                </c:pt>
                <c:pt idx="6">
                  <c:v>5.3391573363820013E-102</c:v>
                </c:pt>
                <c:pt idx="7">
                  <c:v>4.2504234834697015E-165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BE-4E44-8C1C-9F677F79B7C6}"/>
            </c:ext>
          </c:extLst>
        </c:ser>
        <c:ser>
          <c:idx val="4"/>
          <c:order val="4"/>
          <c:tx>
            <c:strRef>
              <c:f>Sheet1!$P$71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Sheet1!$Q$66:$X$66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13</c:v>
                </c:pt>
                <c:pt idx="7">
                  <c:v>20</c:v>
                </c:pt>
              </c:numCache>
            </c:numRef>
          </c:cat>
          <c:val>
            <c:numRef>
              <c:f>Sheet1!$Q$71:$X$71</c:f>
              <c:numCache>
                <c:formatCode>General</c:formatCode>
                <c:ptCount val="8"/>
                <c:pt idx="0">
                  <c:v>1.2119601680823203E-10</c:v>
                </c:pt>
                <c:pt idx="1">
                  <c:v>3.3573036246419212E-14</c:v>
                </c:pt>
                <c:pt idx="2">
                  <c:v>1.7742927122282215E-17</c:v>
                </c:pt>
                <c:pt idx="3">
                  <c:v>7.4023564649085372E-25</c:v>
                </c:pt>
                <c:pt idx="4">
                  <c:v>1.6237652961258051E-30</c:v>
                </c:pt>
                <c:pt idx="5">
                  <c:v>7.5001861899097264E-51</c:v>
                </c:pt>
                <c:pt idx="6">
                  <c:v>8.6109195429852778E-93</c:v>
                </c:pt>
                <c:pt idx="7">
                  <c:v>2.5807004780023168E-149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BE-4E44-8C1C-9F677F79B7C6}"/>
            </c:ext>
          </c:extLst>
        </c:ser>
        <c:ser>
          <c:idx val="5"/>
          <c:order val="5"/>
          <c:tx>
            <c:strRef>
              <c:f>Sheet1!$P$72</c:f>
              <c:strCache>
                <c:ptCount val="1"/>
                <c:pt idx="0">
                  <c:v>110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Sheet1!$Q$66:$X$66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13</c:v>
                </c:pt>
                <c:pt idx="7">
                  <c:v>20</c:v>
                </c:pt>
              </c:numCache>
            </c:numRef>
          </c:cat>
          <c:val>
            <c:numRef>
              <c:f>Sheet1!$Q$72:$X$72</c:f>
              <c:numCache>
                <c:formatCode>General</c:formatCode>
                <c:ptCount val="8"/>
                <c:pt idx="0">
                  <c:v>1.538317435945956E-13</c:v>
                </c:pt>
                <c:pt idx="1">
                  <c:v>3.1687019596174508E-18</c:v>
                </c:pt>
                <c:pt idx="2">
                  <c:v>9.7542269890898387E-20</c:v>
                </c:pt>
                <c:pt idx="3">
                  <c:v>7.0763779821683344E-25</c:v>
                </c:pt>
                <c:pt idx="4">
                  <c:v>2.1394335041207223E-29</c:v>
                </c:pt>
                <c:pt idx="5">
                  <c:v>8.5981624823761553E-49</c:v>
                </c:pt>
                <c:pt idx="6">
                  <c:v>6.9356530758571368E-88</c:v>
                </c:pt>
                <c:pt idx="7">
                  <c:v>4.9545731493779307E-140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6BE-4E44-8C1C-9F677F79B7C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428537272"/>
        <c:axId val="428536192"/>
        <c:axId val="698112232"/>
      </c:surface3DChart>
      <c:catAx>
        <c:axId val="428537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28536192"/>
        <c:crosses val="autoZero"/>
        <c:auto val="1"/>
        <c:lblAlgn val="ctr"/>
        <c:lblOffset val="100"/>
        <c:noMultiLvlLbl val="0"/>
      </c:catAx>
      <c:valAx>
        <c:axId val="42853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28537272"/>
        <c:crosses val="autoZero"/>
        <c:crossBetween val="midCat"/>
      </c:valAx>
      <c:serAx>
        <c:axId val="6981122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2853619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Implied</a:t>
            </a:r>
            <a:r>
              <a:rPr lang="it-IT" baseline="0"/>
              <a:t> volatility surface for Call prices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10"/>
      <c:rotY val="4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2548381452318461"/>
          <c:y val="0.17171296296296296"/>
          <c:w val="0.76374518810148728"/>
          <c:h val="0.68290135608048985"/>
        </c:manualLayout>
      </c:layout>
      <c:surface3DChart>
        <c:wireframe val="0"/>
        <c:ser>
          <c:idx val="0"/>
          <c:order val="0"/>
          <c:tx>
            <c:strRef>
              <c:f>Sheet1!$B$4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Sheet1!$C$3:$J$3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13</c:v>
                </c:pt>
                <c:pt idx="7">
                  <c:v>20</c:v>
                </c:pt>
              </c:numCache>
            </c:numRef>
          </c:cat>
          <c:val>
            <c:numRef>
              <c:f>Sheet1!$C$4:$J$4</c:f>
              <c:numCache>
                <c:formatCode>General</c:formatCode>
                <c:ptCount val="8"/>
                <c:pt idx="0">
                  <c:v>54.59</c:v>
                </c:pt>
                <c:pt idx="1">
                  <c:v>54.37</c:v>
                </c:pt>
                <c:pt idx="2">
                  <c:v>51.81</c:v>
                </c:pt>
                <c:pt idx="3">
                  <c:v>54.43</c:v>
                </c:pt>
                <c:pt idx="4">
                  <c:v>52</c:v>
                </c:pt>
                <c:pt idx="5">
                  <c:v>51.26</c:v>
                </c:pt>
                <c:pt idx="6">
                  <c:v>51.79</c:v>
                </c:pt>
                <c:pt idx="7">
                  <c:v>51.03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71-4900-8EA4-F24908BF95CE}"/>
            </c:ext>
          </c:extLst>
        </c:ser>
        <c:ser>
          <c:idx val="1"/>
          <c:order val="1"/>
          <c:tx>
            <c:strRef>
              <c:f>Sheet1!$B$5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Sheet1!$C$3:$J$3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13</c:v>
                </c:pt>
                <c:pt idx="7">
                  <c:v>20</c:v>
                </c:pt>
              </c:numCache>
            </c:numRef>
          </c:cat>
          <c:val>
            <c:numRef>
              <c:f>Sheet1!$C$5:$J$5</c:f>
              <c:numCache>
                <c:formatCode>General</c:formatCode>
                <c:ptCount val="8"/>
                <c:pt idx="0">
                  <c:v>46.24</c:v>
                </c:pt>
                <c:pt idx="1">
                  <c:v>45.31</c:v>
                </c:pt>
                <c:pt idx="2">
                  <c:v>43.65</c:v>
                </c:pt>
                <c:pt idx="3">
                  <c:v>46.01</c:v>
                </c:pt>
                <c:pt idx="4">
                  <c:v>45.68</c:v>
                </c:pt>
                <c:pt idx="5">
                  <c:v>46.42</c:v>
                </c:pt>
                <c:pt idx="6">
                  <c:v>48.11</c:v>
                </c:pt>
                <c:pt idx="7">
                  <c:v>48.09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71-4900-8EA4-F24908BF95CE}"/>
            </c:ext>
          </c:extLst>
        </c:ser>
        <c:ser>
          <c:idx val="2"/>
          <c:order val="2"/>
          <c:tx>
            <c:strRef>
              <c:f>Sheet1!$B$6</c:f>
              <c:strCache>
                <c:ptCount val="1"/>
                <c:pt idx="0">
                  <c:v>80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Sheet1!$C$3:$J$3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13</c:v>
                </c:pt>
                <c:pt idx="7">
                  <c:v>20</c:v>
                </c:pt>
              </c:numCache>
            </c:numRef>
          </c:cat>
          <c:val>
            <c:numRef>
              <c:f>Sheet1!$C$6:$J$6</c:f>
              <c:numCache>
                <c:formatCode>General</c:formatCode>
                <c:ptCount val="8"/>
                <c:pt idx="0">
                  <c:v>39.5</c:v>
                </c:pt>
                <c:pt idx="1">
                  <c:v>38.229999999999997</c:v>
                </c:pt>
                <c:pt idx="2">
                  <c:v>37.99</c:v>
                </c:pt>
                <c:pt idx="3">
                  <c:v>41.11</c:v>
                </c:pt>
                <c:pt idx="4">
                  <c:v>41.07</c:v>
                </c:pt>
                <c:pt idx="5">
                  <c:v>42.16</c:v>
                </c:pt>
                <c:pt idx="6">
                  <c:v>44.51</c:v>
                </c:pt>
                <c:pt idx="7">
                  <c:v>45.09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71-4900-8EA4-F24908BF95CE}"/>
            </c:ext>
          </c:extLst>
        </c:ser>
        <c:ser>
          <c:idx val="3"/>
          <c:order val="3"/>
          <c:tx>
            <c:strRef>
              <c:f>Sheet1!$B$7</c:f>
              <c:strCache>
                <c:ptCount val="1"/>
                <c:pt idx="0">
                  <c:v>90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Sheet1!$C$3:$J$3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13</c:v>
                </c:pt>
                <c:pt idx="7">
                  <c:v>20</c:v>
                </c:pt>
              </c:numCache>
            </c:numRef>
          </c:cat>
          <c:val>
            <c:numRef>
              <c:f>Sheet1!$C$7:$J$7</c:f>
              <c:numCache>
                <c:formatCode>General</c:formatCode>
                <c:ptCount val="8"/>
                <c:pt idx="0">
                  <c:v>39.840000000000003</c:v>
                </c:pt>
                <c:pt idx="1">
                  <c:v>36.479999999999997</c:v>
                </c:pt>
                <c:pt idx="2">
                  <c:v>34.96</c:v>
                </c:pt>
                <c:pt idx="3">
                  <c:v>37.99</c:v>
                </c:pt>
                <c:pt idx="4">
                  <c:v>38.11</c:v>
                </c:pt>
                <c:pt idx="5">
                  <c:v>39.06</c:v>
                </c:pt>
                <c:pt idx="6">
                  <c:v>41.54</c:v>
                </c:pt>
                <c:pt idx="7">
                  <c:v>42.66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71-4900-8EA4-F24908BF95CE}"/>
            </c:ext>
          </c:extLst>
        </c:ser>
        <c:ser>
          <c:idx val="4"/>
          <c:order val="4"/>
          <c:tx>
            <c:strRef>
              <c:f>Sheet1!$B$8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Sheet1!$C$3:$J$3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13</c:v>
                </c:pt>
                <c:pt idx="7">
                  <c:v>20</c:v>
                </c:pt>
              </c:numCache>
            </c:numRef>
          </c:cat>
          <c:val>
            <c:numRef>
              <c:f>Sheet1!$C$8:$J$8</c:f>
              <c:numCache>
                <c:formatCode>General</c:formatCode>
                <c:ptCount val="8"/>
                <c:pt idx="0">
                  <c:v>45.9</c:v>
                </c:pt>
                <c:pt idx="1">
                  <c:v>38.380000000000003</c:v>
                </c:pt>
                <c:pt idx="2">
                  <c:v>35.11</c:v>
                </c:pt>
                <c:pt idx="3">
                  <c:v>36.54</c:v>
                </c:pt>
                <c:pt idx="4">
                  <c:v>36.340000000000003</c:v>
                </c:pt>
                <c:pt idx="5">
                  <c:v>37.28</c:v>
                </c:pt>
                <c:pt idx="6">
                  <c:v>39.619999999999997</c:v>
                </c:pt>
                <c:pt idx="7">
                  <c:v>40.57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71-4900-8EA4-F24908BF95CE}"/>
            </c:ext>
          </c:extLst>
        </c:ser>
        <c:ser>
          <c:idx val="5"/>
          <c:order val="5"/>
          <c:tx>
            <c:strRef>
              <c:f>Sheet1!$B$9</c:f>
              <c:strCache>
                <c:ptCount val="1"/>
                <c:pt idx="0">
                  <c:v>110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Sheet1!$C$3:$J$3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13</c:v>
                </c:pt>
                <c:pt idx="7">
                  <c:v>20</c:v>
                </c:pt>
              </c:numCache>
            </c:numRef>
          </c:cat>
          <c:val>
            <c:numRef>
              <c:f>Sheet1!$C$9:$J$9</c:f>
              <c:numCache>
                <c:formatCode>General</c:formatCode>
                <c:ptCount val="8"/>
                <c:pt idx="0">
                  <c:v>52.34</c:v>
                </c:pt>
                <c:pt idx="1">
                  <c:v>43.75</c:v>
                </c:pt>
                <c:pt idx="2">
                  <c:v>37.4</c:v>
                </c:pt>
                <c:pt idx="3">
                  <c:v>36.57</c:v>
                </c:pt>
                <c:pt idx="4">
                  <c:v>35.67</c:v>
                </c:pt>
                <c:pt idx="5">
                  <c:v>36.520000000000003</c:v>
                </c:pt>
                <c:pt idx="6">
                  <c:v>38.56</c:v>
                </c:pt>
                <c:pt idx="7">
                  <c:v>39.29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71-4900-8EA4-F24908BF95CE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740344152"/>
        <c:axId val="740344512"/>
        <c:axId val="698359192"/>
      </c:surface3DChart>
      <c:catAx>
        <c:axId val="740344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[months]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0344512"/>
        <c:crosses val="autoZero"/>
        <c:auto val="1"/>
        <c:lblAlgn val="ctr"/>
        <c:lblOffset val="100"/>
        <c:noMultiLvlLbl val="0"/>
      </c:catAx>
      <c:valAx>
        <c:axId val="74034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implied</a:t>
                </a:r>
                <a:r>
                  <a:rPr lang="it-IT" baseline="0"/>
                  <a:t> volatility %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0344152"/>
        <c:crosses val="autoZero"/>
        <c:crossBetween val="midCat"/>
      </c:valAx>
      <c:serAx>
        <c:axId val="69835919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K</a:t>
                </a:r>
                <a:r>
                  <a:rPr lang="it-IT" baseline="0"/>
                  <a:t> [$]</a:t>
                </a:r>
                <a:endParaRPr lang="it-IT"/>
              </a:p>
            </c:rich>
          </c:tx>
          <c:layout>
            <c:manualLayout>
              <c:xMode val="edge"/>
              <c:yMode val="edge"/>
              <c:x val="0.77704943132108484"/>
              <c:y val="0.837529527559055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0344512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148590</xdr:colOff>
      <xdr:row>16</xdr:row>
      <xdr:rowOff>163830</xdr:rowOff>
    </xdr:from>
    <xdr:to>
      <xdr:col>30</xdr:col>
      <xdr:colOff>697230</xdr:colOff>
      <xdr:row>31</xdr:row>
      <xdr:rowOff>118110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84E88D49-8136-27BA-B5D7-1F8FF84176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148590</xdr:colOff>
      <xdr:row>0</xdr:row>
      <xdr:rowOff>26670</xdr:rowOff>
    </xdr:from>
    <xdr:to>
      <xdr:col>30</xdr:col>
      <xdr:colOff>697230</xdr:colOff>
      <xdr:row>15</xdr:row>
      <xdr:rowOff>140970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EECF15DB-A305-77A7-3DA0-9EF11F9730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133350</xdr:colOff>
      <xdr:row>32</xdr:row>
      <xdr:rowOff>171450</xdr:rowOff>
    </xdr:from>
    <xdr:to>
      <xdr:col>30</xdr:col>
      <xdr:colOff>681990</xdr:colOff>
      <xdr:row>48</xdr:row>
      <xdr:rowOff>110490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A738EE2B-1E77-448F-2052-67E6EBABD9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125730</xdr:colOff>
      <xdr:row>48</xdr:row>
      <xdr:rowOff>156210</xdr:rowOff>
    </xdr:from>
    <xdr:to>
      <xdr:col>30</xdr:col>
      <xdr:colOff>674370</xdr:colOff>
      <xdr:row>64</xdr:row>
      <xdr:rowOff>95250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876C80AF-0D08-5668-D79B-FB3B625FBE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148590</xdr:colOff>
      <xdr:row>65</xdr:row>
      <xdr:rowOff>11430</xdr:rowOff>
    </xdr:from>
    <xdr:to>
      <xdr:col>30</xdr:col>
      <xdr:colOff>697230</xdr:colOff>
      <xdr:row>80</xdr:row>
      <xdr:rowOff>125730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109F8B4F-850C-648B-AA18-1DD1969C76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514350</xdr:colOff>
      <xdr:row>9</xdr:row>
      <xdr:rowOff>95250</xdr:rowOff>
    </xdr:from>
    <xdr:to>
      <xdr:col>9</xdr:col>
      <xdr:colOff>118110</xdr:colOff>
      <xdr:row>25</xdr:row>
      <xdr:rowOff>34290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11E00182-9733-1875-4C0B-DCF60E0F89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X72"/>
  <sheetViews>
    <sheetView tabSelected="1" topLeftCell="A14" workbookViewId="0">
      <selection activeCell="A32" sqref="A32:I71"/>
    </sheetView>
  </sheetViews>
  <sheetFormatPr defaultRowHeight="13.8"/>
  <cols>
    <col min="1" max="3" width="10.69921875" customWidth="1"/>
    <col min="4" max="4" width="13.59765625" bestFit="1" customWidth="1"/>
    <col min="5" max="8" width="10.69921875" customWidth="1"/>
    <col min="11" max="11" width="12.5" bestFit="1" customWidth="1"/>
    <col min="16" max="16" width="10.796875" bestFit="1" customWidth="1"/>
    <col min="17" max="17" width="12.796875" bestFit="1" customWidth="1"/>
    <col min="19" max="19" width="12.19921875" bestFit="1" customWidth="1"/>
    <col min="31" max="31" width="12.796875" bestFit="1" customWidth="1"/>
  </cols>
  <sheetData>
    <row r="1" spans="2:24">
      <c r="B1" t="s">
        <v>59</v>
      </c>
      <c r="C1">
        <v>72.930000000000007</v>
      </c>
      <c r="D1" s="2" t="s">
        <v>61</v>
      </c>
      <c r="E1" t="s">
        <v>60</v>
      </c>
      <c r="P1" t="s">
        <v>62</v>
      </c>
      <c r="Q1">
        <v>0.36836570654885198</v>
      </c>
      <c r="R1">
        <v>-3.9103071123433697E-2</v>
      </c>
      <c r="S1">
        <v>2.80984597478579E-2</v>
      </c>
      <c r="T1">
        <v>-3.5101536075314403E-2</v>
      </c>
      <c r="U1">
        <v>-2.7533762789368799E-2</v>
      </c>
      <c r="V1">
        <v>-1.28677259699875E-2</v>
      </c>
      <c r="W1">
        <v>-4.9570801611634897E-3</v>
      </c>
      <c r="X1">
        <v>1.0006049231032099E-2</v>
      </c>
    </row>
    <row r="2" spans="2:24">
      <c r="B2" s="6" t="s">
        <v>63</v>
      </c>
      <c r="C2" s="6"/>
      <c r="D2" s="6"/>
      <c r="E2" s="6"/>
      <c r="F2" s="6"/>
      <c r="G2" s="6"/>
      <c r="H2" s="6"/>
      <c r="I2" s="6"/>
      <c r="J2" s="6"/>
      <c r="P2" t="s">
        <v>64</v>
      </c>
      <c r="Q2">
        <f>Q3/12</f>
        <v>8.3333333333333329E-2</v>
      </c>
      <c r="R2">
        <f t="shared" ref="R2:X2" si="0">R3/12</f>
        <v>0.16666666666666666</v>
      </c>
      <c r="S2">
        <f t="shared" si="0"/>
        <v>0.25</v>
      </c>
      <c r="T2">
        <f t="shared" si="0"/>
        <v>0.33333333333333331</v>
      </c>
      <c r="U2">
        <f t="shared" si="0"/>
        <v>0.41666666666666669</v>
      </c>
      <c r="V2">
        <f t="shared" si="0"/>
        <v>0.66666666666666663</v>
      </c>
      <c r="W2">
        <f t="shared" si="0"/>
        <v>1.0833333333333333</v>
      </c>
      <c r="X2">
        <f t="shared" si="0"/>
        <v>1.6666666666666667</v>
      </c>
    </row>
    <row r="3" spans="2:24">
      <c r="C3">
        <v>1</v>
      </c>
      <c r="D3">
        <v>2</v>
      </c>
      <c r="E3">
        <v>3</v>
      </c>
      <c r="F3">
        <v>4</v>
      </c>
      <c r="G3">
        <v>5</v>
      </c>
      <c r="H3">
        <v>8</v>
      </c>
      <c r="I3">
        <v>13</v>
      </c>
      <c r="J3">
        <v>20</v>
      </c>
      <c r="K3" t="s">
        <v>66</v>
      </c>
      <c r="Q3">
        <v>1</v>
      </c>
      <c r="R3">
        <v>2</v>
      </c>
      <c r="S3">
        <v>3</v>
      </c>
      <c r="T3">
        <v>4</v>
      </c>
      <c r="U3">
        <v>5</v>
      </c>
      <c r="V3">
        <v>8</v>
      </c>
      <c r="W3">
        <v>13</v>
      </c>
      <c r="X3">
        <v>20</v>
      </c>
    </row>
    <row r="4" spans="2:24">
      <c r="B4">
        <v>60</v>
      </c>
      <c r="C4">
        <v>54.59</v>
      </c>
      <c r="D4">
        <v>54.37</v>
      </c>
      <c r="E4">
        <v>51.81</v>
      </c>
      <c r="F4">
        <v>54.43</v>
      </c>
      <c r="G4">
        <v>52</v>
      </c>
      <c r="H4">
        <v>51.26</v>
      </c>
      <c r="I4">
        <v>51.79</v>
      </c>
      <c r="J4">
        <v>51.03</v>
      </c>
      <c r="P4">
        <v>60</v>
      </c>
      <c r="Q4">
        <f>DeltaC($C$1,$P4,Q$2,Q$1,0,C4)</f>
        <v>0.99999999999999856</v>
      </c>
      <c r="R4">
        <f t="shared" ref="R4:X9" si="1">DeltaC($C$1,$P4,R$2,R$1,0,D4)</f>
        <v>1</v>
      </c>
      <c r="S4">
        <f t="shared" si="1"/>
        <v>1</v>
      </c>
      <c r="T4">
        <f t="shared" si="1"/>
        <v>1</v>
      </c>
      <c r="U4">
        <f t="shared" si="1"/>
        <v>1</v>
      </c>
      <c r="V4">
        <f t="shared" si="1"/>
        <v>1</v>
      </c>
      <c r="W4">
        <f t="shared" si="1"/>
        <v>1</v>
      </c>
      <c r="X4">
        <f t="shared" si="1"/>
        <v>1</v>
      </c>
    </row>
    <row r="5" spans="2:24">
      <c r="B5">
        <v>70</v>
      </c>
      <c r="C5">
        <v>46.24</v>
      </c>
      <c r="D5">
        <v>45.31</v>
      </c>
      <c r="E5">
        <v>43.65</v>
      </c>
      <c r="F5">
        <v>46.01</v>
      </c>
      <c r="G5">
        <v>45.68</v>
      </c>
      <c r="H5">
        <v>46.42</v>
      </c>
      <c r="I5">
        <v>48.11</v>
      </c>
      <c r="J5">
        <v>48.09</v>
      </c>
      <c r="P5">
        <v>70</v>
      </c>
      <c r="Q5">
        <f t="shared" ref="Q5:Q9" si="2">DeltaC($C$1,$P5,Q$2,Q$1,0,C5)</f>
        <v>0.99999999998801536</v>
      </c>
      <c r="R5">
        <f t="shared" si="1"/>
        <v>1</v>
      </c>
      <c r="S5">
        <f t="shared" si="1"/>
        <v>1</v>
      </c>
      <c r="T5">
        <f>DeltaC($C$1,$P5,T$2,T$1,0,F5)</f>
        <v>1</v>
      </c>
      <c r="U5">
        <f t="shared" si="1"/>
        <v>1</v>
      </c>
      <c r="V5">
        <f t="shared" si="1"/>
        <v>1</v>
      </c>
      <c r="W5">
        <f t="shared" si="1"/>
        <v>1</v>
      </c>
      <c r="X5">
        <f t="shared" si="1"/>
        <v>1</v>
      </c>
    </row>
    <row r="6" spans="2:24">
      <c r="B6">
        <v>80</v>
      </c>
      <c r="C6">
        <v>39.5</v>
      </c>
      <c r="D6">
        <v>38.229999999999997</v>
      </c>
      <c r="E6">
        <v>37.99</v>
      </c>
      <c r="F6">
        <v>41.11</v>
      </c>
      <c r="G6">
        <v>41.07</v>
      </c>
      <c r="H6">
        <v>42.16</v>
      </c>
      <c r="I6">
        <v>44.51</v>
      </c>
      <c r="J6">
        <v>45.09</v>
      </c>
      <c r="P6">
        <v>80</v>
      </c>
      <c r="Q6">
        <f t="shared" si="2"/>
        <v>0.9999999938642754</v>
      </c>
      <c r="R6">
        <f t="shared" si="1"/>
        <v>0.99999999999999689</v>
      </c>
      <c r="S6">
        <f t="shared" si="1"/>
        <v>1</v>
      </c>
      <c r="T6">
        <f t="shared" si="1"/>
        <v>1</v>
      </c>
      <c r="U6">
        <f t="shared" si="1"/>
        <v>1</v>
      </c>
      <c r="V6">
        <f t="shared" si="1"/>
        <v>1</v>
      </c>
      <c r="W6">
        <f t="shared" si="1"/>
        <v>1</v>
      </c>
      <c r="X6">
        <f t="shared" si="1"/>
        <v>1</v>
      </c>
    </row>
    <row r="7" spans="2:24">
      <c r="B7">
        <v>90</v>
      </c>
      <c r="C7">
        <v>39.840000000000003</v>
      </c>
      <c r="D7">
        <v>36.479999999999997</v>
      </c>
      <c r="E7">
        <v>34.96</v>
      </c>
      <c r="F7">
        <v>37.99</v>
      </c>
      <c r="G7">
        <v>38.11</v>
      </c>
      <c r="H7">
        <v>39.06</v>
      </c>
      <c r="I7">
        <v>41.54</v>
      </c>
      <c r="J7">
        <v>42.66</v>
      </c>
      <c r="P7">
        <v>90</v>
      </c>
      <c r="Q7">
        <f t="shared" si="2"/>
        <v>0.99999999511837601</v>
      </c>
      <c r="R7">
        <f t="shared" si="1"/>
        <v>0.99999999999994649</v>
      </c>
      <c r="S7">
        <f t="shared" si="1"/>
        <v>1</v>
      </c>
      <c r="T7">
        <f t="shared" si="1"/>
        <v>1</v>
      </c>
      <c r="U7">
        <f t="shared" si="1"/>
        <v>1</v>
      </c>
      <c r="V7">
        <f t="shared" si="1"/>
        <v>1</v>
      </c>
      <c r="W7">
        <f t="shared" si="1"/>
        <v>1</v>
      </c>
      <c r="X7">
        <f t="shared" si="1"/>
        <v>1</v>
      </c>
    </row>
    <row r="8" spans="2:24">
      <c r="B8">
        <v>100</v>
      </c>
      <c r="C8">
        <v>45.9</v>
      </c>
      <c r="D8">
        <v>38.380000000000003</v>
      </c>
      <c r="E8">
        <v>35.11</v>
      </c>
      <c r="F8">
        <v>36.54</v>
      </c>
      <c r="G8">
        <v>36.340000000000003</v>
      </c>
      <c r="H8">
        <v>37.28</v>
      </c>
      <c r="I8">
        <v>39.619999999999997</v>
      </c>
      <c r="J8">
        <v>40.57</v>
      </c>
      <c r="P8">
        <v>100</v>
      </c>
      <c r="Q8">
        <f t="shared" si="2"/>
        <v>0.99999999997993372</v>
      </c>
      <c r="R8">
        <f t="shared" si="1"/>
        <v>0.99999999999999722</v>
      </c>
      <c r="S8">
        <f t="shared" si="1"/>
        <v>1</v>
      </c>
      <c r="T8">
        <f t="shared" si="1"/>
        <v>1</v>
      </c>
      <c r="U8">
        <f t="shared" si="1"/>
        <v>1</v>
      </c>
      <c r="V8">
        <f t="shared" si="1"/>
        <v>1</v>
      </c>
      <c r="W8">
        <f t="shared" si="1"/>
        <v>1</v>
      </c>
      <c r="X8">
        <f t="shared" si="1"/>
        <v>1</v>
      </c>
    </row>
    <row r="9" spans="2:24">
      <c r="B9">
        <v>110</v>
      </c>
      <c r="C9">
        <v>52.34</v>
      </c>
      <c r="D9">
        <v>43.75</v>
      </c>
      <c r="E9">
        <v>37.4</v>
      </c>
      <c r="F9">
        <v>36.57</v>
      </c>
      <c r="G9">
        <v>35.67</v>
      </c>
      <c r="H9">
        <v>36.520000000000003</v>
      </c>
      <c r="I9">
        <v>38.56</v>
      </c>
      <c r="J9">
        <v>39.29</v>
      </c>
      <c r="P9">
        <v>110</v>
      </c>
      <c r="Q9">
        <f t="shared" si="2"/>
        <v>0.99999999999997458</v>
      </c>
      <c r="R9">
        <f t="shared" si="1"/>
        <v>1</v>
      </c>
      <c r="S9">
        <f t="shared" si="1"/>
        <v>1</v>
      </c>
      <c r="T9">
        <f t="shared" si="1"/>
        <v>1</v>
      </c>
      <c r="U9">
        <f t="shared" si="1"/>
        <v>1</v>
      </c>
      <c r="V9">
        <f t="shared" si="1"/>
        <v>1</v>
      </c>
      <c r="W9">
        <f t="shared" si="1"/>
        <v>1</v>
      </c>
      <c r="X9">
        <f t="shared" si="1"/>
        <v>1</v>
      </c>
    </row>
    <row r="10" spans="2:24">
      <c r="B10" t="s">
        <v>65</v>
      </c>
    </row>
    <row r="18" spans="1:24">
      <c r="Q18">
        <v>1</v>
      </c>
      <c r="R18">
        <v>2</v>
      </c>
      <c r="S18">
        <v>3</v>
      </c>
      <c r="T18">
        <v>4</v>
      </c>
      <c r="U18">
        <v>5</v>
      </c>
      <c r="V18">
        <v>8</v>
      </c>
      <c r="W18">
        <v>13</v>
      </c>
      <c r="X18">
        <v>20</v>
      </c>
    </row>
    <row r="19" spans="1:24">
      <c r="P19">
        <v>60</v>
      </c>
      <c r="Q19">
        <f>GammaCP($C$1,$P4,Q$2,Q$1,0,C4)</f>
        <v>1.0229652405648974E-17</v>
      </c>
      <c r="R19">
        <f t="shared" ref="R19:X24" si="3">GammaCP($C$1,$P4,R$2,R$1,0,D4)</f>
        <v>4.0231255949176031E-31</v>
      </c>
      <c r="S19">
        <f t="shared" si="3"/>
        <v>7.0877330897069048E-41</v>
      </c>
      <c r="T19">
        <f t="shared" si="3"/>
        <v>3.8940071657027241E-58</v>
      </c>
      <c r="U19">
        <f t="shared" si="3"/>
        <v>1.0211130126180985E-65</v>
      </c>
      <c r="V19">
        <f t="shared" si="3"/>
        <v>9.554007857420703E-100</v>
      </c>
      <c r="W19">
        <f t="shared" si="3"/>
        <v>1.670445919984527E-162</v>
      </c>
      <c r="X19">
        <f t="shared" si="3"/>
        <v>1.8322567431912594E-240</v>
      </c>
    </row>
    <row r="20" spans="1:24">
      <c r="P20">
        <v>70</v>
      </c>
      <c r="Q20">
        <f t="shared" ref="Q20:Q24" si="4">GammaCP($C$1,$P5,Q$2,Q$1,0,C5)</f>
        <v>8.3999748343884098E-14</v>
      </c>
      <c r="R20">
        <f t="shared" si="3"/>
        <v>7.7320409307010711E-23</v>
      </c>
      <c r="S20">
        <f t="shared" si="3"/>
        <v>3.3896030037496563E-30</v>
      </c>
      <c r="T20">
        <f t="shared" si="3"/>
        <v>1.0009261677315743E-42</v>
      </c>
      <c r="U20">
        <f t="shared" si="3"/>
        <v>1.1553171373007486E-51</v>
      </c>
      <c r="V20">
        <f t="shared" si="3"/>
        <v>1.4685775712643778E-82</v>
      </c>
      <c r="W20">
        <f t="shared" si="3"/>
        <v>8.1099521269772221E-141</v>
      </c>
      <c r="X20">
        <f t="shared" si="3"/>
        <v>4.8829790755875715E-214</v>
      </c>
    </row>
    <row r="21" spans="1:24">
      <c r="P21">
        <v>80</v>
      </c>
      <c r="Q21">
        <f t="shared" si="4"/>
        <v>4.325146037764701E-11</v>
      </c>
      <c r="R21">
        <f t="shared" si="3"/>
        <v>2.2004608301338666E-17</v>
      </c>
      <c r="S21">
        <f>GammaCP($C$1,$P6,S$2,S$1,0,E6)</f>
        <v>7.7750162694404666E-24</v>
      </c>
      <c r="T21">
        <f t="shared" si="3"/>
        <v>6.3546963003785302E-35</v>
      </c>
      <c r="U21">
        <f t="shared" si="3"/>
        <v>1.5269719336531189E-42</v>
      </c>
      <c r="V21">
        <f t="shared" si="3"/>
        <v>7.8428973845370311E-69</v>
      </c>
      <c r="W21">
        <f t="shared" si="3"/>
        <v>3.8120991475534748E-121</v>
      </c>
      <c r="X21">
        <f t="shared" si="3"/>
        <v>1.0911390208762672E-188</v>
      </c>
    </row>
    <row r="22" spans="1:24">
      <c r="P22">
        <v>90</v>
      </c>
      <c r="Q22">
        <f t="shared" si="4"/>
        <v>3.4337864701057854E-11</v>
      </c>
      <c r="R22">
        <f t="shared" si="3"/>
        <v>3.7267846946357543E-16</v>
      </c>
      <c r="S22">
        <f t="shared" si="3"/>
        <v>8.9581688630085925E-21</v>
      </c>
      <c r="T22">
        <f t="shared" si="3"/>
        <v>2.1319712385646393E-30</v>
      </c>
      <c r="U22">
        <f t="shared" si="3"/>
        <v>3.4936171532271335E-37</v>
      </c>
      <c r="V22">
        <f t="shared" si="3"/>
        <v>1.1628059317971295E-59</v>
      </c>
      <c r="W22">
        <f t="shared" si="3"/>
        <v>4.6440013190573966E-106</v>
      </c>
      <c r="X22">
        <f t="shared" si="3"/>
        <v>2.4008619590408837E-169</v>
      </c>
    </row>
    <row r="23" spans="1:24">
      <c r="P23">
        <v>100</v>
      </c>
      <c r="Q23" s="1">
        <f t="shared" si="4"/>
        <v>1.4014024882989215E-13</v>
      </c>
      <c r="R23">
        <f t="shared" si="3"/>
        <v>1.9284664737605863E-17</v>
      </c>
      <c r="S23">
        <f t="shared" si="3"/>
        <v>6.769482191446341E-21</v>
      </c>
      <c r="T23">
        <f t="shared" si="3"/>
        <v>2.1090919418825215E-28</v>
      </c>
      <c r="U23">
        <f t="shared" si="3"/>
        <v>3.6940485698560569E-34</v>
      </c>
      <c r="V23">
        <f t="shared" si="3"/>
        <v>1.0628629908942703E-54</v>
      </c>
      <c r="W23">
        <f t="shared" si="3"/>
        <v>7.4924487811353221E-97</v>
      </c>
      <c r="X23">
        <f t="shared" si="3"/>
        <v>1.4580478928142315E-153</v>
      </c>
    </row>
    <row r="24" spans="1:24">
      <c r="P24">
        <v>110</v>
      </c>
      <c r="Q24">
        <f t="shared" si="4"/>
        <v>1.770453937775138E-16</v>
      </c>
      <c r="R24">
        <f t="shared" si="3"/>
        <v>1.8137742945107839E-21</v>
      </c>
      <c r="S24">
        <f t="shared" si="3"/>
        <v>3.717269972570874E-23</v>
      </c>
      <c r="T24">
        <f t="shared" si="3"/>
        <v>2.0170265473292183E-28</v>
      </c>
      <c r="U24">
        <f t="shared" si="3"/>
        <v>4.8704190452529942E-33</v>
      </c>
      <c r="V24">
        <f t="shared" si="3"/>
        <v>1.2189694494840647E-52</v>
      </c>
      <c r="W24">
        <f t="shared" si="3"/>
        <v>6.0364004110651963E-92</v>
      </c>
      <c r="X24">
        <f t="shared" si="3"/>
        <v>2.7997570833626192E-144</v>
      </c>
    </row>
    <row r="28" spans="1:24">
      <c r="D28" s="5"/>
    </row>
    <row r="29" spans="1:24">
      <c r="D29" s="5"/>
    </row>
    <row r="30" spans="1:24">
      <c r="D30" s="5"/>
    </row>
    <row r="31" spans="1:24">
      <c r="D31" s="5"/>
    </row>
    <row r="32" spans="1:24" ht="26.4">
      <c r="A32" t="s">
        <v>0</v>
      </c>
      <c r="B32" s="3" t="s">
        <v>1</v>
      </c>
      <c r="C32" s="4" t="s">
        <v>2</v>
      </c>
      <c r="D32" s="4" t="s">
        <v>3</v>
      </c>
      <c r="E32" s="4" t="s">
        <v>4</v>
      </c>
      <c r="F32" s="4" t="s">
        <v>5</v>
      </c>
      <c r="G32" s="4" t="s">
        <v>6</v>
      </c>
      <c r="H32" s="4" t="s">
        <v>7</v>
      </c>
      <c r="I32" t="s">
        <v>8</v>
      </c>
      <c r="J32" t="s">
        <v>9</v>
      </c>
      <c r="K32" t="s">
        <v>10</v>
      </c>
    </row>
    <row r="33" spans="1:24">
      <c r="A33">
        <v>1</v>
      </c>
      <c r="B33" t="s">
        <v>11</v>
      </c>
      <c r="C33" t="s">
        <v>14</v>
      </c>
      <c r="D33" s="5" t="s">
        <v>15</v>
      </c>
      <c r="E33">
        <v>45</v>
      </c>
      <c r="F33">
        <v>30.49</v>
      </c>
      <c r="G33">
        <v>28.25</v>
      </c>
      <c r="H33">
        <v>28.45</v>
      </c>
      <c r="I33">
        <v>28.35</v>
      </c>
      <c r="J33">
        <v>0.96976923076923105</v>
      </c>
      <c r="K33">
        <v>0.36836570654885198</v>
      </c>
    </row>
    <row r="34" spans="1:24">
      <c r="B34" t="s">
        <v>11</v>
      </c>
      <c r="C34" t="s">
        <v>16</v>
      </c>
      <c r="D34" s="5" t="s">
        <v>12</v>
      </c>
      <c r="E34">
        <v>110</v>
      </c>
      <c r="F34">
        <v>0.01</v>
      </c>
      <c r="G34">
        <v>0.01</v>
      </c>
      <c r="H34">
        <v>0.02</v>
      </c>
      <c r="I34">
        <v>1.4999999999999999E-2</v>
      </c>
      <c r="Q34">
        <v>1</v>
      </c>
      <c r="R34">
        <v>2</v>
      </c>
      <c r="S34">
        <v>3</v>
      </c>
      <c r="T34">
        <v>4</v>
      </c>
      <c r="U34">
        <v>5</v>
      </c>
      <c r="V34">
        <v>8</v>
      </c>
      <c r="W34">
        <v>13</v>
      </c>
      <c r="X34">
        <v>20</v>
      </c>
    </row>
    <row r="35" spans="1:24">
      <c r="B35" t="s">
        <v>13</v>
      </c>
      <c r="C35" t="s">
        <v>17</v>
      </c>
      <c r="D35" s="5" t="s">
        <v>18</v>
      </c>
      <c r="E35">
        <v>45</v>
      </c>
      <c r="F35">
        <v>0.02</v>
      </c>
      <c r="G35">
        <v>0</v>
      </c>
      <c r="H35">
        <v>0</v>
      </c>
      <c r="I35">
        <v>0</v>
      </c>
      <c r="P35">
        <v>60</v>
      </c>
      <c r="Q35">
        <f>Vega($C$1,$P4,Q$2,Q$1,0,C4)</f>
        <v>2.4751706830011287E-13</v>
      </c>
      <c r="R35">
        <f t="shared" ref="R35:X40" si="5">Vega($C$1,$P4,R$2,R$1,0,D4)</f>
        <v>1.9390280893147291E-26</v>
      </c>
      <c r="S35">
        <f t="shared" si="5"/>
        <v>4.8828499945861847E-36</v>
      </c>
      <c r="T35">
        <f t="shared" si="5"/>
        <v>3.757735893086912E-53</v>
      </c>
      <c r="U35">
        <f t="shared" si="5"/>
        <v>1.1767341024197748E-60</v>
      </c>
      <c r="V35">
        <f t="shared" si="5"/>
        <v>1.7365422895746391E-94</v>
      </c>
      <c r="W35">
        <f t="shared" si="5"/>
        <v>4.9848588390523572E-157</v>
      </c>
      <c r="X35">
        <f t="shared" si="5"/>
        <v>8.2884452635668286E-235</v>
      </c>
    </row>
    <row r="36" spans="1:24">
      <c r="B36" t="s">
        <v>13</v>
      </c>
      <c r="C36" t="s">
        <v>19</v>
      </c>
      <c r="D36" s="5" t="s">
        <v>20</v>
      </c>
      <c r="E36">
        <v>110</v>
      </c>
      <c r="F36">
        <v>37.78</v>
      </c>
      <c r="G36">
        <v>34.450000000000003</v>
      </c>
      <c r="H36">
        <v>34.950000000000003</v>
      </c>
      <c r="I36">
        <v>34.700000000000003</v>
      </c>
      <c r="P36">
        <v>70</v>
      </c>
      <c r="Q36">
        <f t="shared" ref="Q36:Q40" si="6">Vega($C$1,$P5,Q$2,Q$1,0,C5)</f>
        <v>1.7215791387270332E-9</v>
      </c>
      <c r="R36">
        <f t="shared" si="5"/>
        <v>3.1056276401129487E-18</v>
      </c>
      <c r="S36">
        <f t="shared" si="5"/>
        <v>1.9673676219530442E-25</v>
      </c>
      <c r="T36">
        <f t="shared" si="5"/>
        <v>8.1647980836455155E-38</v>
      </c>
      <c r="U36">
        <f t="shared" si="5"/>
        <v>1.1695761299196209E-46</v>
      </c>
      <c r="V36">
        <f t="shared" si="5"/>
        <v>2.4172590528821473E-77</v>
      </c>
      <c r="W36">
        <f t="shared" si="5"/>
        <v>2.2481649924602741E-135</v>
      </c>
      <c r="X36">
        <f t="shared" si="5"/>
        <v>2.0816169572462286E-208</v>
      </c>
    </row>
    <row r="37" spans="1:24">
      <c r="P37">
        <v>80</v>
      </c>
      <c r="Q37">
        <f t="shared" si="6"/>
        <v>7.5723216393360842E-7</v>
      </c>
      <c r="R37">
        <f t="shared" si="5"/>
        <v>7.4572571113991034E-13</v>
      </c>
      <c r="S37">
        <f t="shared" si="5"/>
        <v>3.9275618764813786E-19</v>
      </c>
      <c r="T37">
        <f t="shared" si="5"/>
        <v>4.6316256356267536E-30</v>
      </c>
      <c r="U37">
        <f t="shared" si="5"/>
        <v>1.3898148344558296E-37</v>
      </c>
      <c r="V37">
        <f t="shared" si="5"/>
        <v>1.172460723384155E-63</v>
      </c>
      <c r="W37">
        <f t="shared" si="5"/>
        <v>9.7767906373706956E-116</v>
      </c>
      <c r="X37">
        <f t="shared" si="5"/>
        <v>4.3613556116501633E-183</v>
      </c>
    </row>
    <row r="38" spans="1:24">
      <c r="A38">
        <v>2</v>
      </c>
      <c r="B38" t="s">
        <v>11</v>
      </c>
      <c r="C38" t="s">
        <v>21</v>
      </c>
      <c r="D38" s="5" t="s">
        <v>22</v>
      </c>
      <c r="E38">
        <v>45</v>
      </c>
      <c r="F38">
        <v>30.25</v>
      </c>
      <c r="G38">
        <v>28.5</v>
      </c>
      <c r="H38">
        <v>28.8</v>
      </c>
      <c r="I38">
        <v>28.65</v>
      </c>
      <c r="J38">
        <v>1.00653846153846</v>
      </c>
      <c r="K38">
        <v>-3.9103071123433697E-2</v>
      </c>
      <c r="P38">
        <v>90</v>
      </c>
      <c r="Q38">
        <f t="shared" si="6"/>
        <v>6.0635057801716216E-7</v>
      </c>
      <c r="R38">
        <f t="shared" si="5"/>
        <v>1.2051755424902896E-11</v>
      </c>
      <c r="S38">
        <f t="shared" si="5"/>
        <v>4.1643105046912523E-16</v>
      </c>
      <c r="T38">
        <f t="shared" si="5"/>
        <v>1.4359582313678105E-25</v>
      </c>
      <c r="U38">
        <f t="shared" si="5"/>
        <v>2.9506346996433083E-32</v>
      </c>
      <c r="V38">
        <f t="shared" si="5"/>
        <v>1.6104996900876504E-54</v>
      </c>
      <c r="W38">
        <f t="shared" si="5"/>
        <v>1.1115611515190342E-100</v>
      </c>
      <c r="X38">
        <f t="shared" si="5"/>
        <v>9.0792341859937912E-164</v>
      </c>
    </row>
    <row r="39" spans="1:24">
      <c r="B39" t="s">
        <v>11</v>
      </c>
      <c r="C39" t="s">
        <v>23</v>
      </c>
      <c r="D39" s="5" t="s">
        <v>24</v>
      </c>
      <c r="E39">
        <v>110</v>
      </c>
      <c r="F39">
        <v>0.05</v>
      </c>
      <c r="G39">
        <v>0.04</v>
      </c>
      <c r="H39">
        <v>0.05</v>
      </c>
      <c r="I39">
        <v>4.4999999999999998E-2</v>
      </c>
      <c r="P39">
        <v>100</v>
      </c>
      <c r="Q39">
        <f t="shared" si="6"/>
        <v>2.8510625855469245E-9</v>
      </c>
      <c r="R39">
        <f t="shared" si="5"/>
        <v>6.5611239181212634E-13</v>
      </c>
      <c r="S39">
        <f t="shared" si="5"/>
        <v>3.1603757107165132E-16</v>
      </c>
      <c r="T39">
        <f t="shared" si="5"/>
        <v>1.3663288162553253E-23</v>
      </c>
      <c r="U39">
        <f t="shared" si="5"/>
        <v>2.9750119167996072E-29</v>
      </c>
      <c r="V39">
        <f t="shared" si="5"/>
        <v>1.4049936352317728E-49</v>
      </c>
      <c r="W39">
        <f t="shared" si="5"/>
        <v>1.710459467965528E-91</v>
      </c>
      <c r="X39">
        <f t="shared" si="5"/>
        <v>5.2437016534513196E-148</v>
      </c>
    </row>
    <row r="40" spans="1:24">
      <c r="B40" t="s">
        <v>13</v>
      </c>
      <c r="C40" t="s">
        <v>25</v>
      </c>
      <c r="D40" s="5" t="s">
        <v>26</v>
      </c>
      <c r="E40">
        <v>45</v>
      </c>
      <c r="F40">
        <v>0.06</v>
      </c>
      <c r="G40">
        <v>0.05</v>
      </c>
      <c r="H40">
        <v>0.06</v>
      </c>
      <c r="I40">
        <v>5.5E-2</v>
      </c>
      <c r="P40">
        <v>110</v>
      </c>
      <c r="Q40">
        <f t="shared" si="6"/>
        <v>4.1072348042324643E-12</v>
      </c>
      <c r="R40">
        <f t="shared" si="5"/>
        <v>7.0343257612046665E-17</v>
      </c>
      <c r="S40">
        <f t="shared" si="5"/>
        <v>1.8486221038376712E-18</v>
      </c>
      <c r="T40">
        <f t="shared" si="5"/>
        <v>1.307759088791438E-23</v>
      </c>
      <c r="U40">
        <f t="shared" si="5"/>
        <v>3.8500877131820819E-28</v>
      </c>
      <c r="V40">
        <f t="shared" si="5"/>
        <v>1.5785006248663053E-47</v>
      </c>
      <c r="W40">
        <f t="shared" si="5"/>
        <v>1.3411878135016912E-86</v>
      </c>
      <c r="X40">
        <f t="shared" si="5"/>
        <v>9.7513233483373187E-139</v>
      </c>
    </row>
    <row r="41" spans="1:24">
      <c r="B41" t="s">
        <v>13</v>
      </c>
      <c r="C41" t="s">
        <v>27</v>
      </c>
      <c r="D41" s="5" t="s">
        <v>28</v>
      </c>
      <c r="E41">
        <v>110</v>
      </c>
      <c r="F41">
        <v>35.6</v>
      </c>
      <c r="G41">
        <v>36.799999999999997</v>
      </c>
      <c r="H41">
        <v>36.950000000000003</v>
      </c>
      <c r="I41">
        <v>36.875</v>
      </c>
    </row>
    <row r="43" spans="1:24">
      <c r="A43">
        <v>3</v>
      </c>
      <c r="B43" t="s">
        <v>11</v>
      </c>
      <c r="C43" t="s">
        <v>29</v>
      </c>
      <c r="D43" s="5" t="s">
        <v>30</v>
      </c>
      <c r="E43">
        <v>45</v>
      </c>
      <c r="F43">
        <v>30</v>
      </c>
      <c r="G43">
        <v>28.8</v>
      </c>
      <c r="H43">
        <v>29.15</v>
      </c>
      <c r="I43">
        <v>28.975000000000001</v>
      </c>
      <c r="J43">
        <v>0.99299999999999999</v>
      </c>
      <c r="K43">
        <v>2.80984597478579E-2</v>
      </c>
    </row>
    <row r="44" spans="1:24">
      <c r="B44" t="s">
        <v>11</v>
      </c>
      <c r="C44" t="s">
        <v>31</v>
      </c>
      <c r="D44" s="5" t="s">
        <v>24</v>
      </c>
      <c r="E44">
        <v>110</v>
      </c>
      <c r="F44">
        <v>0.08</v>
      </c>
      <c r="G44">
        <v>0.08</v>
      </c>
      <c r="H44">
        <v>0.09</v>
      </c>
      <c r="I44">
        <v>8.5000000000000006E-2</v>
      </c>
    </row>
    <row r="45" spans="1:24">
      <c r="B45" t="s">
        <v>13</v>
      </c>
      <c r="C45" t="s">
        <v>32</v>
      </c>
      <c r="D45" s="5" t="s">
        <v>24</v>
      </c>
      <c r="E45">
        <v>45</v>
      </c>
      <c r="F45">
        <v>0.15</v>
      </c>
      <c r="G45">
        <v>0.16</v>
      </c>
      <c r="H45">
        <v>0.18</v>
      </c>
      <c r="I45">
        <v>0.17</v>
      </c>
    </row>
    <row r="46" spans="1:24">
      <c r="B46" t="s">
        <v>13</v>
      </c>
      <c r="C46" t="s">
        <v>33</v>
      </c>
      <c r="D46" s="5" t="s">
        <v>34</v>
      </c>
      <c r="E46">
        <v>110</v>
      </c>
      <c r="F46">
        <v>37.61</v>
      </c>
      <c r="G46">
        <v>35.549999999999997</v>
      </c>
      <c r="H46">
        <v>36.1</v>
      </c>
      <c r="I46">
        <v>35.825000000000003</v>
      </c>
    </row>
    <row r="48" spans="1:24">
      <c r="A48">
        <v>4</v>
      </c>
      <c r="B48" t="s">
        <v>11</v>
      </c>
      <c r="C48" t="s">
        <v>35</v>
      </c>
      <c r="D48" s="5" t="s">
        <v>36</v>
      </c>
      <c r="E48">
        <v>45</v>
      </c>
      <c r="F48">
        <v>30.6</v>
      </c>
      <c r="G48">
        <v>29.5</v>
      </c>
      <c r="H48">
        <v>29.9</v>
      </c>
      <c r="I48">
        <v>29.7</v>
      </c>
      <c r="J48">
        <v>1.0117692307692301</v>
      </c>
      <c r="K48">
        <v>-3.5101536075314403E-2</v>
      </c>
    </row>
    <row r="49" spans="1:24">
      <c r="B49" t="s">
        <v>11</v>
      </c>
      <c r="C49" t="s">
        <v>37</v>
      </c>
      <c r="D49" s="5" t="s">
        <v>28</v>
      </c>
      <c r="E49">
        <v>110</v>
      </c>
      <c r="F49">
        <v>0.32</v>
      </c>
      <c r="G49">
        <v>0.31</v>
      </c>
      <c r="H49">
        <v>0.32</v>
      </c>
      <c r="I49">
        <v>0.315</v>
      </c>
    </row>
    <row r="50" spans="1:24">
      <c r="B50" t="s">
        <v>13</v>
      </c>
      <c r="C50" t="s">
        <v>38</v>
      </c>
      <c r="D50" s="5" t="s">
        <v>24</v>
      </c>
      <c r="E50">
        <v>45</v>
      </c>
      <c r="F50">
        <v>0.5</v>
      </c>
      <c r="G50">
        <v>0.51</v>
      </c>
      <c r="H50">
        <v>0.53</v>
      </c>
      <c r="I50">
        <v>0.52</v>
      </c>
      <c r="Q50">
        <v>1</v>
      </c>
      <c r="R50">
        <v>2</v>
      </c>
      <c r="S50">
        <v>3</v>
      </c>
      <c r="T50">
        <v>4</v>
      </c>
      <c r="U50">
        <v>5</v>
      </c>
      <c r="V50">
        <v>8</v>
      </c>
      <c r="W50">
        <v>13</v>
      </c>
      <c r="X50">
        <v>20</v>
      </c>
    </row>
    <row r="51" spans="1:24">
      <c r="B51" t="s">
        <v>13</v>
      </c>
      <c r="C51" t="s">
        <v>39</v>
      </c>
      <c r="D51" s="5" t="s">
        <v>28</v>
      </c>
      <c r="E51">
        <v>110</v>
      </c>
      <c r="F51">
        <v>35.450000000000003</v>
      </c>
      <c r="G51">
        <v>36.799999999999997</v>
      </c>
      <c r="H51">
        <v>37</v>
      </c>
      <c r="I51">
        <v>36.9</v>
      </c>
      <c r="P51">
        <v>60</v>
      </c>
      <c r="Q51">
        <f>ThetaC($C$1,$P4,Q$2,Q$1,0,C4)</f>
        <v>-8.1111278655283698E-11</v>
      </c>
      <c r="R51">
        <f t="shared" ref="R51:X56" si="7">ThetaC($C$1,$P4,R$2,R$1,0,D4)</f>
        <v>-3.1625825714819893E-24</v>
      </c>
      <c r="S51">
        <f t="shared" si="7"/>
        <v>-5.0598199009279075E-34</v>
      </c>
      <c r="T51">
        <f t="shared" si="7"/>
        <v>-3.0678585981396377E-51</v>
      </c>
      <c r="U51">
        <f t="shared" si="7"/>
        <v>-7.342522677103455E-59</v>
      </c>
      <c r="V51">
        <f t="shared" si="7"/>
        <v>-6.6760063246618606E-93</v>
      </c>
      <c r="W51">
        <f t="shared" si="7"/>
        <v>-1.1915258452591883E-155</v>
      </c>
      <c r="X51">
        <f t="shared" si="7"/>
        <v>-1.2688975719227548E-233</v>
      </c>
    </row>
    <row r="52" spans="1:24">
      <c r="P52">
        <v>70</v>
      </c>
      <c r="Q52">
        <f t="shared" ref="Q52:Q56" si="8">ThetaC($C$1,$P5,Q$2,Q$1,0,C5)</f>
        <v>-4.7795737941293502E-7</v>
      </c>
      <c r="R52">
        <f t="shared" si="7"/>
        <v>-4.2211616003860207E-16</v>
      </c>
      <c r="S52">
        <f t="shared" si="7"/>
        <v>-1.7176124386992479E-23</v>
      </c>
      <c r="T52">
        <f t="shared" si="7"/>
        <v>-5.6345637095768173E-36</v>
      </c>
      <c r="U52">
        <f t="shared" si="7"/>
        <v>-6.4108116433434469E-45</v>
      </c>
      <c r="V52">
        <f t="shared" si="7"/>
        <v>-8.4154869178753776E-76</v>
      </c>
      <c r="W52">
        <f t="shared" si="7"/>
        <v>-4.9919211997396873E-134</v>
      </c>
      <c r="X52">
        <f t="shared" si="7"/>
        <v>-3.0032007064517144E-207</v>
      </c>
    </row>
    <row r="53" spans="1:24">
      <c r="A53">
        <v>5</v>
      </c>
      <c r="B53" t="s">
        <v>11</v>
      </c>
      <c r="C53" t="s">
        <v>40</v>
      </c>
      <c r="D53" s="5" t="s">
        <v>41</v>
      </c>
      <c r="E53">
        <v>45</v>
      </c>
      <c r="F53">
        <v>32.5</v>
      </c>
      <c r="G53">
        <v>29.9</v>
      </c>
      <c r="H53">
        <v>30.3</v>
      </c>
      <c r="I53">
        <v>30.1</v>
      </c>
      <c r="J53">
        <v>1.0115384615384599</v>
      </c>
      <c r="K53">
        <v>-2.7533762789368799E-2</v>
      </c>
      <c r="P53">
        <v>80</v>
      </c>
      <c r="Q53">
        <f t="shared" si="8"/>
        <v>-1.7962856212545259E-4</v>
      </c>
      <c r="R53">
        <f t="shared" si="7"/>
        <v>-8.5518279281748833E-11</v>
      </c>
      <c r="S53">
        <f t="shared" si="7"/>
        <v>-2.9843913067504261E-17</v>
      </c>
      <c r="T53">
        <f t="shared" si="7"/>
        <v>-2.855856403095127E-28</v>
      </c>
      <c r="U53">
        <f t="shared" si="7"/>
        <v>-6.8491188250562592E-36</v>
      </c>
      <c r="V53">
        <f t="shared" si="7"/>
        <v>-3.7072138296258971E-62</v>
      </c>
      <c r="W53">
        <f t="shared" si="7"/>
        <v>-2.0084335586341556E-114</v>
      </c>
      <c r="X53">
        <f t="shared" si="7"/>
        <v>-5.8997217349701843E-182</v>
      </c>
    </row>
    <row r="54" spans="1:24">
      <c r="B54" t="s">
        <v>11</v>
      </c>
      <c r="C54" t="s">
        <v>42</v>
      </c>
      <c r="D54" s="5" t="s">
        <v>28</v>
      </c>
      <c r="E54">
        <v>110</v>
      </c>
      <c r="F54">
        <v>0.48</v>
      </c>
      <c r="G54">
        <v>0.45</v>
      </c>
      <c r="H54">
        <v>0.48</v>
      </c>
      <c r="I54">
        <v>0.46500000000000002</v>
      </c>
      <c r="P54">
        <v>90</v>
      </c>
      <c r="Q54">
        <f t="shared" si="8"/>
        <v>-1.4507251366459173E-4</v>
      </c>
      <c r="R54">
        <f t="shared" si="7"/>
        <v>-1.3187920378122981E-9</v>
      </c>
      <c r="S54">
        <f t="shared" si="7"/>
        <v>-2.9119499453762456E-14</v>
      </c>
      <c r="T54">
        <f t="shared" si="7"/>
        <v>-8.1820190908444354E-24</v>
      </c>
      <c r="U54">
        <f t="shared" si="7"/>
        <v>-1.3492826723551875E-30</v>
      </c>
      <c r="V54">
        <f t="shared" si="7"/>
        <v>-4.7178003620747115E-53</v>
      </c>
      <c r="W54">
        <f t="shared" si="7"/>
        <v>-2.1310948108376539E-99</v>
      </c>
      <c r="X54">
        <f t="shared" si="7"/>
        <v>-1.1619859090914625E-162</v>
      </c>
    </row>
    <row r="55" spans="1:24">
      <c r="B55" t="s">
        <v>13</v>
      </c>
      <c r="C55" t="s">
        <v>43</v>
      </c>
      <c r="D55" s="5" t="s">
        <v>26</v>
      </c>
      <c r="E55">
        <v>45</v>
      </c>
      <c r="F55">
        <v>0.62</v>
      </c>
      <c r="G55">
        <v>0.7</v>
      </c>
      <c r="H55">
        <v>0.72</v>
      </c>
      <c r="I55">
        <v>0.71</v>
      </c>
      <c r="P55">
        <v>100</v>
      </c>
      <c r="Q55">
        <f t="shared" si="8"/>
        <v>-7.8571836953597279E-7</v>
      </c>
      <c r="R55">
        <f t="shared" si="7"/>
        <v>-7.5536903940303191E-11</v>
      </c>
      <c r="S55">
        <f t="shared" si="7"/>
        <v>-2.2194152436345572E-14</v>
      </c>
      <c r="T55">
        <f t="shared" si="7"/>
        <v>-7.4880687396479533E-22</v>
      </c>
      <c r="U55">
        <f t="shared" si="7"/>
        <v>-1.2972358965935989E-27</v>
      </c>
      <c r="V55">
        <f t="shared" si="7"/>
        <v>-3.9282174385971134E-48</v>
      </c>
      <c r="W55">
        <f t="shared" si="7"/>
        <v>-3.1277330963273311E-90</v>
      </c>
      <c r="X55">
        <f t="shared" si="7"/>
        <v>-6.3822642181118023E-147</v>
      </c>
    </row>
    <row r="56" spans="1:24">
      <c r="B56" t="s">
        <v>13</v>
      </c>
      <c r="C56" t="s">
        <v>44</v>
      </c>
      <c r="D56" s="5" t="s">
        <v>45</v>
      </c>
      <c r="E56">
        <v>110</v>
      </c>
      <c r="F56">
        <v>35.450000000000003</v>
      </c>
      <c r="G56">
        <v>36.700000000000003</v>
      </c>
      <c r="H56">
        <v>36.950000000000003</v>
      </c>
      <c r="I56">
        <v>36.825000000000003</v>
      </c>
      <c r="P56">
        <v>110</v>
      </c>
      <c r="Q56">
        <f t="shared" si="8"/>
        <v>-1.2905160139881895E-9</v>
      </c>
      <c r="R56">
        <f t="shared" si="7"/>
        <v>-9.2318091257125487E-15</v>
      </c>
      <c r="S56">
        <f t="shared" si="7"/>
        <v>-1.3828789651723478E-16</v>
      </c>
      <c r="T56">
        <f t="shared" si="7"/>
        <v>-7.1729673063543627E-22</v>
      </c>
      <c r="U56">
        <f t="shared" si="7"/>
        <v>-1.6478501687794037E-26</v>
      </c>
      <c r="V56">
        <f t="shared" si="7"/>
        <v>-4.3233472533108082E-46</v>
      </c>
      <c r="W56">
        <f t="shared" si="7"/>
        <v>-2.3868698989319945E-85</v>
      </c>
      <c r="X56">
        <f t="shared" si="7"/>
        <v>-1.1494182284902308E-137</v>
      </c>
    </row>
    <row r="58" spans="1:24">
      <c r="A58">
        <v>8</v>
      </c>
      <c r="B58" t="s">
        <v>11</v>
      </c>
      <c r="C58" t="s">
        <v>46</v>
      </c>
      <c r="D58" s="5" t="s">
        <v>47</v>
      </c>
      <c r="E58">
        <v>45</v>
      </c>
      <c r="F58">
        <v>33.200000000000003</v>
      </c>
      <c r="G58">
        <v>31</v>
      </c>
      <c r="H58">
        <v>31.35</v>
      </c>
      <c r="I58">
        <v>31.175000000000001</v>
      </c>
      <c r="J58">
        <v>1.00861538461538</v>
      </c>
      <c r="K58">
        <v>-1.28677259699875E-2</v>
      </c>
    </row>
    <row r="59" spans="1:24">
      <c r="B59" t="s">
        <v>11</v>
      </c>
      <c r="C59" t="s">
        <v>48</v>
      </c>
      <c r="D59" s="5" t="s">
        <v>24</v>
      </c>
      <c r="E59">
        <v>110</v>
      </c>
      <c r="F59">
        <v>1.25</v>
      </c>
      <c r="G59">
        <v>1.23</v>
      </c>
      <c r="H59">
        <v>1.27</v>
      </c>
      <c r="I59">
        <v>1.25</v>
      </c>
    </row>
    <row r="60" spans="1:24">
      <c r="B60" t="s">
        <v>13</v>
      </c>
      <c r="C60" t="s">
        <v>49</v>
      </c>
      <c r="D60" s="5" t="s">
        <v>12</v>
      </c>
      <c r="E60">
        <v>45</v>
      </c>
      <c r="F60">
        <v>1.27</v>
      </c>
      <c r="G60">
        <v>1.27</v>
      </c>
      <c r="H60">
        <v>1.31</v>
      </c>
      <c r="I60">
        <v>1.29</v>
      </c>
    </row>
    <row r="61" spans="1:24">
      <c r="B61" t="s">
        <v>13</v>
      </c>
      <c r="C61" t="s">
        <v>50</v>
      </c>
      <c r="D61" s="5" t="s">
        <v>24</v>
      </c>
      <c r="E61">
        <v>110</v>
      </c>
      <c r="F61">
        <v>36.5</v>
      </c>
      <c r="G61">
        <v>36.85</v>
      </c>
      <c r="H61">
        <v>37</v>
      </c>
      <c r="I61">
        <v>36.924999999999997</v>
      </c>
    </row>
    <row r="63" spans="1:24">
      <c r="A63">
        <v>13</v>
      </c>
      <c r="B63" t="s">
        <v>11</v>
      </c>
      <c r="C63" t="s">
        <v>51</v>
      </c>
      <c r="D63" s="5" t="s">
        <v>45</v>
      </c>
      <c r="E63">
        <v>45</v>
      </c>
      <c r="F63">
        <v>34.33</v>
      </c>
      <c r="G63">
        <v>32.700000000000003</v>
      </c>
      <c r="H63">
        <v>34.049999999999997</v>
      </c>
      <c r="I63">
        <v>33.375</v>
      </c>
      <c r="J63">
        <v>1.00538461538462</v>
      </c>
      <c r="K63">
        <v>-4.9570801611634897E-3</v>
      </c>
    </row>
    <row r="64" spans="1:24">
      <c r="B64" t="s">
        <v>11</v>
      </c>
      <c r="C64" t="s">
        <v>52</v>
      </c>
      <c r="D64" s="5" t="s">
        <v>28</v>
      </c>
      <c r="E64">
        <v>110</v>
      </c>
      <c r="F64">
        <v>3.1</v>
      </c>
      <c r="G64">
        <v>2.86</v>
      </c>
      <c r="H64">
        <v>2.98</v>
      </c>
      <c r="I64">
        <v>2.92</v>
      </c>
    </row>
    <row r="65" spans="1:24">
      <c r="B65" t="s">
        <v>13</v>
      </c>
      <c r="C65" t="s">
        <v>53</v>
      </c>
      <c r="D65" s="5" t="s">
        <v>36</v>
      </c>
      <c r="E65">
        <v>45</v>
      </c>
      <c r="F65">
        <v>2.3199999999999998</v>
      </c>
      <c r="G65">
        <v>1.96</v>
      </c>
      <c r="H65">
        <v>2.2999999999999998</v>
      </c>
      <c r="I65">
        <v>2.13</v>
      </c>
    </row>
    <row r="66" spans="1:24">
      <c r="B66" t="s">
        <v>13</v>
      </c>
      <c r="C66" t="s">
        <v>54</v>
      </c>
      <c r="D66" s="5" t="s">
        <v>12</v>
      </c>
      <c r="E66">
        <v>110</v>
      </c>
      <c r="F66">
        <v>35.700000000000003</v>
      </c>
      <c r="G66">
        <v>36.75</v>
      </c>
      <c r="H66">
        <v>37.299999999999997</v>
      </c>
      <c r="I66">
        <v>37.024999999999999</v>
      </c>
      <c r="Q66">
        <v>1</v>
      </c>
      <c r="R66">
        <v>2</v>
      </c>
      <c r="S66">
        <v>3</v>
      </c>
      <c r="T66">
        <v>4</v>
      </c>
      <c r="U66">
        <v>5</v>
      </c>
      <c r="V66">
        <v>8</v>
      </c>
      <c r="W66">
        <v>13</v>
      </c>
      <c r="X66">
        <v>20</v>
      </c>
    </row>
    <row r="67" spans="1:24">
      <c r="P67">
        <v>60</v>
      </c>
      <c r="Q67">
        <f>RhoC($C$1,$P4,Q$2,Q$1,0,C4)</f>
        <v>8.9444863174961265E-15</v>
      </c>
      <c r="R67">
        <f t="shared" ref="R67:X72" si="9">RhoC($C$1,$P4,R$2,R$1,0,D4)</f>
        <v>7.0814983108127727E-28</v>
      </c>
      <c r="S67">
        <f t="shared" si="9"/>
        <v>1.8749830025695711E-37</v>
      </c>
      <c r="T67">
        <f t="shared" si="9"/>
        <v>1.3757400897474423E-54</v>
      </c>
      <c r="U67">
        <f t="shared" si="9"/>
        <v>4.5114610472581648E-62</v>
      </c>
      <c r="V67">
        <f t="shared" si="9"/>
        <v>6.76149555061034E-96</v>
      </c>
      <c r="W67">
        <f t="shared" si="9"/>
        <v>1.9226389011585746E-158</v>
      </c>
      <c r="X67">
        <f t="shared" si="9"/>
        <v>3.2457904312455678E-236</v>
      </c>
    </row>
    <row r="68" spans="1:24">
      <c r="A68">
        <v>20</v>
      </c>
      <c r="B68" t="s">
        <v>11</v>
      </c>
      <c r="C68" t="s">
        <v>55</v>
      </c>
      <c r="D68" s="5" t="s">
        <v>18</v>
      </c>
      <c r="E68">
        <v>45</v>
      </c>
      <c r="F68">
        <v>35.700000000000003</v>
      </c>
      <c r="G68">
        <v>34.15</v>
      </c>
      <c r="H68">
        <v>36.15</v>
      </c>
      <c r="I68">
        <v>35.15</v>
      </c>
      <c r="J68">
        <v>0.98346153846153805</v>
      </c>
      <c r="K68">
        <v>1.0006049231032099E-2</v>
      </c>
      <c r="P68">
        <v>70</v>
      </c>
      <c r="Q68">
        <f t="shared" ref="Q68:Q72" si="10">RhoC($C$1,$P5,Q$2,Q$1,0,C5)</f>
        <v>7.2949055511499793E-11</v>
      </c>
      <c r="R68">
        <f t="shared" si="9"/>
        <v>1.3556088664016096E-19</v>
      </c>
      <c r="S68">
        <f t="shared" si="9"/>
        <v>8.9421924851300655E-27</v>
      </c>
      <c r="T68">
        <f t="shared" si="9"/>
        <v>3.5296446888450703E-39</v>
      </c>
      <c r="U68">
        <f t="shared" si="9"/>
        <v>5.0978385235168774E-48</v>
      </c>
      <c r="V68">
        <f t="shared" si="9"/>
        <v>1.0386436799928219E-78</v>
      </c>
      <c r="W68">
        <f t="shared" si="9"/>
        <v>9.3313624873647547E-137</v>
      </c>
      <c r="X68">
        <f t="shared" si="9"/>
        <v>8.6484737683811521E-210</v>
      </c>
    </row>
    <row r="69" spans="1:24">
      <c r="B69" t="s">
        <v>11</v>
      </c>
      <c r="C69" t="s">
        <v>56</v>
      </c>
      <c r="D69" s="5" t="s">
        <v>24</v>
      </c>
      <c r="E69">
        <v>110</v>
      </c>
      <c r="F69">
        <v>5.43</v>
      </c>
      <c r="G69">
        <v>5.3</v>
      </c>
      <c r="H69">
        <v>5.5</v>
      </c>
      <c r="I69">
        <v>5.4</v>
      </c>
      <c r="P69">
        <v>80</v>
      </c>
      <c r="Q69">
        <f t="shared" si="10"/>
        <v>3.7222808353718636E-8</v>
      </c>
      <c r="R69">
        <f t="shared" si="9"/>
        <v>3.8370937068117092E-14</v>
      </c>
      <c r="S69">
        <f t="shared" si="9"/>
        <v>2.0445337745940686E-20</v>
      </c>
      <c r="T69">
        <f t="shared" si="9"/>
        <v>2.2367977819711071E-31</v>
      </c>
      <c r="U69">
        <f t="shared" si="9"/>
        <v>6.7281801022215072E-39</v>
      </c>
      <c r="V69">
        <f t="shared" si="9"/>
        <v>5.5424304729530401E-65</v>
      </c>
      <c r="W69">
        <f t="shared" si="9"/>
        <v>4.3845353460334492E-117</v>
      </c>
      <c r="X69">
        <f t="shared" si="9"/>
        <v>1.9321493816775474E-184</v>
      </c>
    </row>
    <row r="70" spans="1:24">
      <c r="B70" t="s">
        <v>13</v>
      </c>
      <c r="C70" t="s">
        <v>57</v>
      </c>
      <c r="D70" s="5" t="s">
        <v>24</v>
      </c>
      <c r="E70">
        <v>45</v>
      </c>
      <c r="F70">
        <v>3.21</v>
      </c>
      <c r="G70">
        <v>3.05</v>
      </c>
      <c r="H70">
        <v>3.3</v>
      </c>
      <c r="I70">
        <v>3.1749999999999998</v>
      </c>
      <c r="P70">
        <v>90</v>
      </c>
      <c r="Q70">
        <f t="shared" si="10"/>
        <v>2.9515843686883982E-8</v>
      </c>
      <c r="R70">
        <f t="shared" si="9"/>
        <v>6.4818390945420558E-13</v>
      </c>
      <c r="S70">
        <f t="shared" si="9"/>
        <v>2.3492435038367094E-17</v>
      </c>
      <c r="T70">
        <f t="shared" si="9"/>
        <v>7.4915107546153805E-27</v>
      </c>
      <c r="U70">
        <f t="shared" si="9"/>
        <v>1.537332039504899E-33</v>
      </c>
      <c r="V70">
        <f t="shared" si="9"/>
        <v>8.2107249009239086E-56</v>
      </c>
      <c r="W70">
        <f t="shared" si="9"/>
        <v>5.3391573363820013E-102</v>
      </c>
      <c r="X70">
        <f t="shared" si="9"/>
        <v>4.2504234834697015E-165</v>
      </c>
    </row>
    <row r="71" spans="1:24">
      <c r="B71" t="s">
        <v>13</v>
      </c>
      <c r="C71" t="s">
        <v>58</v>
      </c>
      <c r="D71" s="5" t="s">
        <v>28</v>
      </c>
      <c r="E71">
        <v>110</v>
      </c>
      <c r="F71">
        <v>37</v>
      </c>
      <c r="G71">
        <v>37.049999999999997</v>
      </c>
      <c r="H71">
        <v>37.65</v>
      </c>
      <c r="I71">
        <v>37.35</v>
      </c>
      <c r="P71">
        <v>100</v>
      </c>
      <c r="Q71">
        <f t="shared" si="10"/>
        <v>1.2119601680823203E-10</v>
      </c>
      <c r="R71">
        <f t="shared" si="9"/>
        <v>3.3573036246419212E-14</v>
      </c>
      <c r="S71">
        <f t="shared" si="9"/>
        <v>1.7742927122282215E-17</v>
      </c>
      <c r="T71">
        <f t="shared" si="9"/>
        <v>7.4023564649085372E-25</v>
      </c>
      <c r="U71">
        <f t="shared" si="9"/>
        <v>1.6237652961258051E-30</v>
      </c>
      <c r="V71">
        <f t="shared" si="9"/>
        <v>7.5001861899097264E-51</v>
      </c>
      <c r="W71">
        <f t="shared" si="9"/>
        <v>8.6109195429852778E-93</v>
      </c>
      <c r="X71">
        <f t="shared" si="9"/>
        <v>2.5807004780023168E-149</v>
      </c>
    </row>
    <row r="72" spans="1:24">
      <c r="P72">
        <v>110</v>
      </c>
      <c r="Q72">
        <f t="shared" si="10"/>
        <v>1.538317435945956E-13</v>
      </c>
      <c r="R72">
        <f t="shared" si="9"/>
        <v>3.1687019596174508E-18</v>
      </c>
      <c r="S72">
        <f t="shared" si="9"/>
        <v>9.7542269890898387E-20</v>
      </c>
      <c r="T72">
        <f t="shared" si="9"/>
        <v>7.0763779821683344E-25</v>
      </c>
      <c r="U72">
        <f t="shared" si="9"/>
        <v>2.1394335041207223E-29</v>
      </c>
      <c r="V72">
        <f t="shared" si="9"/>
        <v>8.5981624823761553E-49</v>
      </c>
      <c r="W72">
        <f t="shared" si="9"/>
        <v>6.9356530758571368E-88</v>
      </c>
      <c r="X72">
        <f t="shared" si="9"/>
        <v>4.9545731493779307E-140</v>
      </c>
    </row>
  </sheetData>
  <mergeCells count="1">
    <mergeCell ref="B2:J2"/>
  </mergeCells>
  <pageMargins left="0" right="0" top="0.39370078740157477" bottom="0.39370078740157477" header="0" footer="0"/>
  <pageSetup paperSize="9" orientation="portrait" verticalDpi="0" r:id="rId1"/>
  <headerFooter>
    <oddHeader>&amp;C&amp;A</oddHeader>
    <oddFooter>&amp;CPage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moton</dc:creator>
  <cp:lastModifiedBy>moton</cp:lastModifiedBy>
  <cp:revision>1</cp:revision>
  <dcterms:created xsi:type="dcterms:W3CDTF">2023-04-21T21:55:10Z</dcterms:created>
  <dcterms:modified xsi:type="dcterms:W3CDTF">2023-04-26T22:03:13Z</dcterms:modified>
</cp:coreProperties>
</file>