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oton\Desktop\tesi\"/>
    </mc:Choice>
  </mc:AlternateContent>
  <xr:revisionPtr revIDLastSave="0" documentId="13_ncr:1_{F2E888DB-728A-4DD7-83D9-51A35A99995F}" xr6:coauthVersionLast="47" xr6:coauthVersionMax="47" xr10:uidLastSave="{00000000-0000-0000-0000-000000000000}"/>
  <bookViews>
    <workbookView xWindow="-108" yWindow="-108" windowWidth="23256" windowHeight="12456" xr2:uid="{A812B5E9-A625-4A4F-8ED1-9BCD74FC5B39}"/>
  </bookViews>
  <sheets>
    <sheet name="Foglio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J27" i="1"/>
  <c r="J28" i="1"/>
  <c r="J15" i="1"/>
  <c r="J21" i="1"/>
  <c r="I16" i="1"/>
  <c r="I25" i="1"/>
  <c r="J8" i="1"/>
  <c r="I20" i="1"/>
  <c r="I27" i="1"/>
  <c r="J18" i="1"/>
  <c r="J11" i="1"/>
  <c r="J24" i="1"/>
  <c r="I28" i="1"/>
  <c r="I19" i="1"/>
  <c r="I15" i="1"/>
  <c r="I10" i="1"/>
  <c r="I18" i="1"/>
  <c r="J9" i="1"/>
  <c r="J26" i="1"/>
  <c r="J19" i="1"/>
  <c r="J17" i="1"/>
  <c r="I14" i="1"/>
  <c r="I12" i="1"/>
  <c r="I21" i="1"/>
  <c r="I11" i="1"/>
  <c r="J22" i="1"/>
  <c r="J10" i="1"/>
  <c r="J12" i="1"/>
  <c r="J25" i="1"/>
  <c r="I23" i="1"/>
  <c r="I8" i="1"/>
  <c r="J16" i="1"/>
  <c r="J23" i="1"/>
  <c r="I13" i="1"/>
  <c r="J13" i="1"/>
  <c r="J20" i="1"/>
  <c r="I9" i="1"/>
  <c r="I22" i="1"/>
  <c r="J14" i="1"/>
  <c r="I17" i="1"/>
  <c r="I24" i="1"/>
  <c r="I26" i="1"/>
  <c r="I7" i="1"/>
  <c r="K8" i="1"/>
  <c r="K16" i="1"/>
  <c r="K24" i="1"/>
  <c r="K27" i="1"/>
  <c r="K28" i="1"/>
  <c r="K14" i="1"/>
  <c r="K23" i="1"/>
  <c r="K9" i="1"/>
  <c r="K17" i="1"/>
  <c r="K25" i="1"/>
  <c r="K26" i="1"/>
  <c r="K19" i="1"/>
  <c r="K20" i="1"/>
  <c r="K13" i="1"/>
  <c r="K15" i="1"/>
  <c r="K10" i="1"/>
  <c r="K18" i="1"/>
  <c r="K11" i="1"/>
  <c r="K12" i="1"/>
  <c r="K21" i="1"/>
  <c r="K22" i="1"/>
  <c r="K7" i="1"/>
</calcChain>
</file>

<file path=xl/sharedStrings.xml><?xml version="1.0" encoding="utf-8"?>
<sst xmlns="http://schemas.openxmlformats.org/spreadsheetml/2006/main" count="21" uniqueCount="21">
  <si>
    <t>AmeEurFlag</t>
  </si>
  <si>
    <t>S</t>
  </si>
  <si>
    <t>CallPutFlag</t>
  </si>
  <si>
    <t>X</t>
  </si>
  <si>
    <t>T</t>
  </si>
  <si>
    <t>r</t>
  </si>
  <si>
    <t>b</t>
  </si>
  <si>
    <t>v</t>
  </si>
  <si>
    <t>n</t>
  </si>
  <si>
    <t>c</t>
  </si>
  <si>
    <t>e</t>
  </si>
  <si>
    <t>price of the undelying asset</t>
  </si>
  <si>
    <t>exercise price (strike)</t>
  </si>
  <si>
    <t>time to expiration date (years)</t>
  </si>
  <si>
    <t xml:space="preserve">the risk-free rate </t>
  </si>
  <si>
    <t xml:space="preserve">sigma </t>
  </si>
  <si>
    <t>instantaneous variance of the asset returns</t>
  </si>
  <si>
    <t>Liesen-rieman</t>
  </si>
  <si>
    <t>binomial</t>
  </si>
  <si>
    <t>steps</t>
  </si>
  <si>
    <t>black-scholes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</si>
</sst>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Leisen-Reimer, n = 1000</a:t>
            </a:r>
          </a:p>
        </c:rich>
      </c:tx>
      <c:layout>
        <c:manualLayout>
          <c:xMode val="edge"/>
          <c:yMode val="edge"/>
          <c:x val="0.3085916295346802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51845494789991"/>
          <c:y val="0.12541666666666668"/>
          <c:w val="0.6830381471389646"/>
          <c:h val="0.75792468649752109"/>
        </c:manualLayout>
      </c:layout>
      <c:scatterChart>
        <c:scatterStyle val="smoothMarker"/>
        <c:varyColors val="0"/>
        <c:ser>
          <c:idx val="0"/>
          <c:order val="0"/>
          <c:tx>
            <c:v>Leisen-Reimer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Foglio1!$H$7:$H$28</c:f>
              <c:numCache>
                <c:formatCode>General</c:formatCode>
                <c:ptCount val="2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  <c:pt idx="17">
                  <c:v>100</c:v>
                </c:pt>
                <c:pt idx="18">
                  <c:v>250</c:v>
                </c:pt>
                <c:pt idx="19">
                  <c:v>500</c:v>
                </c:pt>
                <c:pt idx="20">
                  <c:v>750</c:v>
                </c:pt>
                <c:pt idx="21">
                  <c:v>1000</c:v>
                </c:pt>
              </c:numCache>
            </c:numRef>
          </c:xVal>
          <c:yVal>
            <c:numRef>
              <c:f>Foglio1!$I$7:$I$28</c:f>
              <c:numCache>
                <c:formatCode>General</c:formatCode>
                <c:ptCount val="22"/>
                <c:pt idx="0">
                  <c:v>9.2807926361674244</c:v>
                </c:pt>
                <c:pt idx="1">
                  <c:v>9.2807926361674244</c:v>
                </c:pt>
                <c:pt idx="2">
                  <c:v>9.3004361432634344</c:v>
                </c:pt>
                <c:pt idx="3">
                  <c:v>9.3004361432634344</c:v>
                </c:pt>
                <c:pt idx="4">
                  <c:v>9.3066891956568796</c:v>
                </c:pt>
                <c:pt idx="5">
                  <c:v>9.3066891956568796</c:v>
                </c:pt>
                <c:pt idx="6">
                  <c:v>9.3094658292217485</c:v>
                </c:pt>
                <c:pt idx="7">
                  <c:v>9.3094658292217485</c:v>
                </c:pt>
                <c:pt idx="8">
                  <c:v>9.3109399478109722</c:v>
                </c:pt>
                <c:pt idx="9">
                  <c:v>9.3118160446985883</c:v>
                </c:pt>
                <c:pt idx="10">
                  <c:v>9.3123790560497515</c:v>
                </c:pt>
                <c:pt idx="11">
                  <c:v>9.3130349001990336</c:v>
                </c:pt>
                <c:pt idx="12">
                  <c:v>9.3132357421152552</c:v>
                </c:pt>
                <c:pt idx="13">
                  <c:v>9.3135061021228047</c:v>
                </c:pt>
                <c:pt idx="14">
                  <c:v>9.3137364087184178</c:v>
                </c:pt>
                <c:pt idx="15">
                  <c:v>9.3139230322076578</c:v>
                </c:pt>
                <c:pt idx="16">
                  <c:v>9.3140123995792727</c:v>
                </c:pt>
                <c:pt idx="17">
                  <c:v>9.3141359331335316</c:v>
                </c:pt>
                <c:pt idx="18">
                  <c:v>9.3141720122950922</c:v>
                </c:pt>
                <c:pt idx="19">
                  <c:v>9.3141772849760365</c:v>
                </c:pt>
                <c:pt idx="20">
                  <c:v>9.3141782687948407</c:v>
                </c:pt>
                <c:pt idx="21">
                  <c:v>9.3141786140646925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B0-4F97-B6B0-5CB4B7DD9F6A}"/>
            </c:ext>
          </c:extLst>
        </c:ser>
        <c:ser>
          <c:idx val="1"/>
          <c:order val="1"/>
          <c:tx>
            <c:v>Black-Scholes prediction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Foglio1!$H$7:$H$28</c:f>
              <c:numCache>
                <c:formatCode>General</c:formatCode>
                <c:ptCount val="2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  <c:pt idx="17">
                  <c:v>100</c:v>
                </c:pt>
                <c:pt idx="18">
                  <c:v>250</c:v>
                </c:pt>
                <c:pt idx="19">
                  <c:v>500</c:v>
                </c:pt>
                <c:pt idx="20">
                  <c:v>750</c:v>
                </c:pt>
                <c:pt idx="21">
                  <c:v>1000</c:v>
                </c:pt>
              </c:numCache>
            </c:numRef>
          </c:xVal>
          <c:yVal>
            <c:numRef>
              <c:f>Foglio1!$K$7:$K$28</c:f>
              <c:numCache>
                <c:formatCode>General</c:formatCode>
                <c:ptCount val="22"/>
                <c:pt idx="0">
                  <c:v>9.3141876391716352</c:v>
                </c:pt>
                <c:pt idx="1">
                  <c:v>9.3141876391716352</c:v>
                </c:pt>
                <c:pt idx="2">
                  <c:v>9.3141876391716352</c:v>
                </c:pt>
                <c:pt idx="3">
                  <c:v>9.3141876391716352</c:v>
                </c:pt>
                <c:pt idx="4">
                  <c:v>9.3141876391716352</c:v>
                </c:pt>
                <c:pt idx="5">
                  <c:v>9.3141876391716352</c:v>
                </c:pt>
                <c:pt idx="6">
                  <c:v>9.3141876391716352</c:v>
                </c:pt>
                <c:pt idx="7">
                  <c:v>9.3141876391716352</c:v>
                </c:pt>
                <c:pt idx="8">
                  <c:v>9.3141876391716352</c:v>
                </c:pt>
                <c:pt idx="9">
                  <c:v>9.3141876391716352</c:v>
                </c:pt>
                <c:pt idx="10">
                  <c:v>9.3141876391716352</c:v>
                </c:pt>
                <c:pt idx="11">
                  <c:v>9.3141876391716352</c:v>
                </c:pt>
                <c:pt idx="12">
                  <c:v>9.3141876391716352</c:v>
                </c:pt>
                <c:pt idx="13">
                  <c:v>9.3141876391716352</c:v>
                </c:pt>
                <c:pt idx="14">
                  <c:v>9.3141876391716352</c:v>
                </c:pt>
                <c:pt idx="15">
                  <c:v>9.3141876391716352</c:v>
                </c:pt>
                <c:pt idx="16">
                  <c:v>9.3141876391716352</c:v>
                </c:pt>
                <c:pt idx="17">
                  <c:v>9.3141876391716352</c:v>
                </c:pt>
                <c:pt idx="18">
                  <c:v>9.3141876391716352</c:v>
                </c:pt>
                <c:pt idx="19">
                  <c:v>9.3141876391716352</c:v>
                </c:pt>
                <c:pt idx="20">
                  <c:v>9.3141876391716352</c:v>
                </c:pt>
                <c:pt idx="21">
                  <c:v>9.3141876391716352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D5-48B1-A3D8-7AC3E72EE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443960"/>
        <c:axId val="547444320"/>
      </c:scatterChart>
      <c:valAx>
        <c:axId val="547443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sng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steps</a:t>
                </a:r>
              </a:p>
            </c:rich>
          </c:tx>
          <c:layout>
            <c:manualLayout>
              <c:xMode val="edge"/>
              <c:yMode val="edge"/>
              <c:x val="0.47436041425054437"/>
              <c:y val="0.92960629921259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sng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7444320"/>
        <c:crosses val="autoZero"/>
        <c:crossBetween val="midCat"/>
      </c:valAx>
      <c:valAx>
        <c:axId val="54744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sng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</a:t>
                </a:r>
                <a:r>
                  <a:rPr lang="it-IT" baseline="0"/>
                  <a:t> price [$]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sng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7443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57765667574932"/>
          <c:y val="0.48226778944298632"/>
          <c:w val="0.19059945504087195"/>
          <c:h val="0.29513998250218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Leisen-Reimer, n=50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979617217269329"/>
          <c:y val="0.1300462962962963"/>
          <c:w val="0.65326041372927568"/>
          <c:h val="0.74308654126567508"/>
        </c:manualLayout>
      </c:layout>
      <c:scatterChart>
        <c:scatterStyle val="smoothMarker"/>
        <c:varyColors val="0"/>
        <c:ser>
          <c:idx val="0"/>
          <c:order val="0"/>
          <c:tx>
            <c:v>Leisen-Reimer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Foglio1!$H$7:$H$23</c:f>
              <c:numCache>
                <c:formatCode>General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</c:numCache>
            </c:numRef>
          </c:xVal>
          <c:yVal>
            <c:numRef>
              <c:f>Foglio1!$I$7:$I$23</c:f>
              <c:numCache>
                <c:formatCode>General</c:formatCode>
                <c:ptCount val="17"/>
                <c:pt idx="0">
                  <c:v>9.2807926361674244</c:v>
                </c:pt>
                <c:pt idx="1">
                  <c:v>9.2807926361674244</c:v>
                </c:pt>
                <c:pt idx="2">
                  <c:v>9.3004361432634344</c:v>
                </c:pt>
                <c:pt idx="3">
                  <c:v>9.3004361432634344</c:v>
                </c:pt>
                <c:pt idx="4">
                  <c:v>9.3066891956568796</c:v>
                </c:pt>
                <c:pt idx="5">
                  <c:v>9.3066891956568796</c:v>
                </c:pt>
                <c:pt idx="6">
                  <c:v>9.3094658292217485</c:v>
                </c:pt>
                <c:pt idx="7">
                  <c:v>9.3094658292217485</c:v>
                </c:pt>
                <c:pt idx="8">
                  <c:v>9.3109399478109722</c:v>
                </c:pt>
                <c:pt idx="9">
                  <c:v>9.3118160446985883</c:v>
                </c:pt>
                <c:pt idx="10">
                  <c:v>9.3123790560497515</c:v>
                </c:pt>
                <c:pt idx="11">
                  <c:v>9.3130349001990336</c:v>
                </c:pt>
                <c:pt idx="12">
                  <c:v>9.3132357421152552</c:v>
                </c:pt>
                <c:pt idx="13">
                  <c:v>9.3135061021228047</c:v>
                </c:pt>
                <c:pt idx="14">
                  <c:v>9.3137364087184178</c:v>
                </c:pt>
                <c:pt idx="15">
                  <c:v>9.3139230322076578</c:v>
                </c:pt>
                <c:pt idx="16">
                  <c:v>9.3140123995792727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4A-43C8-BED0-8DD48C7F5831}"/>
            </c:ext>
          </c:extLst>
        </c:ser>
        <c:ser>
          <c:idx val="1"/>
          <c:order val="1"/>
          <c:tx>
            <c:v>Black-Scholes prediction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Foglio1!$H$7:$H$23</c:f>
              <c:numCache>
                <c:formatCode>General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</c:numCache>
            </c:numRef>
          </c:xVal>
          <c:yVal>
            <c:numRef>
              <c:f>Foglio1!$K$7:$K$23</c:f>
              <c:numCache>
                <c:formatCode>General</c:formatCode>
                <c:ptCount val="17"/>
                <c:pt idx="0">
                  <c:v>9.3141876391716352</c:v>
                </c:pt>
                <c:pt idx="1">
                  <c:v>9.3141876391716352</c:v>
                </c:pt>
                <c:pt idx="2">
                  <c:v>9.3141876391716352</c:v>
                </c:pt>
                <c:pt idx="3">
                  <c:v>9.3141876391716352</c:v>
                </c:pt>
                <c:pt idx="4">
                  <c:v>9.3141876391716352</c:v>
                </c:pt>
                <c:pt idx="5">
                  <c:v>9.3141876391716352</c:v>
                </c:pt>
                <c:pt idx="6">
                  <c:v>9.3141876391716352</c:v>
                </c:pt>
                <c:pt idx="7">
                  <c:v>9.3141876391716352</c:v>
                </c:pt>
                <c:pt idx="8">
                  <c:v>9.3141876391716352</c:v>
                </c:pt>
                <c:pt idx="9">
                  <c:v>9.3141876391716352</c:v>
                </c:pt>
                <c:pt idx="10">
                  <c:v>9.3141876391716352</c:v>
                </c:pt>
                <c:pt idx="11">
                  <c:v>9.3141876391716352</c:v>
                </c:pt>
                <c:pt idx="12">
                  <c:v>9.3141876391716352</c:v>
                </c:pt>
                <c:pt idx="13">
                  <c:v>9.3141876391716352</c:v>
                </c:pt>
                <c:pt idx="14">
                  <c:v>9.3141876391716352</c:v>
                </c:pt>
                <c:pt idx="15">
                  <c:v>9.3141876391716352</c:v>
                </c:pt>
                <c:pt idx="16">
                  <c:v>9.3141876391716352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4A-43C8-BED0-8DD48C7F5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43888"/>
        <c:axId val="540939208"/>
      </c:scatterChart>
      <c:valAx>
        <c:axId val="54094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0939208"/>
        <c:crosses val="autoZero"/>
        <c:crossBetween val="midCat"/>
      </c:valAx>
      <c:valAx>
        <c:axId val="54093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 price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0943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18318836178535"/>
          <c:y val="0.13041593759113443"/>
          <c:w val="0.19150153105861767"/>
          <c:h val="0.341436278798483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Multistep-binomial, n=1000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5461348133775548E-2"/>
          <c:y val="0.11615740740740743"/>
          <c:w val="0.69904545420361142"/>
          <c:h val="0.74308654126567508"/>
        </c:manualLayout>
      </c:layout>
      <c:scatterChart>
        <c:scatterStyle val="smoothMarker"/>
        <c:varyColors val="0"/>
        <c:ser>
          <c:idx val="0"/>
          <c:order val="0"/>
          <c:tx>
            <c:v>Binomial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Foglio1!$H$7:$H$28</c:f>
              <c:numCache>
                <c:formatCode>General</c:formatCode>
                <c:ptCount val="2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  <c:pt idx="17">
                  <c:v>100</c:v>
                </c:pt>
                <c:pt idx="18">
                  <c:v>250</c:v>
                </c:pt>
                <c:pt idx="19">
                  <c:v>500</c:v>
                </c:pt>
                <c:pt idx="20">
                  <c:v>750</c:v>
                </c:pt>
                <c:pt idx="21">
                  <c:v>1000</c:v>
                </c:pt>
              </c:numCache>
            </c:numRef>
          </c:xVal>
          <c:yVal>
            <c:numRef>
              <c:f>Foglio1!$J$7:$J$28</c:f>
              <c:numCache>
                <c:formatCode>General</c:formatCode>
                <c:ptCount val="22"/>
                <c:pt idx="0">
                  <c:v>8.5539440351476816</c:v>
                </c:pt>
                <c:pt idx="1">
                  <c:v>10.050454759824751</c:v>
                </c:pt>
                <c:pt idx="2">
                  <c:v>8.9643539210847898</c:v>
                </c:pt>
                <c:pt idx="3">
                  <c:v>9.7497591894314564</c:v>
                </c:pt>
                <c:pt idx="4">
                  <c:v>9.1036580430206087</c:v>
                </c:pt>
                <c:pt idx="5">
                  <c:v>9.6214699211017898</c:v>
                </c:pt>
                <c:pt idx="6">
                  <c:v>9.1716204873456597</c:v>
                </c:pt>
                <c:pt idx="7">
                  <c:v>9.550524802165075</c:v>
                </c:pt>
                <c:pt idx="8">
                  <c:v>9.2111081970910487</c:v>
                </c:pt>
                <c:pt idx="9">
                  <c:v>9.2365464291597998</c:v>
                </c:pt>
                <c:pt idx="10">
                  <c:v>9.4517479299801739</c:v>
                </c:pt>
                <c:pt idx="11">
                  <c:v>9.2764325920099751</c:v>
                </c:pt>
                <c:pt idx="12">
                  <c:v>9.2838453892942638</c:v>
                </c:pt>
                <c:pt idx="13">
                  <c:v>9.3928477808477862</c:v>
                </c:pt>
                <c:pt idx="14">
                  <c:v>9.3042586681362476</c:v>
                </c:pt>
                <c:pt idx="15">
                  <c:v>9.312918736748685</c:v>
                </c:pt>
                <c:pt idx="16">
                  <c:v>9.3173063591494572</c:v>
                </c:pt>
                <c:pt idx="17">
                  <c:v>9.3228959331440642</c:v>
                </c:pt>
                <c:pt idx="18">
                  <c:v>9.3214862692949634</c:v>
                </c:pt>
                <c:pt idx="19">
                  <c:v>9.3185432447380236</c:v>
                </c:pt>
                <c:pt idx="20">
                  <c:v>9.3167322943228115</c:v>
                </c:pt>
                <c:pt idx="21">
                  <c:v>9.3155492339925878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F6-47DE-ABBB-FCDF4319B365}"/>
            </c:ext>
          </c:extLst>
        </c:ser>
        <c:ser>
          <c:idx val="1"/>
          <c:order val="1"/>
          <c:tx>
            <c:v>Black-Scholes prediction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Foglio1!$H$7:$H$28</c:f>
              <c:numCache>
                <c:formatCode>General</c:formatCode>
                <c:ptCount val="2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  <c:pt idx="17">
                  <c:v>100</c:v>
                </c:pt>
                <c:pt idx="18">
                  <c:v>250</c:v>
                </c:pt>
                <c:pt idx="19">
                  <c:v>500</c:v>
                </c:pt>
                <c:pt idx="20">
                  <c:v>750</c:v>
                </c:pt>
                <c:pt idx="21">
                  <c:v>1000</c:v>
                </c:pt>
              </c:numCache>
            </c:numRef>
          </c:xVal>
          <c:yVal>
            <c:numRef>
              <c:f>Foglio1!$K$7:$K$28</c:f>
              <c:numCache>
                <c:formatCode>General</c:formatCode>
                <c:ptCount val="22"/>
                <c:pt idx="0">
                  <c:v>9.3141876391716352</c:v>
                </c:pt>
                <c:pt idx="1">
                  <c:v>9.3141876391716352</c:v>
                </c:pt>
                <c:pt idx="2">
                  <c:v>9.3141876391716352</c:v>
                </c:pt>
                <c:pt idx="3">
                  <c:v>9.3141876391716352</c:v>
                </c:pt>
                <c:pt idx="4">
                  <c:v>9.3141876391716352</c:v>
                </c:pt>
                <c:pt idx="5">
                  <c:v>9.3141876391716352</c:v>
                </c:pt>
                <c:pt idx="6">
                  <c:v>9.3141876391716352</c:v>
                </c:pt>
                <c:pt idx="7">
                  <c:v>9.3141876391716352</c:v>
                </c:pt>
                <c:pt idx="8">
                  <c:v>9.3141876391716352</c:v>
                </c:pt>
                <c:pt idx="9">
                  <c:v>9.3141876391716352</c:v>
                </c:pt>
                <c:pt idx="10">
                  <c:v>9.3141876391716352</c:v>
                </c:pt>
                <c:pt idx="11">
                  <c:v>9.3141876391716352</c:v>
                </c:pt>
                <c:pt idx="12">
                  <c:v>9.3141876391716352</c:v>
                </c:pt>
                <c:pt idx="13">
                  <c:v>9.3141876391716352</c:v>
                </c:pt>
                <c:pt idx="14">
                  <c:v>9.3141876391716352</c:v>
                </c:pt>
                <c:pt idx="15">
                  <c:v>9.3141876391716352</c:v>
                </c:pt>
                <c:pt idx="16">
                  <c:v>9.3141876391716352</c:v>
                </c:pt>
                <c:pt idx="17">
                  <c:v>9.3141876391716352</c:v>
                </c:pt>
                <c:pt idx="18">
                  <c:v>9.3141876391716352</c:v>
                </c:pt>
                <c:pt idx="19">
                  <c:v>9.3141876391716352</c:v>
                </c:pt>
                <c:pt idx="20">
                  <c:v>9.3141876391716352</c:v>
                </c:pt>
                <c:pt idx="21">
                  <c:v>9.3141876391716352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F6-47DE-ABBB-FCDF4319B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23728"/>
        <c:axId val="540938488"/>
      </c:scatterChart>
      <c:valAx>
        <c:axId val="54092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steps</a:t>
                </a:r>
              </a:p>
            </c:rich>
          </c:tx>
          <c:layout>
            <c:manualLayout>
              <c:xMode val="edge"/>
              <c:yMode val="edge"/>
              <c:x val="0.42659811685430438"/>
              <c:y val="0.92960629921259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0938488"/>
        <c:crosses val="autoZero"/>
        <c:crossBetween val="midCat"/>
      </c:valAx>
      <c:valAx>
        <c:axId val="54093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</a:t>
                </a:r>
                <a:r>
                  <a:rPr lang="it-IT" baseline="0"/>
                  <a:t> price [$]</a:t>
                </a:r>
              </a:p>
            </c:rich>
          </c:tx>
          <c:layout>
            <c:manualLayout>
              <c:xMode val="edge"/>
              <c:yMode val="edge"/>
              <c:x val="9.5510983763132766E-3"/>
              <c:y val="0.35189049285505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092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1778610051965"/>
          <c:y val="0.17208260425780114"/>
          <c:w val="0.18849224255277544"/>
          <c:h val="0.32754738990959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Multi-step binomial,</a:t>
            </a:r>
            <a:r>
              <a:rPr lang="it-IT" baseline="0"/>
              <a:t> n=50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116366573059487"/>
          <c:y val="0.13004629629629633"/>
          <c:w val="0.64223831286823407"/>
          <c:h val="0.74308654126567508"/>
        </c:manualLayout>
      </c:layout>
      <c:scatterChart>
        <c:scatterStyle val="smoothMarker"/>
        <c:varyColors val="0"/>
        <c:ser>
          <c:idx val="0"/>
          <c:order val="0"/>
          <c:tx>
            <c:v>Binomia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Foglio1!$H$7:$H$23</c:f>
              <c:numCache>
                <c:formatCode>General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</c:numCache>
            </c:numRef>
          </c:xVal>
          <c:yVal>
            <c:numRef>
              <c:f>Foglio1!$J$7:$J$23</c:f>
              <c:numCache>
                <c:formatCode>General</c:formatCode>
                <c:ptCount val="17"/>
                <c:pt idx="0">
                  <c:v>8.5539440351476816</c:v>
                </c:pt>
                <c:pt idx="1">
                  <c:v>10.050454759824751</c:v>
                </c:pt>
                <c:pt idx="2">
                  <c:v>8.9643539210847898</c:v>
                </c:pt>
                <c:pt idx="3">
                  <c:v>9.7497591894314564</c:v>
                </c:pt>
                <c:pt idx="4">
                  <c:v>9.1036580430206087</c:v>
                </c:pt>
                <c:pt idx="5">
                  <c:v>9.6214699211017898</c:v>
                </c:pt>
                <c:pt idx="6">
                  <c:v>9.1716204873456597</c:v>
                </c:pt>
                <c:pt idx="7">
                  <c:v>9.550524802165075</c:v>
                </c:pt>
                <c:pt idx="8">
                  <c:v>9.2111081970910487</c:v>
                </c:pt>
                <c:pt idx="9">
                  <c:v>9.2365464291597998</c:v>
                </c:pt>
                <c:pt idx="10">
                  <c:v>9.4517479299801739</c:v>
                </c:pt>
                <c:pt idx="11">
                  <c:v>9.2764325920099751</c:v>
                </c:pt>
                <c:pt idx="12">
                  <c:v>9.2838453892942638</c:v>
                </c:pt>
                <c:pt idx="13">
                  <c:v>9.3928477808477862</c:v>
                </c:pt>
                <c:pt idx="14">
                  <c:v>9.3042586681362476</c:v>
                </c:pt>
                <c:pt idx="15">
                  <c:v>9.312918736748685</c:v>
                </c:pt>
                <c:pt idx="16">
                  <c:v>9.3173063591494572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F8-4535-B6F7-BCE829FEB134}"/>
            </c:ext>
          </c:extLst>
        </c:ser>
        <c:ser>
          <c:idx val="1"/>
          <c:order val="1"/>
          <c:tx>
            <c:v>Black-Scholes prediction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Foglio1!$H$7:$H$23</c:f>
              <c:numCache>
                <c:formatCode>General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  <c:pt idx="10">
                  <c:v>15</c:v>
                </c:pt>
                <c:pt idx="11">
                  <c:v>18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50</c:v>
                </c:pt>
              </c:numCache>
            </c:numRef>
          </c:xVal>
          <c:yVal>
            <c:numRef>
              <c:f>Foglio1!$K$7:$K$23</c:f>
              <c:numCache>
                <c:formatCode>General</c:formatCode>
                <c:ptCount val="17"/>
                <c:pt idx="0">
                  <c:v>9.3141876391716352</c:v>
                </c:pt>
                <c:pt idx="1">
                  <c:v>9.3141876391716352</c:v>
                </c:pt>
                <c:pt idx="2">
                  <c:v>9.3141876391716352</c:v>
                </c:pt>
                <c:pt idx="3">
                  <c:v>9.3141876391716352</c:v>
                </c:pt>
                <c:pt idx="4">
                  <c:v>9.3141876391716352</c:v>
                </c:pt>
                <c:pt idx="5">
                  <c:v>9.3141876391716352</c:v>
                </c:pt>
                <c:pt idx="6">
                  <c:v>9.3141876391716352</c:v>
                </c:pt>
                <c:pt idx="7">
                  <c:v>9.3141876391716352</c:v>
                </c:pt>
                <c:pt idx="8">
                  <c:v>9.3141876391716352</c:v>
                </c:pt>
                <c:pt idx="9">
                  <c:v>9.3141876391716352</c:v>
                </c:pt>
                <c:pt idx="10">
                  <c:v>9.3141876391716352</c:v>
                </c:pt>
                <c:pt idx="11">
                  <c:v>9.3141876391716352</c:v>
                </c:pt>
                <c:pt idx="12">
                  <c:v>9.3141876391716352</c:v>
                </c:pt>
                <c:pt idx="13">
                  <c:v>9.3141876391716352</c:v>
                </c:pt>
                <c:pt idx="14">
                  <c:v>9.3141876391716352</c:v>
                </c:pt>
                <c:pt idx="15">
                  <c:v>9.3141876391716352</c:v>
                </c:pt>
                <c:pt idx="16">
                  <c:v>9.3141876391716352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F8-4535-B6F7-BCE829FE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82328"/>
        <c:axId val="540884488"/>
      </c:scatterChart>
      <c:valAx>
        <c:axId val="54088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0884488"/>
        <c:crosses val="autoZero"/>
        <c:crossBetween val="midCat"/>
      </c:valAx>
      <c:valAx>
        <c:axId val="54088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 price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0882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335535855220895"/>
          <c:y val="0.13041593759113443"/>
          <c:w val="0.18867261347576308"/>
          <c:h val="0.27199183435403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792480</xdr:colOff>
      <xdr:row>5</xdr:row>
      <xdr:rowOff>76200</xdr:rowOff>
    </xdr:from>
    <xdr:to>
      <xdr:col>20</xdr:col>
      <xdr:colOff>38100</xdr:colOff>
      <xdr:row>20</xdr:row>
      <xdr:rowOff>76200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1064860-831D-5C9C-C0C7-39716F9FF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30480</xdr:colOff>
      <xdr:row>21</xdr:row>
      <xdr:rowOff>7620</xdr:rowOff>
    </xdr:from>
    <xdr:to>
      <xdr:col>20</xdr:col>
      <xdr:colOff>30480</xdr:colOff>
      <xdr:row>36</xdr:row>
      <xdr:rowOff>7620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37CA153-8CAA-7513-3C3E-A2C77C828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167640</xdr:colOff>
      <xdr:row>5</xdr:row>
      <xdr:rowOff>99060</xdr:rowOff>
    </xdr:from>
    <xdr:to>
      <xdr:col>29</xdr:col>
      <xdr:colOff>0</xdr:colOff>
      <xdr:row>20</xdr:row>
      <xdr:rowOff>99060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36F37127-0CA9-BB38-DBB6-2605BDB2D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45720</xdr:colOff>
      <xdr:row>21</xdr:row>
      <xdr:rowOff>7620</xdr:rowOff>
    </xdr:from>
    <xdr:to>
      <xdr:col>29</xdr:col>
      <xdr:colOff>7620</xdr:colOff>
      <xdr:row>36</xdr:row>
      <xdr:rowOff>7620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67223A7D-8F55-1D4B-575E-7C6316913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7003-ED9F-413E-9234-1E0B09699E87}">
  <sheetPr codeName="Foglio1"/>
  <dimension ref="B6:N29"/>
  <sheetViews>
    <sheetView tabSelected="1" topLeftCell="J6" workbookViewId="0">
      <selection activeCell="J7" activeCellId="1" sqref="H7:H23 J7:J23"/>
    </sheetView>
  </sheetViews>
  <sheetFormatPr defaultRowHeight="14.4" x14ac:dyDescent="0.3"/>
  <cols>
    <col min="2" max="2" width="11.33203125" customWidth="1"/>
    <col min="7" max="7" width="12.44140625" bestFit="1" customWidth="1"/>
    <col min="9" max="9" width="12.44140625" bestFit="1" customWidth="1"/>
    <col min="10" max="10" width="11.6640625" bestFit="1" customWidth="1"/>
    <col min="11" max="11" width="11.88671875" bestFit="1" customWidth="1"/>
    <col min="12" max="12" width="9.21875" bestFit="1" customWidth="1"/>
    <col min="14" max="14" width="9.21875" bestFit="1" customWidth="1"/>
  </cols>
  <sheetData>
    <row r="6" spans="2:14" x14ac:dyDescent="0.3">
      <c r="H6" t="s">
        <v>19</v>
      </c>
      <c r="I6" t="s">
        <v>17</v>
      </c>
      <c r="J6" t="s">
        <v>18</v>
      </c>
      <c r="K6" t="s">
        <v>20</v>
      </c>
    </row>
    <row r="7" spans="2:14" x14ac:dyDescent="0.3">
      <c r="H7">
        <v>2</v>
      </c>
      <c r="I7">
        <f>LeisenReimerTrunc($C$8,$C$9,$C$10,$C$11,$C$12,$C$13,$C$14,$C$15,H7)</f>
        <v>9.2807926361674244</v>
      </c>
      <c r="J7">
        <f>Bi_Call_Eur($C$10,$C$11,$C$12,$C$13,$C$15,H7)</f>
        <v>8.5539440351476816</v>
      </c>
      <c r="K7">
        <f>Call_Eur($C$10,$C$11,$C$12,$C$13,$C$15)</f>
        <v>9.3141876391716352</v>
      </c>
    </row>
    <row r="8" spans="2:14" x14ac:dyDescent="0.3">
      <c r="B8" t="s">
        <v>0</v>
      </c>
      <c r="C8" t="s">
        <v>10</v>
      </c>
      <c r="F8" s="1"/>
      <c r="H8">
        <v>3</v>
      </c>
      <c r="I8">
        <f t="shared" ref="I8:I28" si="0">LeisenReimerTrunc($C$8,$C$9,$C$10,$C$11,$C$12,$C$13,$C$14,$C$15,H8)</f>
        <v>9.2807926361674244</v>
      </c>
      <c r="J8">
        <f t="shared" ref="J8:J28" si="1">Bi_Call_Eur($C$10,$C$11,$C$12,$C$13,$C$15,H8)</f>
        <v>10.050454759824751</v>
      </c>
      <c r="K8">
        <f t="shared" ref="K8:K28" si="2">Call_Eur($C$10,$C$11,$C$12,$C$13,$C$15)</f>
        <v>9.3141876391716352</v>
      </c>
      <c r="N8" s="1"/>
    </row>
    <row r="9" spans="2:14" x14ac:dyDescent="0.3">
      <c r="B9" t="s">
        <v>2</v>
      </c>
      <c r="C9" t="s">
        <v>9</v>
      </c>
      <c r="H9">
        <v>4</v>
      </c>
      <c r="I9">
        <f t="shared" si="0"/>
        <v>9.3004361432634344</v>
      </c>
      <c r="J9">
        <f t="shared" si="1"/>
        <v>8.9643539210847898</v>
      </c>
      <c r="K9">
        <f t="shared" si="2"/>
        <v>9.3141876391716352</v>
      </c>
    </row>
    <row r="10" spans="2:14" x14ac:dyDescent="0.3">
      <c r="B10" t="s">
        <v>1</v>
      </c>
      <c r="C10">
        <v>101</v>
      </c>
      <c r="D10" t="s">
        <v>11</v>
      </c>
      <c r="H10">
        <v>5</v>
      </c>
      <c r="I10">
        <f t="shared" si="0"/>
        <v>9.3004361432634344</v>
      </c>
      <c r="J10">
        <f t="shared" si="1"/>
        <v>9.7497591894314564</v>
      </c>
      <c r="K10">
        <f t="shared" si="2"/>
        <v>9.3141876391716352</v>
      </c>
    </row>
    <row r="11" spans="2:14" x14ac:dyDescent="0.3">
      <c r="B11" t="s">
        <v>3</v>
      </c>
      <c r="C11">
        <v>101</v>
      </c>
      <c r="D11" t="s">
        <v>12</v>
      </c>
      <c r="H11">
        <v>6</v>
      </c>
      <c r="I11">
        <f t="shared" si="0"/>
        <v>9.3066891956568796</v>
      </c>
      <c r="J11">
        <f t="shared" si="1"/>
        <v>9.1036580430206087</v>
      </c>
      <c r="K11">
        <f t="shared" si="2"/>
        <v>9.3141876391716352</v>
      </c>
    </row>
    <row r="12" spans="2:14" x14ac:dyDescent="0.3">
      <c r="B12" t="s">
        <v>4</v>
      </c>
      <c r="C12">
        <v>1</v>
      </c>
      <c r="D12" t="s">
        <v>13</v>
      </c>
      <c r="H12">
        <v>7</v>
      </c>
      <c r="I12">
        <f t="shared" si="0"/>
        <v>9.3066891956568796</v>
      </c>
      <c r="J12">
        <f t="shared" si="1"/>
        <v>9.6214699211017898</v>
      </c>
      <c r="K12">
        <f t="shared" si="2"/>
        <v>9.3141876391716352</v>
      </c>
    </row>
    <row r="13" spans="2:14" x14ac:dyDescent="0.3">
      <c r="B13" t="s">
        <v>5</v>
      </c>
      <c r="C13">
        <v>0.01</v>
      </c>
      <c r="D13" t="s">
        <v>14</v>
      </c>
      <c r="H13">
        <v>8</v>
      </c>
      <c r="I13">
        <f t="shared" si="0"/>
        <v>9.3094658292217485</v>
      </c>
      <c r="J13">
        <f t="shared" si="1"/>
        <v>9.1716204873456597</v>
      </c>
      <c r="K13">
        <f t="shared" si="2"/>
        <v>9.3141876391716352</v>
      </c>
    </row>
    <row r="14" spans="2:14" x14ac:dyDescent="0.3">
      <c r="B14" t="s">
        <v>6</v>
      </c>
      <c r="C14">
        <v>0.01</v>
      </c>
      <c r="H14">
        <v>9</v>
      </c>
      <c r="I14">
        <f t="shared" si="0"/>
        <v>9.3094658292217485</v>
      </c>
      <c r="J14">
        <f t="shared" si="1"/>
        <v>9.550524802165075</v>
      </c>
      <c r="K14">
        <f t="shared" si="2"/>
        <v>9.3141876391716352</v>
      </c>
    </row>
    <row r="15" spans="2:14" x14ac:dyDescent="0.3">
      <c r="B15" t="s">
        <v>7</v>
      </c>
      <c r="C15">
        <v>0.22</v>
      </c>
      <c r="D15" t="s">
        <v>16</v>
      </c>
      <c r="H15">
        <v>10</v>
      </c>
      <c r="I15">
        <f t="shared" si="0"/>
        <v>9.3109399478109722</v>
      </c>
      <c r="J15">
        <f t="shared" si="1"/>
        <v>9.2111081970910487</v>
      </c>
      <c r="K15">
        <f t="shared" si="2"/>
        <v>9.3141876391716352</v>
      </c>
    </row>
    <row r="16" spans="2:14" x14ac:dyDescent="0.3">
      <c r="B16" t="s">
        <v>8</v>
      </c>
      <c r="C16">
        <v>0.1</v>
      </c>
      <c r="H16">
        <v>12</v>
      </c>
      <c r="I16">
        <f t="shared" si="0"/>
        <v>9.3118160446985883</v>
      </c>
      <c r="J16">
        <f t="shared" si="1"/>
        <v>9.2365464291597998</v>
      </c>
      <c r="K16">
        <f t="shared" si="2"/>
        <v>9.3141876391716352</v>
      </c>
    </row>
    <row r="17" spans="2:13" x14ac:dyDescent="0.3">
      <c r="B17" t="s">
        <v>15</v>
      </c>
      <c r="H17">
        <v>15</v>
      </c>
      <c r="I17">
        <f t="shared" si="0"/>
        <v>9.3123790560497515</v>
      </c>
      <c r="J17">
        <f t="shared" si="1"/>
        <v>9.4517479299801739</v>
      </c>
      <c r="K17">
        <f t="shared" si="2"/>
        <v>9.3141876391716352</v>
      </c>
    </row>
    <row r="18" spans="2:13" x14ac:dyDescent="0.3">
      <c r="H18" s="1">
        <v>18</v>
      </c>
      <c r="I18">
        <f t="shared" si="0"/>
        <v>9.3130349001990336</v>
      </c>
      <c r="J18">
        <f t="shared" si="1"/>
        <v>9.2764325920099751</v>
      </c>
      <c r="K18">
        <f t="shared" si="2"/>
        <v>9.3141876391716352</v>
      </c>
    </row>
    <row r="19" spans="2:13" x14ac:dyDescent="0.3">
      <c r="H19">
        <v>20</v>
      </c>
      <c r="I19">
        <f t="shared" si="0"/>
        <v>9.3132357421152552</v>
      </c>
      <c r="J19">
        <f t="shared" si="1"/>
        <v>9.2838453892942638</v>
      </c>
      <c r="K19">
        <f t="shared" si="2"/>
        <v>9.3141876391716352</v>
      </c>
      <c r="M19" s="1"/>
    </row>
    <row r="20" spans="2:13" x14ac:dyDescent="0.3">
      <c r="H20">
        <v>25</v>
      </c>
      <c r="I20">
        <f t="shared" si="0"/>
        <v>9.3135061021228047</v>
      </c>
      <c r="J20">
        <f t="shared" si="1"/>
        <v>9.3928477808477862</v>
      </c>
      <c r="K20">
        <f t="shared" si="2"/>
        <v>9.3141876391716352</v>
      </c>
    </row>
    <row r="21" spans="2:13" x14ac:dyDescent="0.3">
      <c r="H21">
        <v>30</v>
      </c>
      <c r="I21">
        <f t="shared" si="0"/>
        <v>9.3137364087184178</v>
      </c>
      <c r="J21">
        <f t="shared" si="1"/>
        <v>9.3042586681362476</v>
      </c>
      <c r="K21">
        <f t="shared" si="2"/>
        <v>9.3141876391716352</v>
      </c>
    </row>
    <row r="22" spans="2:13" x14ac:dyDescent="0.3">
      <c r="H22">
        <v>40</v>
      </c>
      <c r="I22">
        <f t="shared" si="0"/>
        <v>9.3139230322076578</v>
      </c>
      <c r="J22">
        <f t="shared" si="1"/>
        <v>9.312918736748685</v>
      </c>
      <c r="K22">
        <f t="shared" si="2"/>
        <v>9.3141876391716352</v>
      </c>
    </row>
    <row r="23" spans="2:13" x14ac:dyDescent="0.3">
      <c r="H23">
        <v>50</v>
      </c>
      <c r="I23">
        <f t="shared" si="0"/>
        <v>9.3140123995792727</v>
      </c>
      <c r="J23">
        <f t="shared" si="1"/>
        <v>9.3173063591494572</v>
      </c>
      <c r="K23">
        <f t="shared" si="2"/>
        <v>9.3141876391716352</v>
      </c>
    </row>
    <row r="24" spans="2:13" x14ac:dyDescent="0.3">
      <c r="H24">
        <v>100</v>
      </c>
      <c r="I24">
        <f t="shared" si="0"/>
        <v>9.3141359331335316</v>
      </c>
      <c r="J24">
        <f t="shared" si="1"/>
        <v>9.3228959331440642</v>
      </c>
      <c r="K24">
        <f t="shared" si="2"/>
        <v>9.3141876391716352</v>
      </c>
    </row>
    <row r="25" spans="2:13" x14ac:dyDescent="0.3">
      <c r="H25">
        <v>250</v>
      </c>
      <c r="I25">
        <f t="shared" si="0"/>
        <v>9.3141720122950922</v>
      </c>
      <c r="J25">
        <f t="shared" si="1"/>
        <v>9.3214862692949634</v>
      </c>
      <c r="K25">
        <f t="shared" si="2"/>
        <v>9.3141876391716352</v>
      </c>
    </row>
    <row r="26" spans="2:13" x14ac:dyDescent="0.3">
      <c r="H26">
        <v>500</v>
      </c>
      <c r="I26">
        <f t="shared" si="0"/>
        <v>9.3141772849760365</v>
      </c>
      <c r="J26">
        <f t="shared" si="1"/>
        <v>9.3185432447380236</v>
      </c>
      <c r="K26">
        <f t="shared" si="2"/>
        <v>9.3141876391716352</v>
      </c>
    </row>
    <row r="27" spans="2:13" x14ac:dyDescent="0.3">
      <c r="H27">
        <v>750</v>
      </c>
      <c r="I27">
        <f t="shared" si="0"/>
        <v>9.3141782687948407</v>
      </c>
      <c r="J27">
        <f t="shared" si="1"/>
        <v>9.3167322943228115</v>
      </c>
      <c r="K27">
        <f t="shared" si="2"/>
        <v>9.3141876391716352</v>
      </c>
    </row>
    <row r="28" spans="2:13" x14ac:dyDescent="0.3">
      <c r="H28">
        <v>1000</v>
      </c>
      <c r="I28">
        <f t="shared" si="0"/>
        <v>9.3141786140646925</v>
      </c>
      <c r="J28">
        <f t="shared" si="1"/>
        <v>9.3155492339925878</v>
      </c>
      <c r="K28">
        <f t="shared" si="2"/>
        <v>9.3141876391716352</v>
      </c>
    </row>
    <row r="29" spans="2:13" x14ac:dyDescent="0.3">
      <c r="H29" s="1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moton</dc:creator>
  <cp:lastModifiedBy>moton</cp:lastModifiedBy>
  <dcterms:created xsi:type="dcterms:W3CDTF">2023-04-03T08:10:04Z</dcterms:created>
  <dcterms:modified xsi:type="dcterms:W3CDTF">2023-04-06T15:23:03Z</dcterms:modified>
</cp:coreProperties>
</file>