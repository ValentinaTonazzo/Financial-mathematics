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moton\Desktop\tesi\"/>
    </mc:Choice>
  </mc:AlternateContent>
  <xr:revisionPtr revIDLastSave="0" documentId="13_ncr:1_{AD29B00F-AEF5-4AA1-820C-FC2E2A3D8B1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81029"/>
</workbook>
</file>

<file path=xl/calcChain.xml><?xml version="1.0" encoding="utf-8"?>
<calcChain xmlns="http://schemas.openxmlformats.org/spreadsheetml/2006/main">
  <c r="V5" i="1" l="1"/>
  <c r="O4" i="1"/>
  <c r="AW63" i="1"/>
  <c r="AQ5" i="1"/>
  <c r="AR5" i="1"/>
  <c r="AS5" i="1"/>
  <c r="AT5" i="1"/>
  <c r="AU5" i="1"/>
  <c r="AV5" i="1"/>
  <c r="AW5" i="1"/>
  <c r="AX5" i="1"/>
  <c r="AY5" i="1"/>
  <c r="AZ5" i="1"/>
  <c r="BA5" i="1"/>
  <c r="AQ6" i="1"/>
  <c r="AR6" i="1"/>
  <c r="AS6" i="1"/>
  <c r="AT6" i="1"/>
  <c r="AU6" i="1"/>
  <c r="AV6" i="1"/>
  <c r="AW6" i="1"/>
  <c r="AX6" i="1"/>
  <c r="AY6" i="1"/>
  <c r="AZ6" i="1"/>
  <c r="BA6" i="1"/>
  <c r="AQ7" i="1"/>
  <c r="AR7" i="1"/>
  <c r="AS7" i="1"/>
  <c r="AT7" i="1"/>
  <c r="AU7" i="1"/>
  <c r="AV7" i="1"/>
  <c r="AW7" i="1"/>
  <c r="AX7" i="1"/>
  <c r="AY7" i="1"/>
  <c r="AZ7" i="1"/>
  <c r="BA7" i="1"/>
  <c r="AQ8" i="1"/>
  <c r="AR8" i="1"/>
  <c r="AS8" i="1"/>
  <c r="AT8" i="1"/>
  <c r="AU8" i="1"/>
  <c r="AV8" i="1"/>
  <c r="AW8" i="1"/>
  <c r="AX8" i="1"/>
  <c r="AY8" i="1"/>
  <c r="AZ8" i="1"/>
  <c r="BA8" i="1"/>
  <c r="AQ9" i="1"/>
  <c r="AR9" i="1"/>
  <c r="AS9" i="1"/>
  <c r="AT9" i="1"/>
  <c r="AU9" i="1"/>
  <c r="AV9" i="1"/>
  <c r="AW9" i="1"/>
  <c r="AX9" i="1"/>
  <c r="AY9" i="1"/>
  <c r="AZ9" i="1"/>
  <c r="BA9" i="1"/>
  <c r="AQ10" i="1"/>
  <c r="AR10" i="1"/>
  <c r="AS10" i="1"/>
  <c r="AT10" i="1"/>
  <c r="AU10" i="1"/>
  <c r="AV10" i="1"/>
  <c r="AW10" i="1"/>
  <c r="AX10" i="1"/>
  <c r="AY10" i="1"/>
  <c r="AZ10" i="1"/>
  <c r="BA10" i="1"/>
  <c r="AQ11" i="1"/>
  <c r="AR11" i="1"/>
  <c r="AS11" i="1"/>
  <c r="AT11" i="1"/>
  <c r="AU11" i="1"/>
  <c r="AV11" i="1"/>
  <c r="AW11" i="1"/>
  <c r="AX11" i="1"/>
  <c r="AY11" i="1"/>
  <c r="AZ11" i="1"/>
  <c r="BA11" i="1"/>
  <c r="AQ12" i="1"/>
  <c r="AR12" i="1"/>
  <c r="AS12" i="1"/>
  <c r="AT12" i="1"/>
  <c r="AU12" i="1"/>
  <c r="AV12" i="1"/>
  <c r="AW12" i="1"/>
  <c r="AX12" i="1"/>
  <c r="AY12" i="1"/>
  <c r="AZ12" i="1"/>
  <c r="BA12" i="1"/>
  <c r="AQ13" i="1"/>
  <c r="AR13" i="1"/>
  <c r="AS13" i="1"/>
  <c r="AT13" i="1"/>
  <c r="AU13" i="1"/>
  <c r="AV13" i="1"/>
  <c r="AW13" i="1"/>
  <c r="AX13" i="1"/>
  <c r="AY13" i="1"/>
  <c r="AZ13" i="1"/>
  <c r="BA13" i="1"/>
  <c r="AQ14" i="1"/>
  <c r="AR14" i="1"/>
  <c r="AS14" i="1"/>
  <c r="AT14" i="1"/>
  <c r="AU14" i="1"/>
  <c r="AV14" i="1"/>
  <c r="AW14" i="1"/>
  <c r="AX14" i="1"/>
  <c r="AY14" i="1"/>
  <c r="AZ14" i="1"/>
  <c r="BA14" i="1"/>
  <c r="AQ15" i="1"/>
  <c r="AR15" i="1"/>
  <c r="AS15" i="1"/>
  <c r="AT15" i="1"/>
  <c r="AU15" i="1"/>
  <c r="AV15" i="1"/>
  <c r="AW15" i="1"/>
  <c r="AX15" i="1"/>
  <c r="AY15" i="1"/>
  <c r="AZ15" i="1"/>
  <c r="BA15" i="1"/>
  <c r="AQ16" i="1"/>
  <c r="AR16" i="1"/>
  <c r="AS16" i="1"/>
  <c r="AT16" i="1"/>
  <c r="AU16" i="1"/>
  <c r="AV16" i="1"/>
  <c r="AW16" i="1"/>
  <c r="AX16" i="1"/>
  <c r="AY16" i="1"/>
  <c r="AZ16" i="1"/>
  <c r="BA16" i="1"/>
  <c r="AQ17" i="1"/>
  <c r="AR17" i="1"/>
  <c r="AS17" i="1"/>
  <c r="AT17" i="1"/>
  <c r="AU17" i="1"/>
  <c r="AV17" i="1"/>
  <c r="AW17" i="1"/>
  <c r="AX17" i="1"/>
  <c r="AY17" i="1"/>
  <c r="AZ17" i="1"/>
  <c r="BA17" i="1"/>
  <c r="AQ18" i="1"/>
  <c r="AR18" i="1"/>
  <c r="AS18" i="1"/>
  <c r="AT18" i="1"/>
  <c r="AU18" i="1"/>
  <c r="AV18" i="1"/>
  <c r="AW18" i="1"/>
  <c r="AX18" i="1"/>
  <c r="AY18" i="1"/>
  <c r="AZ18" i="1"/>
  <c r="BA18" i="1"/>
  <c r="AQ19" i="1"/>
  <c r="AR19" i="1"/>
  <c r="AS19" i="1"/>
  <c r="AT19" i="1"/>
  <c r="AU19" i="1"/>
  <c r="AV19" i="1"/>
  <c r="AW19" i="1"/>
  <c r="AX19" i="1"/>
  <c r="AY19" i="1"/>
  <c r="AZ19" i="1"/>
  <c r="BA19" i="1"/>
  <c r="AQ20" i="1"/>
  <c r="AR20" i="1"/>
  <c r="AS20" i="1"/>
  <c r="AT20" i="1"/>
  <c r="AU20" i="1"/>
  <c r="AV20" i="1"/>
  <c r="AW20" i="1"/>
  <c r="AX20" i="1"/>
  <c r="AY20" i="1"/>
  <c r="AZ20" i="1"/>
  <c r="BA20" i="1"/>
  <c r="AQ21" i="1"/>
  <c r="AR21" i="1"/>
  <c r="AS21" i="1"/>
  <c r="AT21" i="1"/>
  <c r="AU21" i="1"/>
  <c r="AV21" i="1"/>
  <c r="AW21" i="1"/>
  <c r="AX21" i="1"/>
  <c r="AY21" i="1"/>
  <c r="AZ21" i="1"/>
  <c r="BA21" i="1"/>
  <c r="AQ22" i="1"/>
  <c r="AR22" i="1"/>
  <c r="AS22" i="1"/>
  <c r="AT22" i="1"/>
  <c r="AU22" i="1"/>
  <c r="AV22" i="1"/>
  <c r="AW22" i="1"/>
  <c r="AX22" i="1"/>
  <c r="AY22" i="1"/>
  <c r="AZ22" i="1"/>
  <c r="BA22" i="1"/>
  <c r="AQ23" i="1"/>
  <c r="AR23" i="1"/>
  <c r="AS23" i="1"/>
  <c r="AT23" i="1"/>
  <c r="AU23" i="1"/>
  <c r="AV23" i="1"/>
  <c r="AW23" i="1"/>
  <c r="AX23" i="1"/>
  <c r="AY23" i="1"/>
  <c r="AZ23" i="1"/>
  <c r="BA23" i="1"/>
  <c r="AQ24" i="1"/>
  <c r="AR24" i="1"/>
  <c r="AS24" i="1"/>
  <c r="AT24" i="1"/>
  <c r="AU24" i="1"/>
  <c r="AV24" i="1"/>
  <c r="AW24" i="1"/>
  <c r="AX24" i="1"/>
  <c r="AY24" i="1"/>
  <c r="AZ24" i="1"/>
  <c r="BA24" i="1"/>
  <c r="AQ25" i="1"/>
  <c r="AR25" i="1"/>
  <c r="AS25" i="1"/>
  <c r="AT25" i="1"/>
  <c r="AU25" i="1"/>
  <c r="AV25" i="1"/>
  <c r="AW25" i="1"/>
  <c r="AX25" i="1"/>
  <c r="AY25" i="1"/>
  <c r="AZ25" i="1"/>
  <c r="BA25" i="1"/>
  <c r="AQ26" i="1"/>
  <c r="AR26" i="1"/>
  <c r="AS26" i="1"/>
  <c r="AT26" i="1"/>
  <c r="AU26" i="1"/>
  <c r="AV26" i="1"/>
  <c r="AW26" i="1"/>
  <c r="AX26" i="1"/>
  <c r="AY26" i="1"/>
  <c r="AZ26" i="1"/>
  <c r="BA26" i="1"/>
  <c r="AQ27" i="1"/>
  <c r="AR27" i="1"/>
  <c r="AS27" i="1"/>
  <c r="AT27" i="1"/>
  <c r="AU27" i="1"/>
  <c r="AV27" i="1"/>
  <c r="AW27" i="1"/>
  <c r="AX27" i="1"/>
  <c r="AY27" i="1"/>
  <c r="AZ27" i="1"/>
  <c r="BA27" i="1"/>
  <c r="AQ28" i="1"/>
  <c r="AR28" i="1"/>
  <c r="AS28" i="1"/>
  <c r="AT28" i="1"/>
  <c r="AU28" i="1"/>
  <c r="AV28" i="1"/>
  <c r="AW28" i="1"/>
  <c r="AX28" i="1"/>
  <c r="AY28" i="1"/>
  <c r="AZ28" i="1"/>
  <c r="BA28" i="1"/>
  <c r="AQ29" i="1"/>
  <c r="AR29" i="1"/>
  <c r="AS29" i="1"/>
  <c r="AT29" i="1"/>
  <c r="AU29" i="1"/>
  <c r="AV29" i="1"/>
  <c r="AW29" i="1"/>
  <c r="AX29" i="1"/>
  <c r="AY29" i="1"/>
  <c r="AZ29" i="1"/>
  <c r="BA29" i="1"/>
  <c r="AQ30" i="1"/>
  <c r="AR30" i="1"/>
  <c r="AS30" i="1"/>
  <c r="AT30" i="1"/>
  <c r="AU30" i="1"/>
  <c r="AV30" i="1"/>
  <c r="AW30" i="1"/>
  <c r="AX30" i="1"/>
  <c r="AY30" i="1"/>
  <c r="AZ30" i="1"/>
  <c r="BA30" i="1"/>
  <c r="AQ31" i="1"/>
  <c r="AR31" i="1"/>
  <c r="AS31" i="1"/>
  <c r="AT31" i="1"/>
  <c r="AU31" i="1"/>
  <c r="AV31" i="1"/>
  <c r="AW31" i="1"/>
  <c r="AX31" i="1"/>
  <c r="AY31" i="1"/>
  <c r="AZ31" i="1"/>
  <c r="BA31" i="1"/>
  <c r="AQ32" i="1"/>
  <c r="AR32" i="1"/>
  <c r="AS32" i="1"/>
  <c r="AT32" i="1"/>
  <c r="AU32" i="1"/>
  <c r="AV32" i="1"/>
  <c r="AW32" i="1"/>
  <c r="AX32" i="1"/>
  <c r="AY32" i="1"/>
  <c r="AZ32" i="1"/>
  <c r="BA32" i="1"/>
  <c r="AQ33" i="1"/>
  <c r="AR33" i="1"/>
  <c r="AS33" i="1"/>
  <c r="AT33" i="1"/>
  <c r="AU33" i="1"/>
  <c r="AV33" i="1"/>
  <c r="AW33" i="1"/>
  <c r="AX33" i="1"/>
  <c r="AY33" i="1"/>
  <c r="AZ33" i="1"/>
  <c r="BA33" i="1"/>
  <c r="AQ34" i="1"/>
  <c r="AR34" i="1"/>
  <c r="AS34" i="1"/>
  <c r="AT34" i="1"/>
  <c r="AU34" i="1"/>
  <c r="AV34" i="1"/>
  <c r="AW34" i="1"/>
  <c r="AX34" i="1"/>
  <c r="AY34" i="1"/>
  <c r="AZ34" i="1"/>
  <c r="BA34" i="1"/>
  <c r="AQ35" i="1"/>
  <c r="AR35" i="1"/>
  <c r="AS35" i="1"/>
  <c r="AT35" i="1"/>
  <c r="AU35" i="1"/>
  <c r="AV35" i="1"/>
  <c r="AW35" i="1"/>
  <c r="AX35" i="1"/>
  <c r="AY35" i="1"/>
  <c r="AZ35" i="1"/>
  <c r="BA35" i="1"/>
  <c r="AQ36" i="1"/>
  <c r="AR36" i="1"/>
  <c r="AS36" i="1"/>
  <c r="AT36" i="1"/>
  <c r="AU36" i="1"/>
  <c r="AV36" i="1"/>
  <c r="AW36" i="1"/>
  <c r="AX36" i="1"/>
  <c r="AY36" i="1"/>
  <c r="AZ36" i="1"/>
  <c r="BA36" i="1"/>
  <c r="AQ37" i="1"/>
  <c r="AR37" i="1"/>
  <c r="AS37" i="1"/>
  <c r="AT37" i="1"/>
  <c r="AU37" i="1"/>
  <c r="AV37" i="1"/>
  <c r="AW37" i="1"/>
  <c r="AX37" i="1"/>
  <c r="AY37" i="1"/>
  <c r="AZ37" i="1"/>
  <c r="BA37" i="1"/>
  <c r="AQ38" i="1"/>
  <c r="AR38" i="1"/>
  <c r="AS38" i="1"/>
  <c r="AT38" i="1"/>
  <c r="AU38" i="1"/>
  <c r="AV38" i="1"/>
  <c r="AW38" i="1"/>
  <c r="AX38" i="1"/>
  <c r="AY38" i="1"/>
  <c r="AZ38" i="1"/>
  <c r="BA38" i="1"/>
  <c r="AQ39" i="1"/>
  <c r="AR39" i="1"/>
  <c r="AS39" i="1"/>
  <c r="AT39" i="1"/>
  <c r="AU39" i="1"/>
  <c r="AV39" i="1"/>
  <c r="AW39" i="1"/>
  <c r="AX39" i="1"/>
  <c r="AY39" i="1"/>
  <c r="AZ39" i="1"/>
  <c r="BA39" i="1"/>
  <c r="AQ40" i="1"/>
  <c r="AR40" i="1"/>
  <c r="AS40" i="1"/>
  <c r="AT40" i="1"/>
  <c r="AU40" i="1"/>
  <c r="AV40" i="1"/>
  <c r="AW40" i="1"/>
  <c r="AX40" i="1"/>
  <c r="AY40" i="1"/>
  <c r="AZ40" i="1"/>
  <c r="BA40" i="1"/>
  <c r="AQ41" i="1"/>
  <c r="AR41" i="1"/>
  <c r="AS41" i="1"/>
  <c r="AT41" i="1"/>
  <c r="AU41" i="1"/>
  <c r="AV41" i="1"/>
  <c r="AW41" i="1"/>
  <c r="AX41" i="1"/>
  <c r="AY41" i="1"/>
  <c r="AZ41" i="1"/>
  <c r="BA41" i="1"/>
  <c r="AQ42" i="1"/>
  <c r="AR42" i="1"/>
  <c r="AS42" i="1"/>
  <c r="AT42" i="1"/>
  <c r="AU42" i="1"/>
  <c r="AV42" i="1"/>
  <c r="AW42" i="1"/>
  <c r="AX42" i="1"/>
  <c r="AY42" i="1"/>
  <c r="AZ42" i="1"/>
  <c r="BA42" i="1"/>
  <c r="AQ43" i="1"/>
  <c r="AR43" i="1"/>
  <c r="AS43" i="1"/>
  <c r="AT43" i="1"/>
  <c r="AU43" i="1"/>
  <c r="AV43" i="1"/>
  <c r="AW43" i="1"/>
  <c r="AX43" i="1"/>
  <c r="AY43" i="1"/>
  <c r="AZ43" i="1"/>
  <c r="BA43" i="1"/>
  <c r="AQ44" i="1"/>
  <c r="AR44" i="1"/>
  <c r="AS44" i="1"/>
  <c r="AT44" i="1"/>
  <c r="AU44" i="1"/>
  <c r="AV44" i="1"/>
  <c r="AW44" i="1"/>
  <c r="AX44" i="1"/>
  <c r="AY44" i="1"/>
  <c r="AZ44" i="1"/>
  <c r="BA44" i="1"/>
  <c r="AQ45" i="1"/>
  <c r="AR45" i="1"/>
  <c r="AS45" i="1"/>
  <c r="AT45" i="1"/>
  <c r="AU45" i="1"/>
  <c r="AV45" i="1"/>
  <c r="AW45" i="1"/>
  <c r="AX45" i="1"/>
  <c r="AY45" i="1"/>
  <c r="AZ45" i="1"/>
  <c r="BA45" i="1"/>
  <c r="AQ46" i="1"/>
  <c r="AR46" i="1"/>
  <c r="AS46" i="1"/>
  <c r="AT46" i="1"/>
  <c r="AU46" i="1"/>
  <c r="AV46" i="1"/>
  <c r="AW46" i="1"/>
  <c r="AX46" i="1"/>
  <c r="AY46" i="1"/>
  <c r="AZ46" i="1"/>
  <c r="BA46" i="1"/>
  <c r="AQ47" i="1"/>
  <c r="AR47" i="1"/>
  <c r="AS47" i="1"/>
  <c r="AT47" i="1"/>
  <c r="AU47" i="1"/>
  <c r="AV47" i="1"/>
  <c r="AW47" i="1"/>
  <c r="AX47" i="1"/>
  <c r="AY47" i="1"/>
  <c r="AZ47" i="1"/>
  <c r="BA47" i="1"/>
  <c r="AQ48" i="1"/>
  <c r="AR48" i="1"/>
  <c r="AS48" i="1"/>
  <c r="AT48" i="1"/>
  <c r="AU48" i="1"/>
  <c r="AV48" i="1"/>
  <c r="AW48" i="1"/>
  <c r="AX48" i="1"/>
  <c r="AY48" i="1"/>
  <c r="AZ48" i="1"/>
  <c r="BA48" i="1"/>
  <c r="AQ49" i="1"/>
  <c r="AR49" i="1"/>
  <c r="AS49" i="1"/>
  <c r="AT49" i="1"/>
  <c r="AU49" i="1"/>
  <c r="AV49" i="1"/>
  <c r="AW49" i="1"/>
  <c r="AX49" i="1"/>
  <c r="AY49" i="1"/>
  <c r="AZ49" i="1"/>
  <c r="BA49" i="1"/>
  <c r="AQ50" i="1"/>
  <c r="AR50" i="1"/>
  <c r="AS50" i="1"/>
  <c r="AT50" i="1"/>
  <c r="AU50" i="1"/>
  <c r="AV50" i="1"/>
  <c r="AW50" i="1"/>
  <c r="AX50" i="1"/>
  <c r="AY50" i="1"/>
  <c r="AZ50" i="1"/>
  <c r="BA50" i="1"/>
  <c r="AQ51" i="1"/>
  <c r="AR51" i="1"/>
  <c r="AS51" i="1"/>
  <c r="AT51" i="1"/>
  <c r="AU51" i="1"/>
  <c r="AV51" i="1"/>
  <c r="AW51" i="1"/>
  <c r="AX51" i="1"/>
  <c r="AY51" i="1"/>
  <c r="AZ51" i="1"/>
  <c r="BA51" i="1"/>
  <c r="AQ52" i="1"/>
  <c r="AR52" i="1"/>
  <c r="AS52" i="1"/>
  <c r="AT52" i="1"/>
  <c r="AU52" i="1"/>
  <c r="AV52" i="1"/>
  <c r="AW52" i="1"/>
  <c r="AX52" i="1"/>
  <c r="AY52" i="1"/>
  <c r="AZ52" i="1"/>
  <c r="BA52" i="1"/>
  <c r="AQ53" i="1"/>
  <c r="AR53" i="1"/>
  <c r="AS53" i="1"/>
  <c r="AT53" i="1"/>
  <c r="AU53" i="1"/>
  <c r="AV53" i="1"/>
  <c r="AW53" i="1"/>
  <c r="AX53" i="1"/>
  <c r="AY53" i="1"/>
  <c r="AZ53" i="1"/>
  <c r="BA53" i="1"/>
  <c r="AQ54" i="1"/>
  <c r="AR54" i="1"/>
  <c r="AS54" i="1"/>
  <c r="AT54" i="1"/>
  <c r="AU54" i="1"/>
  <c r="AV54" i="1"/>
  <c r="AW54" i="1"/>
  <c r="AX54" i="1"/>
  <c r="AY54" i="1"/>
  <c r="AZ54" i="1"/>
  <c r="BA54" i="1"/>
  <c r="AQ55" i="1"/>
  <c r="AR55" i="1"/>
  <c r="AS55" i="1"/>
  <c r="AT55" i="1"/>
  <c r="AU55" i="1"/>
  <c r="AV55" i="1"/>
  <c r="AW55" i="1"/>
  <c r="AX55" i="1"/>
  <c r="AY55" i="1"/>
  <c r="AZ55" i="1"/>
  <c r="BA55" i="1"/>
  <c r="AQ56" i="1"/>
  <c r="AR56" i="1"/>
  <c r="AS56" i="1"/>
  <c r="AT56" i="1"/>
  <c r="AU56" i="1"/>
  <c r="AV56" i="1"/>
  <c r="AW56" i="1"/>
  <c r="AX56" i="1"/>
  <c r="AY56" i="1"/>
  <c r="AZ56" i="1"/>
  <c r="BA56" i="1"/>
  <c r="AQ57" i="1"/>
  <c r="AR57" i="1"/>
  <c r="AS57" i="1"/>
  <c r="AT57" i="1"/>
  <c r="AU57" i="1"/>
  <c r="AV57" i="1"/>
  <c r="AW57" i="1"/>
  <c r="AX57" i="1"/>
  <c r="AY57" i="1"/>
  <c r="AZ57" i="1"/>
  <c r="BA57" i="1"/>
  <c r="AQ58" i="1"/>
  <c r="AR58" i="1"/>
  <c r="AS58" i="1"/>
  <c r="AT58" i="1"/>
  <c r="AU58" i="1"/>
  <c r="AV58" i="1"/>
  <c r="AW58" i="1"/>
  <c r="AX58" i="1"/>
  <c r="AY58" i="1"/>
  <c r="AZ58" i="1"/>
  <c r="BA58" i="1"/>
  <c r="AQ59" i="1"/>
  <c r="AR59" i="1"/>
  <c r="AS59" i="1"/>
  <c r="AT59" i="1"/>
  <c r="AU59" i="1"/>
  <c r="AV59" i="1"/>
  <c r="AW59" i="1"/>
  <c r="AX59" i="1"/>
  <c r="AY59" i="1"/>
  <c r="AZ59" i="1"/>
  <c r="BA59" i="1"/>
  <c r="AQ60" i="1"/>
  <c r="AR60" i="1"/>
  <c r="AS60" i="1"/>
  <c r="AT60" i="1"/>
  <c r="AU60" i="1"/>
  <c r="AV60" i="1"/>
  <c r="AW60" i="1"/>
  <c r="AX60" i="1"/>
  <c r="AY60" i="1"/>
  <c r="AZ60" i="1"/>
  <c r="BA60" i="1"/>
  <c r="AQ61" i="1"/>
  <c r="AR61" i="1"/>
  <c r="AS61" i="1"/>
  <c r="AT61" i="1"/>
  <c r="AU61" i="1"/>
  <c r="AV61" i="1"/>
  <c r="AW61" i="1"/>
  <c r="AX61" i="1"/>
  <c r="AY61" i="1"/>
  <c r="AZ61" i="1"/>
  <c r="BA61" i="1"/>
  <c r="AQ62" i="1"/>
  <c r="AR62" i="1"/>
  <c r="AS62" i="1"/>
  <c r="AT62" i="1"/>
  <c r="AU62" i="1"/>
  <c r="AV62" i="1"/>
  <c r="AW62" i="1"/>
  <c r="AX62" i="1"/>
  <c r="AY62" i="1"/>
  <c r="AZ62" i="1"/>
  <c r="BA62" i="1"/>
  <c r="AQ63" i="1"/>
  <c r="AR63" i="1"/>
  <c r="AS63" i="1"/>
  <c r="AT63" i="1"/>
  <c r="AU63" i="1"/>
  <c r="AV63" i="1"/>
  <c r="AX63" i="1"/>
  <c r="AY63" i="1"/>
  <c r="AZ63" i="1"/>
  <c r="BA63" i="1"/>
  <c r="AQ64" i="1"/>
  <c r="AR64" i="1"/>
  <c r="AS64" i="1"/>
  <c r="AT64" i="1"/>
  <c r="AU64" i="1"/>
  <c r="AV64" i="1"/>
  <c r="AW64" i="1"/>
  <c r="AX64" i="1"/>
  <c r="AY64" i="1"/>
  <c r="AZ64" i="1"/>
  <c r="BA64" i="1"/>
  <c r="AQ65" i="1"/>
  <c r="AR65" i="1"/>
  <c r="AS65" i="1"/>
  <c r="AT65" i="1"/>
  <c r="AU65" i="1"/>
  <c r="AV65" i="1"/>
  <c r="AW65" i="1"/>
  <c r="AX65" i="1"/>
  <c r="AY65" i="1"/>
  <c r="AZ65" i="1"/>
  <c r="BA65" i="1"/>
  <c r="AQ66" i="1"/>
  <c r="AR66" i="1"/>
  <c r="AS66" i="1"/>
  <c r="AT66" i="1"/>
  <c r="AU66" i="1"/>
  <c r="AV66" i="1"/>
  <c r="AW66" i="1"/>
  <c r="AX66" i="1"/>
  <c r="AY66" i="1"/>
  <c r="AZ66" i="1"/>
  <c r="BA66" i="1"/>
  <c r="AQ67" i="1"/>
  <c r="AR67" i="1"/>
  <c r="AS67" i="1"/>
  <c r="AT67" i="1"/>
  <c r="AU67" i="1"/>
  <c r="AV67" i="1"/>
  <c r="AW67" i="1"/>
  <c r="AX67" i="1"/>
  <c r="AY67" i="1"/>
  <c r="AZ67" i="1"/>
  <c r="BA67" i="1"/>
  <c r="AQ68" i="1"/>
  <c r="AR68" i="1"/>
  <c r="AS68" i="1"/>
  <c r="AT68" i="1"/>
  <c r="AU68" i="1"/>
  <c r="AV68" i="1"/>
  <c r="AW68" i="1"/>
  <c r="AX68" i="1"/>
  <c r="AY68" i="1"/>
  <c r="AZ68" i="1"/>
  <c r="BA68" i="1"/>
  <c r="AQ69" i="1"/>
  <c r="AR69" i="1"/>
  <c r="AS69" i="1"/>
  <c r="AT69" i="1"/>
  <c r="AU69" i="1"/>
  <c r="AV69" i="1"/>
  <c r="AW69" i="1"/>
  <c r="AX69" i="1"/>
  <c r="AY69" i="1"/>
  <c r="AZ69" i="1"/>
  <c r="BA69" i="1"/>
  <c r="AQ70" i="1"/>
  <c r="AR70" i="1"/>
  <c r="AS70" i="1"/>
  <c r="AT70" i="1"/>
  <c r="AU70" i="1"/>
  <c r="AV70" i="1"/>
  <c r="AW70" i="1"/>
  <c r="AX70" i="1"/>
  <c r="AY70" i="1"/>
  <c r="AZ70" i="1"/>
  <c r="BA70" i="1"/>
  <c r="AQ71" i="1"/>
  <c r="AR71" i="1"/>
  <c r="AS71" i="1"/>
  <c r="AT71" i="1"/>
  <c r="AU71" i="1"/>
  <c r="AV71" i="1"/>
  <c r="AW71" i="1"/>
  <c r="AX71" i="1"/>
  <c r="AY71" i="1"/>
  <c r="AZ71" i="1"/>
  <c r="BA71" i="1"/>
  <c r="AQ72" i="1"/>
  <c r="AR72" i="1"/>
  <c r="AS72" i="1"/>
  <c r="AT72" i="1"/>
  <c r="AU72" i="1"/>
  <c r="AV72" i="1"/>
  <c r="AW72" i="1"/>
  <c r="AX72" i="1"/>
  <c r="AY72" i="1"/>
  <c r="AZ72" i="1"/>
  <c r="BA72" i="1"/>
  <c r="AQ73" i="1"/>
  <c r="AR73" i="1"/>
  <c r="AS73" i="1"/>
  <c r="AT73" i="1"/>
  <c r="AU73" i="1"/>
  <c r="AV73" i="1"/>
  <c r="AW73" i="1"/>
  <c r="AX73" i="1"/>
  <c r="AY73" i="1"/>
  <c r="AZ73" i="1"/>
  <c r="BA73" i="1"/>
  <c r="AQ74" i="1"/>
  <c r="AR74" i="1"/>
  <c r="AS74" i="1"/>
  <c r="AT74" i="1"/>
  <c r="AU74" i="1"/>
  <c r="AV74" i="1"/>
  <c r="AW74" i="1"/>
  <c r="AX74" i="1"/>
  <c r="AY74" i="1"/>
  <c r="AZ74" i="1"/>
  <c r="BA74" i="1"/>
  <c r="AQ75" i="1"/>
  <c r="AR75" i="1"/>
  <c r="AS75" i="1"/>
  <c r="AT75" i="1"/>
  <c r="AU75" i="1"/>
  <c r="AV75" i="1"/>
  <c r="AW75" i="1"/>
  <c r="AX75" i="1"/>
  <c r="AY75" i="1"/>
  <c r="AZ75" i="1"/>
  <c r="BA75" i="1"/>
  <c r="AQ76" i="1"/>
  <c r="AR76" i="1"/>
  <c r="AS76" i="1"/>
  <c r="AT76" i="1"/>
  <c r="AU76" i="1"/>
  <c r="AV76" i="1"/>
  <c r="AW76" i="1"/>
  <c r="AX76" i="1"/>
  <c r="AY76" i="1"/>
  <c r="AZ76" i="1"/>
  <c r="BA76" i="1"/>
  <c r="AQ77" i="1"/>
  <c r="AR77" i="1"/>
  <c r="AS77" i="1"/>
  <c r="AT77" i="1"/>
  <c r="AU77" i="1"/>
  <c r="AV77" i="1"/>
  <c r="AW77" i="1"/>
  <c r="AX77" i="1"/>
  <c r="AY77" i="1"/>
  <c r="AZ77" i="1"/>
  <c r="BA77" i="1"/>
  <c r="AQ78" i="1"/>
  <c r="AR78" i="1"/>
  <c r="AS78" i="1"/>
  <c r="AT78" i="1"/>
  <c r="AU78" i="1"/>
  <c r="AV78" i="1"/>
  <c r="AW78" i="1"/>
  <c r="AX78" i="1"/>
  <c r="AY78" i="1"/>
  <c r="AZ78" i="1"/>
  <c r="BA78" i="1"/>
  <c r="AQ79" i="1"/>
  <c r="AR79" i="1"/>
  <c r="AS79" i="1"/>
  <c r="AT79" i="1"/>
  <c r="AU79" i="1"/>
  <c r="AV79" i="1"/>
  <c r="AW79" i="1"/>
  <c r="AX79" i="1"/>
  <c r="AY79" i="1"/>
  <c r="AZ79" i="1"/>
  <c r="BA79" i="1"/>
  <c r="AQ80" i="1"/>
  <c r="AR80" i="1"/>
  <c r="AS80" i="1"/>
  <c r="AT80" i="1"/>
  <c r="AU80" i="1"/>
  <c r="AV80" i="1"/>
  <c r="AW80" i="1"/>
  <c r="AX80" i="1"/>
  <c r="AY80" i="1"/>
  <c r="AZ80" i="1"/>
  <c r="BA80" i="1"/>
  <c r="AQ81" i="1"/>
  <c r="AR81" i="1"/>
  <c r="AS81" i="1"/>
  <c r="AT81" i="1"/>
  <c r="AU81" i="1"/>
  <c r="AV81" i="1"/>
  <c r="AW81" i="1"/>
  <c r="AX81" i="1"/>
  <c r="AY81" i="1"/>
  <c r="AZ81" i="1"/>
  <c r="BA81" i="1"/>
  <c r="AQ82" i="1"/>
  <c r="AR82" i="1"/>
  <c r="AS82" i="1"/>
  <c r="AT82" i="1"/>
  <c r="AU82" i="1"/>
  <c r="AV82" i="1"/>
  <c r="AW82" i="1"/>
  <c r="AX82" i="1"/>
  <c r="AY82" i="1"/>
  <c r="AZ82" i="1"/>
  <c r="BA82" i="1"/>
  <c r="AQ83" i="1"/>
  <c r="AR83" i="1"/>
  <c r="AS83" i="1"/>
  <c r="AT83" i="1"/>
  <c r="AU83" i="1"/>
  <c r="AV83" i="1"/>
  <c r="AW83" i="1"/>
  <c r="AX83" i="1"/>
  <c r="AY83" i="1"/>
  <c r="AZ83" i="1"/>
  <c r="BA83" i="1"/>
  <c r="AQ84" i="1"/>
  <c r="AR84" i="1"/>
  <c r="AS84" i="1"/>
  <c r="AT84" i="1"/>
  <c r="AU84" i="1"/>
  <c r="AV84" i="1"/>
  <c r="AW84" i="1"/>
  <c r="AX84" i="1"/>
  <c r="AY84" i="1"/>
  <c r="AZ84" i="1"/>
  <c r="BA84" i="1"/>
  <c r="AQ85" i="1"/>
  <c r="AR85" i="1"/>
  <c r="AS85" i="1"/>
  <c r="AT85" i="1"/>
  <c r="AU85" i="1"/>
  <c r="AV85" i="1"/>
  <c r="AW85" i="1"/>
  <c r="AX85" i="1"/>
  <c r="AY85" i="1"/>
  <c r="AZ85" i="1"/>
  <c r="BA85" i="1"/>
  <c r="AQ86" i="1"/>
  <c r="AR86" i="1"/>
  <c r="AS86" i="1"/>
  <c r="AT86" i="1"/>
  <c r="AU86" i="1"/>
  <c r="AV86" i="1"/>
  <c r="AW86" i="1"/>
  <c r="AX86" i="1"/>
  <c r="AY86" i="1"/>
  <c r="AZ86" i="1"/>
  <c r="BA86" i="1"/>
  <c r="AQ87" i="1"/>
  <c r="AR87" i="1"/>
  <c r="AS87" i="1"/>
  <c r="AT87" i="1"/>
  <c r="AU87" i="1"/>
  <c r="AV87" i="1"/>
  <c r="AW87" i="1"/>
  <c r="AX87" i="1"/>
  <c r="AY87" i="1"/>
  <c r="AZ87" i="1"/>
  <c r="BA87" i="1"/>
  <c r="AQ88" i="1"/>
  <c r="AR88" i="1"/>
  <c r="AS88" i="1"/>
  <c r="AT88" i="1"/>
  <c r="AU88" i="1"/>
  <c r="AV88" i="1"/>
  <c r="AW88" i="1"/>
  <c r="AX88" i="1"/>
  <c r="AY88" i="1"/>
  <c r="AZ88" i="1"/>
  <c r="BA88" i="1"/>
  <c r="AQ89" i="1"/>
  <c r="AR89" i="1"/>
  <c r="AS89" i="1"/>
  <c r="AT89" i="1"/>
  <c r="AU89" i="1"/>
  <c r="AV89" i="1"/>
  <c r="AW89" i="1"/>
  <c r="AX89" i="1"/>
  <c r="AY89" i="1"/>
  <c r="AZ89" i="1"/>
  <c r="BA89" i="1"/>
  <c r="AQ90" i="1"/>
  <c r="AR90" i="1"/>
  <c r="AS90" i="1"/>
  <c r="AT90" i="1"/>
  <c r="AU90" i="1"/>
  <c r="AV90" i="1"/>
  <c r="AW90" i="1"/>
  <c r="AX90" i="1"/>
  <c r="AY90" i="1"/>
  <c r="AZ90" i="1"/>
  <c r="BA90" i="1"/>
  <c r="AQ91" i="1"/>
  <c r="AR91" i="1"/>
  <c r="AS91" i="1"/>
  <c r="AT91" i="1"/>
  <c r="AU91" i="1"/>
  <c r="AV91" i="1"/>
  <c r="AW91" i="1"/>
  <c r="AX91" i="1"/>
  <c r="AY91" i="1"/>
  <c r="AZ91" i="1"/>
  <c r="BA91" i="1"/>
  <c r="AQ92" i="1"/>
  <c r="AR92" i="1"/>
  <c r="AS92" i="1"/>
  <c r="AT92" i="1"/>
  <c r="AU92" i="1"/>
  <c r="AV92" i="1"/>
  <c r="AW92" i="1"/>
  <c r="AX92" i="1"/>
  <c r="AY92" i="1"/>
  <c r="AZ92" i="1"/>
  <c r="BA92" i="1"/>
  <c r="AQ93" i="1"/>
  <c r="AR93" i="1"/>
  <c r="AS93" i="1"/>
  <c r="AT93" i="1"/>
  <c r="AU93" i="1"/>
  <c r="AV93" i="1"/>
  <c r="AW93" i="1"/>
  <c r="AX93" i="1"/>
  <c r="AY93" i="1"/>
  <c r="AZ93" i="1"/>
  <c r="BA93" i="1"/>
  <c r="AQ94" i="1"/>
  <c r="AR94" i="1"/>
  <c r="AS94" i="1"/>
  <c r="AT94" i="1"/>
  <c r="AU94" i="1"/>
  <c r="AV94" i="1"/>
  <c r="AW94" i="1"/>
  <c r="AX94" i="1"/>
  <c r="AY94" i="1"/>
  <c r="AZ94" i="1"/>
  <c r="BA94" i="1"/>
  <c r="AQ95" i="1"/>
  <c r="AR95" i="1"/>
  <c r="AS95" i="1"/>
  <c r="AT95" i="1"/>
  <c r="AU95" i="1"/>
  <c r="AV95" i="1"/>
  <c r="AW95" i="1"/>
  <c r="AX95" i="1"/>
  <c r="AY95" i="1"/>
  <c r="AZ95" i="1"/>
  <c r="BA95" i="1"/>
  <c r="AQ96" i="1"/>
  <c r="AR96" i="1"/>
  <c r="AS96" i="1"/>
  <c r="AT96" i="1"/>
  <c r="AU96" i="1"/>
  <c r="AV96" i="1"/>
  <c r="AW96" i="1"/>
  <c r="AX96" i="1"/>
  <c r="AY96" i="1"/>
  <c r="AZ96" i="1"/>
  <c r="BA96" i="1"/>
  <c r="AQ97" i="1"/>
  <c r="AR97" i="1"/>
  <c r="AS97" i="1"/>
  <c r="AT97" i="1"/>
  <c r="AU97" i="1"/>
  <c r="AV97" i="1"/>
  <c r="AW97" i="1"/>
  <c r="AX97" i="1"/>
  <c r="AY97" i="1"/>
  <c r="AZ97" i="1"/>
  <c r="BA97" i="1"/>
  <c r="AQ98" i="1"/>
  <c r="AR98" i="1"/>
  <c r="AS98" i="1"/>
  <c r="AT98" i="1"/>
  <c r="AU98" i="1"/>
  <c r="AV98" i="1"/>
  <c r="AW98" i="1"/>
  <c r="AX98" i="1"/>
  <c r="AY98" i="1"/>
  <c r="AZ98" i="1"/>
  <c r="BA98" i="1"/>
  <c r="AQ99" i="1"/>
  <c r="AR99" i="1"/>
  <c r="AS99" i="1"/>
  <c r="AT99" i="1"/>
  <c r="AU99" i="1"/>
  <c r="AV99" i="1"/>
  <c r="AW99" i="1"/>
  <c r="AX99" i="1"/>
  <c r="AY99" i="1"/>
  <c r="AZ99" i="1"/>
  <c r="BA99" i="1"/>
  <c r="AQ100" i="1"/>
  <c r="AR100" i="1"/>
  <c r="AS100" i="1"/>
  <c r="AT100" i="1"/>
  <c r="AU100" i="1"/>
  <c r="AV100" i="1"/>
  <c r="AW100" i="1"/>
  <c r="AX100" i="1"/>
  <c r="AY100" i="1"/>
  <c r="AZ100" i="1"/>
  <c r="BA100" i="1"/>
  <c r="AQ101" i="1"/>
  <c r="AR101" i="1"/>
  <c r="AS101" i="1"/>
  <c r="AT101" i="1"/>
  <c r="AU101" i="1"/>
  <c r="AV101" i="1"/>
  <c r="AW101" i="1"/>
  <c r="AX101" i="1"/>
  <c r="AY101" i="1"/>
  <c r="AZ101" i="1"/>
  <c r="BA101" i="1"/>
  <c r="AQ102" i="1"/>
  <c r="AR102" i="1"/>
  <c r="AS102" i="1"/>
  <c r="AT102" i="1"/>
  <c r="AU102" i="1"/>
  <c r="AV102" i="1"/>
  <c r="AW102" i="1"/>
  <c r="AX102" i="1"/>
  <c r="AY102" i="1"/>
  <c r="AZ102" i="1"/>
  <c r="BA102" i="1"/>
  <c r="AQ103" i="1"/>
  <c r="AR103" i="1"/>
  <c r="AS103" i="1"/>
  <c r="AT103" i="1"/>
  <c r="AU103" i="1"/>
  <c r="AV103" i="1"/>
  <c r="AW103" i="1"/>
  <c r="AX103" i="1"/>
  <c r="AY103" i="1"/>
  <c r="AZ103" i="1"/>
  <c r="BA103" i="1"/>
  <c r="AR4" i="1"/>
  <c r="AS4" i="1"/>
  <c r="AT4" i="1"/>
  <c r="AU4" i="1"/>
  <c r="AV4" i="1"/>
  <c r="AW4" i="1"/>
  <c r="AX4" i="1"/>
  <c r="AY4" i="1"/>
  <c r="AZ4" i="1"/>
  <c r="BA4" i="1"/>
  <c r="AQ4" i="1"/>
  <c r="BL138" i="1"/>
  <c r="AY139" i="1"/>
  <c r="AZ139" i="1"/>
  <c r="BA139" i="1"/>
  <c r="BB139" i="1"/>
  <c r="BC139" i="1"/>
  <c r="BD139" i="1"/>
  <c r="BE139" i="1"/>
  <c r="BF139" i="1"/>
  <c r="BG139" i="1"/>
  <c r="BH139" i="1"/>
  <c r="BI139" i="1"/>
  <c r="AY140" i="1"/>
  <c r="AZ140" i="1"/>
  <c r="BA140" i="1"/>
  <c r="BB140" i="1"/>
  <c r="BC140" i="1"/>
  <c r="BD140" i="1"/>
  <c r="BE140" i="1"/>
  <c r="BF140" i="1"/>
  <c r="BG140" i="1"/>
  <c r="BH140" i="1"/>
  <c r="BI140" i="1"/>
  <c r="AY141" i="1"/>
  <c r="AZ141" i="1"/>
  <c r="BA141" i="1"/>
  <c r="BB141" i="1"/>
  <c r="BC141" i="1"/>
  <c r="BD141" i="1"/>
  <c r="BQ141" i="1" s="1"/>
  <c r="BE141" i="1"/>
  <c r="BF141" i="1"/>
  <c r="BG141" i="1"/>
  <c r="BH141" i="1"/>
  <c r="BI141" i="1"/>
  <c r="AY142" i="1"/>
  <c r="AZ142" i="1"/>
  <c r="BA142" i="1"/>
  <c r="BB142" i="1"/>
  <c r="BC142" i="1"/>
  <c r="BD142" i="1"/>
  <c r="BE142" i="1"/>
  <c r="BF142" i="1"/>
  <c r="BG142" i="1"/>
  <c r="BH142" i="1"/>
  <c r="BI142" i="1"/>
  <c r="AY143" i="1"/>
  <c r="AZ143" i="1"/>
  <c r="BA143" i="1"/>
  <c r="BB143" i="1"/>
  <c r="BC143" i="1"/>
  <c r="BD143" i="1"/>
  <c r="BE143" i="1"/>
  <c r="BF143" i="1"/>
  <c r="BG143" i="1"/>
  <c r="BH143" i="1"/>
  <c r="BI143" i="1"/>
  <c r="AY144" i="1"/>
  <c r="AZ144" i="1"/>
  <c r="BA144" i="1"/>
  <c r="BB144" i="1"/>
  <c r="BC144" i="1"/>
  <c r="BD144" i="1"/>
  <c r="BE144" i="1"/>
  <c r="BF144" i="1"/>
  <c r="BG144" i="1"/>
  <c r="BH144" i="1"/>
  <c r="BI144" i="1"/>
  <c r="AY145" i="1"/>
  <c r="AZ145" i="1"/>
  <c r="BA145" i="1"/>
  <c r="BB145" i="1"/>
  <c r="BC145" i="1"/>
  <c r="BD145" i="1"/>
  <c r="BE145" i="1"/>
  <c r="BF145" i="1"/>
  <c r="BG145" i="1"/>
  <c r="BH145" i="1"/>
  <c r="BI145" i="1"/>
  <c r="AY146" i="1"/>
  <c r="AZ146" i="1"/>
  <c r="BA146" i="1"/>
  <c r="BB146" i="1"/>
  <c r="BC146" i="1"/>
  <c r="BD146" i="1"/>
  <c r="BE146" i="1"/>
  <c r="BF146" i="1"/>
  <c r="BG146" i="1"/>
  <c r="BH146" i="1"/>
  <c r="BI146" i="1"/>
  <c r="AY147" i="1"/>
  <c r="AZ147" i="1"/>
  <c r="BA147" i="1"/>
  <c r="BB147" i="1"/>
  <c r="BC147" i="1"/>
  <c r="BD147" i="1"/>
  <c r="BE147" i="1"/>
  <c r="BF147" i="1"/>
  <c r="BG147" i="1"/>
  <c r="BH147" i="1"/>
  <c r="BI147" i="1"/>
  <c r="AY148" i="1"/>
  <c r="BL148" i="1" s="1"/>
  <c r="AZ148" i="1"/>
  <c r="BA148" i="1"/>
  <c r="BB148" i="1"/>
  <c r="BC148" i="1"/>
  <c r="BD148" i="1"/>
  <c r="BE148" i="1"/>
  <c r="BF148" i="1"/>
  <c r="BG148" i="1"/>
  <c r="BH148" i="1"/>
  <c r="BI148" i="1"/>
  <c r="AY149" i="1"/>
  <c r="AZ149" i="1"/>
  <c r="BA149" i="1"/>
  <c r="BB149" i="1"/>
  <c r="BC149" i="1"/>
  <c r="BD149" i="1"/>
  <c r="BE149" i="1"/>
  <c r="BF149" i="1"/>
  <c r="BG149" i="1"/>
  <c r="BH149" i="1"/>
  <c r="BI149" i="1"/>
  <c r="AY150" i="1"/>
  <c r="AZ150" i="1"/>
  <c r="BA150" i="1"/>
  <c r="BB150" i="1"/>
  <c r="BC150" i="1"/>
  <c r="BD150" i="1"/>
  <c r="BE150" i="1"/>
  <c r="BF150" i="1"/>
  <c r="BG150" i="1"/>
  <c r="BH150" i="1"/>
  <c r="BI150" i="1"/>
  <c r="AY151" i="1"/>
  <c r="AZ151" i="1"/>
  <c r="BA151" i="1"/>
  <c r="BB151" i="1"/>
  <c r="BC151" i="1"/>
  <c r="BD151" i="1"/>
  <c r="BE151" i="1"/>
  <c r="BF151" i="1"/>
  <c r="BS151" i="1" s="1"/>
  <c r="BG151" i="1"/>
  <c r="BH151" i="1"/>
  <c r="BI151" i="1"/>
  <c r="AY152" i="1"/>
  <c r="AZ152" i="1"/>
  <c r="BA152" i="1"/>
  <c r="BB152" i="1"/>
  <c r="BC152" i="1"/>
  <c r="BD152" i="1"/>
  <c r="BE152" i="1"/>
  <c r="BF152" i="1"/>
  <c r="BG152" i="1"/>
  <c r="BH152" i="1"/>
  <c r="BI152" i="1"/>
  <c r="AY153" i="1"/>
  <c r="AZ153" i="1"/>
  <c r="BM153" i="1" s="1"/>
  <c r="BA153" i="1"/>
  <c r="BB153" i="1"/>
  <c r="BC153" i="1"/>
  <c r="BD153" i="1"/>
  <c r="BE153" i="1"/>
  <c r="BF153" i="1"/>
  <c r="BG153" i="1"/>
  <c r="BH153" i="1"/>
  <c r="BI153" i="1"/>
  <c r="AY154" i="1"/>
  <c r="AZ154" i="1"/>
  <c r="BA154" i="1"/>
  <c r="BB154" i="1"/>
  <c r="BC154" i="1"/>
  <c r="BD154" i="1"/>
  <c r="BE154" i="1"/>
  <c r="BF154" i="1"/>
  <c r="BG154" i="1"/>
  <c r="BH154" i="1"/>
  <c r="BI154" i="1"/>
  <c r="AY155" i="1"/>
  <c r="AZ155" i="1"/>
  <c r="BA155" i="1"/>
  <c r="BB155" i="1"/>
  <c r="BC155" i="1"/>
  <c r="BD155" i="1"/>
  <c r="BE155" i="1"/>
  <c r="BF155" i="1"/>
  <c r="BG155" i="1"/>
  <c r="BH155" i="1"/>
  <c r="BI155" i="1"/>
  <c r="AY156" i="1"/>
  <c r="AZ156" i="1"/>
  <c r="BA156" i="1"/>
  <c r="BB156" i="1"/>
  <c r="BC156" i="1"/>
  <c r="BD156" i="1"/>
  <c r="BE156" i="1"/>
  <c r="BF156" i="1"/>
  <c r="BG156" i="1"/>
  <c r="BT156" i="1" s="1"/>
  <c r="BH156" i="1"/>
  <c r="BI156" i="1"/>
  <c r="AY157" i="1"/>
  <c r="AZ157" i="1"/>
  <c r="BA157" i="1"/>
  <c r="BB157" i="1"/>
  <c r="BC157" i="1"/>
  <c r="BD157" i="1"/>
  <c r="BE157" i="1"/>
  <c r="BF157" i="1"/>
  <c r="BG157" i="1"/>
  <c r="BH157" i="1"/>
  <c r="BI157" i="1"/>
  <c r="AY158" i="1"/>
  <c r="AZ158" i="1"/>
  <c r="BA158" i="1"/>
  <c r="BB158" i="1"/>
  <c r="BC158" i="1"/>
  <c r="BD158" i="1"/>
  <c r="BE158" i="1"/>
  <c r="BF158" i="1"/>
  <c r="BG158" i="1"/>
  <c r="BH158" i="1"/>
  <c r="BI158" i="1"/>
  <c r="AY159" i="1"/>
  <c r="AZ159" i="1"/>
  <c r="BA159" i="1"/>
  <c r="BB159" i="1"/>
  <c r="BC159" i="1"/>
  <c r="BD159" i="1"/>
  <c r="BE159" i="1"/>
  <c r="BF159" i="1"/>
  <c r="BG159" i="1"/>
  <c r="BH159" i="1"/>
  <c r="BI159" i="1"/>
  <c r="AY160" i="1"/>
  <c r="AZ160" i="1"/>
  <c r="BA160" i="1"/>
  <c r="BB160" i="1"/>
  <c r="BC160" i="1"/>
  <c r="BD160" i="1"/>
  <c r="BE160" i="1"/>
  <c r="BF160" i="1"/>
  <c r="BG160" i="1"/>
  <c r="BH160" i="1"/>
  <c r="BI160" i="1"/>
  <c r="AY161" i="1"/>
  <c r="AZ161" i="1"/>
  <c r="BA161" i="1"/>
  <c r="BB161" i="1"/>
  <c r="BC161" i="1"/>
  <c r="BD161" i="1"/>
  <c r="BE161" i="1"/>
  <c r="BF161" i="1"/>
  <c r="BG161" i="1"/>
  <c r="BH161" i="1"/>
  <c r="BI161" i="1"/>
  <c r="AY162" i="1"/>
  <c r="AZ162" i="1"/>
  <c r="BA162" i="1"/>
  <c r="BB162" i="1"/>
  <c r="BC162" i="1"/>
  <c r="BD162" i="1"/>
  <c r="BE162" i="1"/>
  <c r="BF162" i="1"/>
  <c r="BG162" i="1"/>
  <c r="BH162" i="1"/>
  <c r="BI162" i="1"/>
  <c r="AY163" i="1"/>
  <c r="AZ163" i="1"/>
  <c r="BA163" i="1"/>
  <c r="BB163" i="1"/>
  <c r="BC163" i="1"/>
  <c r="BD163" i="1"/>
  <c r="BE163" i="1"/>
  <c r="BF163" i="1"/>
  <c r="BG163" i="1"/>
  <c r="BH163" i="1"/>
  <c r="BI163" i="1"/>
  <c r="AY164" i="1"/>
  <c r="AZ164" i="1"/>
  <c r="BA164" i="1"/>
  <c r="BB164" i="1"/>
  <c r="BC164" i="1"/>
  <c r="BD164" i="1"/>
  <c r="BE164" i="1"/>
  <c r="BF164" i="1"/>
  <c r="BG164" i="1"/>
  <c r="BH164" i="1"/>
  <c r="BI164" i="1"/>
  <c r="AY165" i="1"/>
  <c r="AZ165" i="1"/>
  <c r="BA165" i="1"/>
  <c r="BB165" i="1"/>
  <c r="BC165" i="1"/>
  <c r="BD165" i="1"/>
  <c r="BQ165" i="1" s="1"/>
  <c r="BE165" i="1"/>
  <c r="BF165" i="1"/>
  <c r="BG165" i="1"/>
  <c r="BH165" i="1"/>
  <c r="BI165" i="1"/>
  <c r="AY166" i="1"/>
  <c r="AZ166" i="1"/>
  <c r="BA166" i="1"/>
  <c r="BB166" i="1"/>
  <c r="BC166" i="1"/>
  <c r="BD166" i="1"/>
  <c r="BE166" i="1"/>
  <c r="BF166" i="1"/>
  <c r="BG166" i="1"/>
  <c r="BH166" i="1"/>
  <c r="BI166" i="1"/>
  <c r="AY167" i="1"/>
  <c r="AZ167" i="1"/>
  <c r="BA167" i="1"/>
  <c r="BB167" i="1"/>
  <c r="BC167" i="1"/>
  <c r="BD167" i="1"/>
  <c r="BE167" i="1"/>
  <c r="BF167" i="1"/>
  <c r="BG167" i="1"/>
  <c r="BH167" i="1"/>
  <c r="BI167" i="1"/>
  <c r="AY168" i="1"/>
  <c r="AZ168" i="1"/>
  <c r="BA168" i="1"/>
  <c r="BB168" i="1"/>
  <c r="BC168" i="1"/>
  <c r="BD168" i="1"/>
  <c r="BE168" i="1"/>
  <c r="BF168" i="1"/>
  <c r="BG168" i="1"/>
  <c r="BH168" i="1"/>
  <c r="BI168" i="1"/>
  <c r="AY169" i="1"/>
  <c r="AZ169" i="1"/>
  <c r="BA169" i="1"/>
  <c r="BB169" i="1"/>
  <c r="BC169" i="1"/>
  <c r="BD169" i="1"/>
  <c r="BE169" i="1"/>
  <c r="BF169" i="1"/>
  <c r="BG169" i="1"/>
  <c r="BH169" i="1"/>
  <c r="BI169" i="1"/>
  <c r="AY170" i="1"/>
  <c r="AZ170" i="1"/>
  <c r="BA170" i="1"/>
  <c r="BB170" i="1"/>
  <c r="BC170" i="1"/>
  <c r="BD170" i="1"/>
  <c r="BE170" i="1"/>
  <c r="BR170" i="1" s="1"/>
  <c r="BF170" i="1"/>
  <c r="BG170" i="1"/>
  <c r="BH170" i="1"/>
  <c r="BI170" i="1"/>
  <c r="AY171" i="1"/>
  <c r="AZ171" i="1"/>
  <c r="BA171" i="1"/>
  <c r="BB171" i="1"/>
  <c r="BC171" i="1"/>
  <c r="BD171" i="1"/>
  <c r="BE171" i="1"/>
  <c r="BF171" i="1"/>
  <c r="BG171" i="1"/>
  <c r="BH171" i="1"/>
  <c r="BI171" i="1"/>
  <c r="AY172" i="1"/>
  <c r="AZ172" i="1"/>
  <c r="BA172" i="1"/>
  <c r="BB172" i="1"/>
  <c r="BC172" i="1"/>
  <c r="BD172" i="1"/>
  <c r="BE172" i="1"/>
  <c r="BF172" i="1"/>
  <c r="BG172" i="1"/>
  <c r="BH172" i="1"/>
  <c r="BI172" i="1"/>
  <c r="AY173" i="1"/>
  <c r="AZ173" i="1"/>
  <c r="BA173" i="1"/>
  <c r="BB173" i="1"/>
  <c r="BC173" i="1"/>
  <c r="BD173" i="1"/>
  <c r="BE173" i="1"/>
  <c r="BF173" i="1"/>
  <c r="BG173" i="1"/>
  <c r="BH173" i="1"/>
  <c r="BI173" i="1"/>
  <c r="AY174" i="1"/>
  <c r="AZ174" i="1"/>
  <c r="BA174" i="1"/>
  <c r="BB174" i="1"/>
  <c r="BC174" i="1"/>
  <c r="BD174" i="1"/>
  <c r="BE174" i="1"/>
  <c r="BF174" i="1"/>
  <c r="BG174" i="1"/>
  <c r="BH174" i="1"/>
  <c r="BI174" i="1"/>
  <c r="AY175" i="1"/>
  <c r="AZ175" i="1"/>
  <c r="BA175" i="1"/>
  <c r="BB175" i="1"/>
  <c r="BC175" i="1"/>
  <c r="BD175" i="1"/>
  <c r="BE175" i="1"/>
  <c r="BF175" i="1"/>
  <c r="BG175" i="1"/>
  <c r="BH175" i="1"/>
  <c r="BI175" i="1"/>
  <c r="AY176" i="1"/>
  <c r="AZ176" i="1"/>
  <c r="BA176" i="1"/>
  <c r="BB176" i="1"/>
  <c r="BC176" i="1"/>
  <c r="BD176" i="1"/>
  <c r="BE176" i="1"/>
  <c r="BF176" i="1"/>
  <c r="BG176" i="1"/>
  <c r="BH176" i="1"/>
  <c r="BI176" i="1"/>
  <c r="AY177" i="1"/>
  <c r="AZ177" i="1"/>
  <c r="BA177" i="1"/>
  <c r="BB177" i="1"/>
  <c r="BC177" i="1"/>
  <c r="BD177" i="1"/>
  <c r="BE177" i="1"/>
  <c r="BF177" i="1"/>
  <c r="BG177" i="1"/>
  <c r="BH177" i="1"/>
  <c r="BI177" i="1"/>
  <c r="AY178" i="1"/>
  <c r="AZ178" i="1"/>
  <c r="BA178" i="1"/>
  <c r="BB178" i="1"/>
  <c r="BC178" i="1"/>
  <c r="BD178" i="1"/>
  <c r="BE178" i="1"/>
  <c r="BF178" i="1"/>
  <c r="BG178" i="1"/>
  <c r="BH178" i="1"/>
  <c r="BI178" i="1"/>
  <c r="AY179" i="1"/>
  <c r="AZ179" i="1"/>
  <c r="BA179" i="1"/>
  <c r="BB179" i="1"/>
  <c r="BC179" i="1"/>
  <c r="BD179" i="1"/>
  <c r="BE179" i="1"/>
  <c r="BF179" i="1"/>
  <c r="BG179" i="1"/>
  <c r="BH179" i="1"/>
  <c r="BI179" i="1"/>
  <c r="AY180" i="1"/>
  <c r="AZ180" i="1"/>
  <c r="BA180" i="1"/>
  <c r="BB180" i="1"/>
  <c r="BC180" i="1"/>
  <c r="BD180" i="1"/>
  <c r="BE180" i="1"/>
  <c r="BF180" i="1"/>
  <c r="BG180" i="1"/>
  <c r="BH180" i="1"/>
  <c r="BI180" i="1"/>
  <c r="AY181" i="1"/>
  <c r="AZ181" i="1"/>
  <c r="BA181" i="1"/>
  <c r="BB181" i="1"/>
  <c r="BC181" i="1"/>
  <c r="BD181" i="1"/>
  <c r="BE181" i="1"/>
  <c r="BF181" i="1"/>
  <c r="BG181" i="1"/>
  <c r="BH181" i="1"/>
  <c r="BI181" i="1"/>
  <c r="AY182" i="1"/>
  <c r="AZ182" i="1"/>
  <c r="BA182" i="1"/>
  <c r="BB182" i="1"/>
  <c r="BC182" i="1"/>
  <c r="BD182" i="1"/>
  <c r="BE182" i="1"/>
  <c r="BF182" i="1"/>
  <c r="BG182" i="1"/>
  <c r="BH182" i="1"/>
  <c r="BI182" i="1"/>
  <c r="BV182" i="1" s="1"/>
  <c r="AY183" i="1"/>
  <c r="AZ183" i="1"/>
  <c r="BA183" i="1"/>
  <c r="BB183" i="1"/>
  <c r="BC183" i="1"/>
  <c r="BD183" i="1"/>
  <c r="BE183" i="1"/>
  <c r="BF183" i="1"/>
  <c r="BG183" i="1"/>
  <c r="BH183" i="1"/>
  <c r="BI183" i="1"/>
  <c r="AY184" i="1"/>
  <c r="AZ184" i="1"/>
  <c r="BA184" i="1"/>
  <c r="BB184" i="1"/>
  <c r="BC184" i="1"/>
  <c r="BP184" i="1" s="1"/>
  <c r="BD184" i="1"/>
  <c r="BE184" i="1"/>
  <c r="BF184" i="1"/>
  <c r="BG184" i="1"/>
  <c r="BH184" i="1"/>
  <c r="BI184" i="1"/>
  <c r="AY185" i="1"/>
  <c r="AZ185" i="1"/>
  <c r="BA185" i="1"/>
  <c r="BB185" i="1"/>
  <c r="BC185" i="1"/>
  <c r="BD185" i="1"/>
  <c r="BE185" i="1"/>
  <c r="BF185" i="1"/>
  <c r="BG185" i="1"/>
  <c r="BH185" i="1"/>
  <c r="BI185" i="1"/>
  <c r="AY186" i="1"/>
  <c r="AZ186" i="1"/>
  <c r="BA186" i="1"/>
  <c r="BB186" i="1"/>
  <c r="BC186" i="1"/>
  <c r="BD186" i="1"/>
  <c r="BE186" i="1"/>
  <c r="BF186" i="1"/>
  <c r="BG186" i="1"/>
  <c r="BH186" i="1"/>
  <c r="BI186" i="1"/>
  <c r="AY187" i="1"/>
  <c r="AZ187" i="1"/>
  <c r="BA187" i="1"/>
  <c r="BB187" i="1"/>
  <c r="BC187" i="1"/>
  <c r="BD187" i="1"/>
  <c r="BE187" i="1"/>
  <c r="BF187" i="1"/>
  <c r="BG187" i="1"/>
  <c r="BH187" i="1"/>
  <c r="BI187" i="1"/>
  <c r="AY188" i="1"/>
  <c r="BL188" i="1" s="1"/>
  <c r="AZ188" i="1"/>
  <c r="BA188" i="1"/>
  <c r="BB188" i="1"/>
  <c r="BC188" i="1"/>
  <c r="BD188" i="1"/>
  <c r="BE188" i="1"/>
  <c r="BF188" i="1"/>
  <c r="BG188" i="1"/>
  <c r="BH188" i="1"/>
  <c r="BI188" i="1"/>
  <c r="AY189" i="1"/>
  <c r="AZ189" i="1"/>
  <c r="BA189" i="1"/>
  <c r="BB189" i="1"/>
  <c r="BC189" i="1"/>
  <c r="BD189" i="1"/>
  <c r="BE189" i="1"/>
  <c r="BF189" i="1"/>
  <c r="BG189" i="1"/>
  <c r="BH189" i="1"/>
  <c r="BI189" i="1"/>
  <c r="AY190" i="1"/>
  <c r="AZ190" i="1"/>
  <c r="BA190" i="1"/>
  <c r="BB190" i="1"/>
  <c r="BC190" i="1"/>
  <c r="BD190" i="1"/>
  <c r="BE190" i="1"/>
  <c r="BF190" i="1"/>
  <c r="BG190" i="1"/>
  <c r="BH190" i="1"/>
  <c r="BI190" i="1"/>
  <c r="AY191" i="1"/>
  <c r="AZ191" i="1"/>
  <c r="BA191" i="1"/>
  <c r="BB191" i="1"/>
  <c r="BC191" i="1"/>
  <c r="BD191" i="1"/>
  <c r="BE191" i="1"/>
  <c r="BF191" i="1"/>
  <c r="BG191" i="1"/>
  <c r="BH191" i="1"/>
  <c r="BI191" i="1"/>
  <c r="AY192" i="1"/>
  <c r="AZ192" i="1"/>
  <c r="BA192" i="1"/>
  <c r="BB192" i="1"/>
  <c r="BC192" i="1"/>
  <c r="BD192" i="1"/>
  <c r="BE192" i="1"/>
  <c r="BF192" i="1"/>
  <c r="BG192" i="1"/>
  <c r="BH192" i="1"/>
  <c r="BI192" i="1"/>
  <c r="AY193" i="1"/>
  <c r="AZ193" i="1"/>
  <c r="BA193" i="1"/>
  <c r="BB193" i="1"/>
  <c r="BC193" i="1"/>
  <c r="BD193" i="1"/>
  <c r="BE193" i="1"/>
  <c r="BF193" i="1"/>
  <c r="BG193" i="1"/>
  <c r="BH193" i="1"/>
  <c r="BI193" i="1"/>
  <c r="AY194" i="1"/>
  <c r="AZ194" i="1"/>
  <c r="BA194" i="1"/>
  <c r="BB194" i="1"/>
  <c r="BC194" i="1"/>
  <c r="BD194" i="1"/>
  <c r="BE194" i="1"/>
  <c r="BR194" i="1" s="1"/>
  <c r="BF194" i="1"/>
  <c r="BG194" i="1"/>
  <c r="BH194" i="1"/>
  <c r="BI194" i="1"/>
  <c r="AY195" i="1"/>
  <c r="AZ195" i="1"/>
  <c r="BA195" i="1"/>
  <c r="BB195" i="1"/>
  <c r="BC195" i="1"/>
  <c r="BD195" i="1"/>
  <c r="BE195" i="1"/>
  <c r="BF195" i="1"/>
  <c r="BG195" i="1"/>
  <c r="BH195" i="1"/>
  <c r="BI195" i="1"/>
  <c r="AY196" i="1"/>
  <c r="AZ196" i="1"/>
  <c r="BA196" i="1"/>
  <c r="BB196" i="1"/>
  <c r="BC196" i="1"/>
  <c r="BD196" i="1"/>
  <c r="BE196" i="1"/>
  <c r="BF196" i="1"/>
  <c r="BG196" i="1"/>
  <c r="BH196" i="1"/>
  <c r="BI196" i="1"/>
  <c r="AY197" i="1"/>
  <c r="AZ197" i="1"/>
  <c r="BA197" i="1"/>
  <c r="BB197" i="1"/>
  <c r="BC197" i="1"/>
  <c r="BD197" i="1"/>
  <c r="BE197" i="1"/>
  <c r="BF197" i="1"/>
  <c r="BG197" i="1"/>
  <c r="BH197" i="1"/>
  <c r="BI197" i="1"/>
  <c r="AY198" i="1"/>
  <c r="AZ198" i="1"/>
  <c r="BA198" i="1"/>
  <c r="BB198" i="1"/>
  <c r="BC198" i="1"/>
  <c r="BD198" i="1"/>
  <c r="BE198" i="1"/>
  <c r="BF198" i="1"/>
  <c r="BG198" i="1"/>
  <c r="BH198" i="1"/>
  <c r="BI198" i="1"/>
  <c r="AY199" i="1"/>
  <c r="AZ199" i="1"/>
  <c r="BA199" i="1"/>
  <c r="BB199" i="1"/>
  <c r="BC199" i="1"/>
  <c r="BD199" i="1"/>
  <c r="BE199" i="1"/>
  <c r="BF199" i="1"/>
  <c r="BG199" i="1"/>
  <c r="BH199" i="1"/>
  <c r="BI199" i="1"/>
  <c r="AY200" i="1"/>
  <c r="AZ200" i="1"/>
  <c r="BA200" i="1"/>
  <c r="BB200" i="1"/>
  <c r="BC200" i="1"/>
  <c r="BD200" i="1"/>
  <c r="BE200" i="1"/>
  <c r="BF200" i="1"/>
  <c r="BG200" i="1"/>
  <c r="BH200" i="1"/>
  <c r="BI200" i="1"/>
  <c r="AY201" i="1"/>
  <c r="AZ201" i="1"/>
  <c r="BM201" i="1" s="1"/>
  <c r="BA201" i="1"/>
  <c r="BN201" i="1" s="1"/>
  <c r="BB201" i="1"/>
  <c r="BC201" i="1"/>
  <c r="BD201" i="1"/>
  <c r="BE201" i="1"/>
  <c r="BF201" i="1"/>
  <c r="BG201" i="1"/>
  <c r="BH201" i="1"/>
  <c r="BI201" i="1"/>
  <c r="AY202" i="1"/>
  <c r="AZ202" i="1"/>
  <c r="BA202" i="1"/>
  <c r="BB202" i="1"/>
  <c r="BC202" i="1"/>
  <c r="BD202" i="1"/>
  <c r="BE202" i="1"/>
  <c r="BF202" i="1"/>
  <c r="BG202" i="1"/>
  <c r="BH202" i="1"/>
  <c r="BI202" i="1"/>
  <c r="AY203" i="1"/>
  <c r="AZ203" i="1"/>
  <c r="BA203" i="1"/>
  <c r="BB203" i="1"/>
  <c r="BC203" i="1"/>
  <c r="BD203" i="1"/>
  <c r="BE203" i="1"/>
  <c r="BF203" i="1"/>
  <c r="BG203" i="1"/>
  <c r="BH203" i="1"/>
  <c r="BI203" i="1"/>
  <c r="AY204" i="1"/>
  <c r="BL204" i="1" s="1"/>
  <c r="AZ204" i="1"/>
  <c r="BM204" i="1" s="1"/>
  <c r="BA204" i="1"/>
  <c r="BB204" i="1"/>
  <c r="BC204" i="1"/>
  <c r="BD204" i="1"/>
  <c r="BE204" i="1"/>
  <c r="BF204" i="1"/>
  <c r="BG204" i="1"/>
  <c r="BH204" i="1"/>
  <c r="BI204" i="1"/>
  <c r="AY205" i="1"/>
  <c r="AZ205" i="1"/>
  <c r="BA205" i="1"/>
  <c r="BB205" i="1"/>
  <c r="BC205" i="1"/>
  <c r="BD205" i="1"/>
  <c r="BE205" i="1"/>
  <c r="BF205" i="1"/>
  <c r="BG205" i="1"/>
  <c r="BH205" i="1"/>
  <c r="BI205" i="1"/>
  <c r="AY206" i="1"/>
  <c r="AZ206" i="1"/>
  <c r="BA206" i="1"/>
  <c r="BB206" i="1"/>
  <c r="BC206" i="1"/>
  <c r="BD206" i="1"/>
  <c r="BE206" i="1"/>
  <c r="BF206" i="1"/>
  <c r="BG206" i="1"/>
  <c r="BH206" i="1"/>
  <c r="BI206" i="1"/>
  <c r="AY207" i="1"/>
  <c r="AZ207" i="1"/>
  <c r="BA207" i="1"/>
  <c r="BB207" i="1"/>
  <c r="BC207" i="1"/>
  <c r="BD207" i="1"/>
  <c r="BE207" i="1"/>
  <c r="BF207" i="1"/>
  <c r="BG207" i="1"/>
  <c r="BH207" i="1"/>
  <c r="BI207" i="1"/>
  <c r="AY208" i="1"/>
  <c r="AZ208" i="1"/>
  <c r="BA208" i="1"/>
  <c r="BB208" i="1"/>
  <c r="BC208" i="1"/>
  <c r="BP208" i="1" s="1"/>
  <c r="BD208" i="1"/>
  <c r="BQ208" i="1" s="1"/>
  <c r="BE208" i="1"/>
  <c r="BR208" i="1" s="1"/>
  <c r="BF208" i="1"/>
  <c r="BG208" i="1"/>
  <c r="BH208" i="1"/>
  <c r="BI208" i="1"/>
  <c r="AY209" i="1"/>
  <c r="AZ209" i="1"/>
  <c r="BA209" i="1"/>
  <c r="BN209" i="1" s="1"/>
  <c r="BB209" i="1"/>
  <c r="BO209" i="1" s="1"/>
  <c r="BC209" i="1"/>
  <c r="BP209" i="1" s="1"/>
  <c r="BD209" i="1"/>
  <c r="BE209" i="1"/>
  <c r="BF209" i="1"/>
  <c r="BG209" i="1"/>
  <c r="BH209" i="1"/>
  <c r="BI209" i="1"/>
  <c r="AY210" i="1"/>
  <c r="AZ210" i="1"/>
  <c r="BA210" i="1"/>
  <c r="BB210" i="1"/>
  <c r="BC210" i="1"/>
  <c r="BD210" i="1"/>
  <c r="BE210" i="1"/>
  <c r="BF210" i="1"/>
  <c r="BG210" i="1"/>
  <c r="BH210" i="1"/>
  <c r="BI210" i="1"/>
  <c r="AY211" i="1"/>
  <c r="AZ211" i="1"/>
  <c r="BA211" i="1"/>
  <c r="BB211" i="1"/>
  <c r="BC211" i="1"/>
  <c r="BD211" i="1"/>
  <c r="BE211" i="1"/>
  <c r="BF211" i="1"/>
  <c r="BG211" i="1"/>
  <c r="BH211" i="1"/>
  <c r="BI211" i="1"/>
  <c r="AY212" i="1"/>
  <c r="AZ212" i="1"/>
  <c r="BA212" i="1"/>
  <c r="BB212" i="1"/>
  <c r="BC212" i="1"/>
  <c r="BD212" i="1"/>
  <c r="BE212" i="1"/>
  <c r="BF212" i="1"/>
  <c r="BG212" i="1"/>
  <c r="BH212" i="1"/>
  <c r="BI212" i="1"/>
  <c r="AY213" i="1"/>
  <c r="AZ213" i="1"/>
  <c r="BA213" i="1"/>
  <c r="BB213" i="1"/>
  <c r="BC213" i="1"/>
  <c r="BD213" i="1"/>
  <c r="BQ213" i="1" s="1"/>
  <c r="BE213" i="1"/>
  <c r="BR213" i="1" s="1"/>
  <c r="BF213" i="1"/>
  <c r="BS213" i="1" s="1"/>
  <c r="BG213" i="1"/>
  <c r="BH213" i="1"/>
  <c r="BI213" i="1"/>
  <c r="AY214" i="1"/>
  <c r="AZ214" i="1"/>
  <c r="BA214" i="1"/>
  <c r="BB214" i="1"/>
  <c r="BC214" i="1"/>
  <c r="BD214" i="1"/>
  <c r="BE214" i="1"/>
  <c r="BF214" i="1"/>
  <c r="BG214" i="1"/>
  <c r="BH214" i="1"/>
  <c r="BI214" i="1"/>
  <c r="AY215" i="1"/>
  <c r="AZ215" i="1"/>
  <c r="BA215" i="1"/>
  <c r="BB215" i="1"/>
  <c r="BC215" i="1"/>
  <c r="BD215" i="1"/>
  <c r="BE215" i="1"/>
  <c r="BF215" i="1"/>
  <c r="BG215" i="1"/>
  <c r="BH215" i="1"/>
  <c r="BI215" i="1"/>
  <c r="AY216" i="1"/>
  <c r="AZ216" i="1"/>
  <c r="BA216" i="1"/>
  <c r="BB216" i="1"/>
  <c r="BC216" i="1"/>
  <c r="BP216" i="1" s="1"/>
  <c r="BD216" i="1"/>
  <c r="BQ216" i="1" s="1"/>
  <c r="BE216" i="1"/>
  <c r="BF216" i="1"/>
  <c r="BG216" i="1"/>
  <c r="BH216" i="1"/>
  <c r="BI216" i="1"/>
  <c r="AY217" i="1"/>
  <c r="AZ217" i="1"/>
  <c r="BA217" i="1"/>
  <c r="BB217" i="1"/>
  <c r="BC217" i="1"/>
  <c r="BD217" i="1"/>
  <c r="BE217" i="1"/>
  <c r="BF217" i="1"/>
  <c r="BG217" i="1"/>
  <c r="BH217" i="1"/>
  <c r="BU217" i="1" s="1"/>
  <c r="BI217" i="1"/>
  <c r="AY218" i="1"/>
  <c r="AZ218" i="1"/>
  <c r="BA218" i="1"/>
  <c r="BB218" i="1"/>
  <c r="BC218" i="1"/>
  <c r="BD218" i="1"/>
  <c r="BE218" i="1"/>
  <c r="BF218" i="1"/>
  <c r="BG218" i="1"/>
  <c r="BH218" i="1"/>
  <c r="BI218" i="1"/>
  <c r="AY219" i="1"/>
  <c r="AZ219" i="1"/>
  <c r="BA219" i="1"/>
  <c r="BB219" i="1"/>
  <c r="BC219" i="1"/>
  <c r="BD219" i="1"/>
  <c r="BE219" i="1"/>
  <c r="BF219" i="1"/>
  <c r="BG219" i="1"/>
  <c r="BH219" i="1"/>
  <c r="BI219" i="1"/>
  <c r="AY220" i="1"/>
  <c r="AZ220" i="1"/>
  <c r="BA220" i="1"/>
  <c r="BB220" i="1"/>
  <c r="BC220" i="1"/>
  <c r="BD220" i="1"/>
  <c r="BE220" i="1"/>
  <c r="BF220" i="1"/>
  <c r="BG220" i="1"/>
  <c r="BT220" i="1" s="1"/>
  <c r="BH220" i="1"/>
  <c r="BU220" i="1" s="1"/>
  <c r="BI220" i="1"/>
  <c r="AY221" i="1"/>
  <c r="AZ221" i="1"/>
  <c r="BA221" i="1"/>
  <c r="BB221" i="1"/>
  <c r="BC221" i="1"/>
  <c r="BD221" i="1"/>
  <c r="BE221" i="1"/>
  <c r="BF221" i="1"/>
  <c r="BG221" i="1"/>
  <c r="BH221" i="1"/>
  <c r="BI221" i="1"/>
  <c r="AY222" i="1"/>
  <c r="AZ222" i="1"/>
  <c r="BA222" i="1"/>
  <c r="BB222" i="1"/>
  <c r="BC222" i="1"/>
  <c r="BD222" i="1"/>
  <c r="BE222" i="1"/>
  <c r="BF222" i="1"/>
  <c r="BG222" i="1"/>
  <c r="BH222" i="1"/>
  <c r="BI222" i="1"/>
  <c r="AY223" i="1"/>
  <c r="AZ223" i="1"/>
  <c r="BA223" i="1"/>
  <c r="BB223" i="1"/>
  <c r="BC223" i="1"/>
  <c r="BD223" i="1"/>
  <c r="BE223" i="1"/>
  <c r="BF223" i="1"/>
  <c r="BS223" i="1" s="1"/>
  <c r="BG223" i="1"/>
  <c r="BT223" i="1" s="1"/>
  <c r="BH223" i="1"/>
  <c r="BI223" i="1"/>
  <c r="AY224" i="1"/>
  <c r="AZ224" i="1"/>
  <c r="BA224" i="1"/>
  <c r="BB224" i="1"/>
  <c r="BC224" i="1"/>
  <c r="BD224" i="1"/>
  <c r="BE224" i="1"/>
  <c r="BF224" i="1"/>
  <c r="BG224" i="1"/>
  <c r="BH224" i="1"/>
  <c r="BI224" i="1"/>
  <c r="AY225" i="1"/>
  <c r="AZ225" i="1"/>
  <c r="BM225" i="1" s="1"/>
  <c r="BA225" i="1"/>
  <c r="BN225" i="1" s="1"/>
  <c r="BB225" i="1"/>
  <c r="BC225" i="1"/>
  <c r="BD225" i="1"/>
  <c r="BE225" i="1"/>
  <c r="BF225" i="1"/>
  <c r="BG225" i="1"/>
  <c r="BH225" i="1"/>
  <c r="BI225" i="1"/>
  <c r="BV225" i="1" s="1"/>
  <c r="AY226" i="1"/>
  <c r="BL226" i="1" s="1"/>
  <c r="AZ226" i="1"/>
  <c r="BM226" i="1" s="1"/>
  <c r="BA226" i="1"/>
  <c r="BB226" i="1"/>
  <c r="BC226" i="1"/>
  <c r="BD226" i="1"/>
  <c r="BE226" i="1"/>
  <c r="BF226" i="1"/>
  <c r="BG226" i="1"/>
  <c r="BT226" i="1" s="1"/>
  <c r="BH226" i="1"/>
  <c r="BU226" i="1" s="1"/>
  <c r="BI226" i="1"/>
  <c r="AY227" i="1"/>
  <c r="AZ227" i="1"/>
  <c r="BA227" i="1"/>
  <c r="BB227" i="1"/>
  <c r="BC227" i="1"/>
  <c r="BD227" i="1"/>
  <c r="BE227" i="1"/>
  <c r="BF227" i="1"/>
  <c r="BG227" i="1"/>
  <c r="BH227" i="1"/>
  <c r="BI227" i="1"/>
  <c r="AY228" i="1"/>
  <c r="BL228" i="1" s="1"/>
  <c r="AZ228" i="1"/>
  <c r="BA228" i="1"/>
  <c r="BB228" i="1"/>
  <c r="BC228" i="1"/>
  <c r="BD228" i="1"/>
  <c r="BE228" i="1"/>
  <c r="BF228" i="1"/>
  <c r="BG228" i="1"/>
  <c r="BH228" i="1"/>
  <c r="BI228" i="1"/>
  <c r="AY229" i="1"/>
  <c r="AZ229" i="1"/>
  <c r="BA229" i="1"/>
  <c r="BB229" i="1"/>
  <c r="BC229" i="1"/>
  <c r="BD229" i="1"/>
  <c r="BE229" i="1"/>
  <c r="BF229" i="1"/>
  <c r="BG229" i="1"/>
  <c r="BH229" i="1"/>
  <c r="BI229" i="1"/>
  <c r="AY230" i="1"/>
  <c r="AZ230" i="1"/>
  <c r="BA230" i="1"/>
  <c r="BB230" i="1"/>
  <c r="BC230" i="1"/>
  <c r="BD230" i="1"/>
  <c r="BE230" i="1"/>
  <c r="BF230" i="1"/>
  <c r="BG230" i="1"/>
  <c r="BH230" i="1"/>
  <c r="BI230" i="1"/>
  <c r="BV230" i="1" s="1"/>
  <c r="AY231" i="1"/>
  <c r="BL231" i="1" s="1"/>
  <c r="AZ231" i="1"/>
  <c r="BM231" i="1" s="1"/>
  <c r="BA231" i="1"/>
  <c r="BB231" i="1"/>
  <c r="BC231" i="1"/>
  <c r="BD231" i="1"/>
  <c r="BE231" i="1"/>
  <c r="BF231" i="1"/>
  <c r="BG231" i="1"/>
  <c r="BH231" i="1"/>
  <c r="BI231" i="1"/>
  <c r="AY232" i="1"/>
  <c r="AZ232" i="1"/>
  <c r="BA232" i="1"/>
  <c r="BB232" i="1"/>
  <c r="BC232" i="1"/>
  <c r="BD232" i="1"/>
  <c r="BE232" i="1"/>
  <c r="BF232" i="1"/>
  <c r="BG232" i="1"/>
  <c r="BH232" i="1"/>
  <c r="BI232" i="1"/>
  <c r="AY233" i="1"/>
  <c r="AZ233" i="1"/>
  <c r="BA233" i="1"/>
  <c r="BB233" i="1"/>
  <c r="BC233" i="1"/>
  <c r="BD233" i="1"/>
  <c r="BE233" i="1"/>
  <c r="BF233" i="1"/>
  <c r="BG233" i="1"/>
  <c r="BH233" i="1"/>
  <c r="BU233" i="1" s="1"/>
  <c r="BI233" i="1"/>
  <c r="BV233" i="1" s="1"/>
  <c r="AY234" i="1"/>
  <c r="AZ234" i="1"/>
  <c r="BA234" i="1"/>
  <c r="BB234" i="1"/>
  <c r="BC234" i="1"/>
  <c r="BD234" i="1"/>
  <c r="BE234" i="1"/>
  <c r="BF234" i="1"/>
  <c r="BG234" i="1"/>
  <c r="BH234" i="1"/>
  <c r="BI234" i="1"/>
  <c r="AY235" i="1"/>
  <c r="AZ235" i="1"/>
  <c r="BA235" i="1"/>
  <c r="BB235" i="1"/>
  <c r="BO235" i="1" s="1"/>
  <c r="BC235" i="1"/>
  <c r="BP235" i="1" s="1"/>
  <c r="BD235" i="1"/>
  <c r="BE235" i="1"/>
  <c r="BF235" i="1"/>
  <c r="BG235" i="1"/>
  <c r="BH235" i="1"/>
  <c r="BI235" i="1"/>
  <c r="AY236" i="1"/>
  <c r="AZ236" i="1"/>
  <c r="BA236" i="1"/>
  <c r="BB236" i="1"/>
  <c r="BC236" i="1"/>
  <c r="BD236" i="1"/>
  <c r="BE236" i="1"/>
  <c r="BF236" i="1"/>
  <c r="BG236" i="1"/>
  <c r="BH236" i="1"/>
  <c r="BI236" i="1"/>
  <c r="AY237" i="1"/>
  <c r="AZ237" i="1"/>
  <c r="BA237" i="1"/>
  <c r="BB237" i="1"/>
  <c r="BC237" i="1"/>
  <c r="BD237" i="1"/>
  <c r="BE237" i="1"/>
  <c r="BF237" i="1"/>
  <c r="BG237" i="1"/>
  <c r="BT237" i="1" s="1"/>
  <c r="BH237" i="1"/>
  <c r="BI237" i="1"/>
  <c r="AZ138" i="1"/>
  <c r="BA138" i="1"/>
  <c r="BB138" i="1"/>
  <c r="BO138" i="1" s="1"/>
  <c r="BC138" i="1"/>
  <c r="BP138" i="1" s="1"/>
  <c r="BD138" i="1"/>
  <c r="BE138" i="1"/>
  <c r="BF138" i="1"/>
  <c r="BG138" i="1"/>
  <c r="BH138" i="1"/>
  <c r="BI138" i="1"/>
  <c r="AY138" i="1"/>
  <c r="AL237" i="1"/>
  <c r="AM237" i="1"/>
  <c r="AN237" i="1"/>
  <c r="AO237" i="1"/>
  <c r="AP237" i="1"/>
  <c r="BP237" i="1" s="1"/>
  <c r="AQ237" i="1"/>
  <c r="AR237" i="1"/>
  <c r="AS237" i="1"/>
  <c r="AT237" i="1"/>
  <c r="AU237" i="1"/>
  <c r="AV237" i="1"/>
  <c r="AL139" i="1"/>
  <c r="AM139" i="1"/>
  <c r="AN139" i="1"/>
  <c r="AO139" i="1"/>
  <c r="AP139" i="1"/>
  <c r="AQ139" i="1"/>
  <c r="AR139" i="1"/>
  <c r="AS139" i="1"/>
  <c r="AT139" i="1"/>
  <c r="AU139" i="1"/>
  <c r="AV139" i="1"/>
  <c r="AL140" i="1"/>
  <c r="AM140" i="1"/>
  <c r="AN140" i="1"/>
  <c r="AO140" i="1"/>
  <c r="AP140" i="1"/>
  <c r="AQ140" i="1"/>
  <c r="AR140" i="1"/>
  <c r="AS140" i="1"/>
  <c r="AT140" i="1"/>
  <c r="AU140" i="1"/>
  <c r="AV140" i="1"/>
  <c r="AL141" i="1"/>
  <c r="AM141" i="1"/>
  <c r="AN141" i="1"/>
  <c r="AO141" i="1"/>
  <c r="AP141" i="1"/>
  <c r="AQ141" i="1"/>
  <c r="AR141" i="1"/>
  <c r="AS141" i="1"/>
  <c r="AT141" i="1"/>
  <c r="AU141" i="1"/>
  <c r="AV141" i="1"/>
  <c r="AL142" i="1"/>
  <c r="AM142" i="1"/>
  <c r="AN142" i="1"/>
  <c r="AO142" i="1"/>
  <c r="AP142" i="1"/>
  <c r="AQ142" i="1"/>
  <c r="AR142" i="1"/>
  <c r="AS142" i="1"/>
  <c r="AT142" i="1"/>
  <c r="AU142" i="1"/>
  <c r="AV142" i="1"/>
  <c r="AL143" i="1"/>
  <c r="AM143" i="1"/>
  <c r="AN143" i="1"/>
  <c r="AO143" i="1"/>
  <c r="AP143" i="1"/>
  <c r="AQ143" i="1"/>
  <c r="AR143" i="1"/>
  <c r="AS143" i="1"/>
  <c r="AT143" i="1"/>
  <c r="AU143" i="1"/>
  <c r="AV143" i="1"/>
  <c r="AL144" i="1"/>
  <c r="AM144" i="1"/>
  <c r="AN144" i="1"/>
  <c r="AO144" i="1"/>
  <c r="AP144" i="1"/>
  <c r="AQ144" i="1"/>
  <c r="AR144" i="1"/>
  <c r="AS144" i="1"/>
  <c r="AT144" i="1"/>
  <c r="AU144" i="1"/>
  <c r="AV144" i="1"/>
  <c r="AL145" i="1"/>
  <c r="AM145" i="1"/>
  <c r="AN145" i="1"/>
  <c r="AO145" i="1"/>
  <c r="AP145" i="1"/>
  <c r="AQ145" i="1"/>
  <c r="AR145" i="1"/>
  <c r="AS145" i="1"/>
  <c r="AT145" i="1"/>
  <c r="AU145" i="1"/>
  <c r="AV145" i="1"/>
  <c r="AL146" i="1"/>
  <c r="AM146" i="1"/>
  <c r="AN146" i="1"/>
  <c r="AO146" i="1"/>
  <c r="AP146" i="1"/>
  <c r="AQ146" i="1"/>
  <c r="AR146" i="1"/>
  <c r="AS146" i="1"/>
  <c r="AT146" i="1"/>
  <c r="AU146" i="1"/>
  <c r="AV146" i="1"/>
  <c r="AL147" i="1"/>
  <c r="AM147" i="1"/>
  <c r="AN147" i="1"/>
  <c r="AO147" i="1"/>
  <c r="AP147" i="1"/>
  <c r="AQ147" i="1"/>
  <c r="AR147" i="1"/>
  <c r="AS147" i="1"/>
  <c r="AT147" i="1"/>
  <c r="AU147" i="1"/>
  <c r="AV147" i="1"/>
  <c r="AL148" i="1"/>
  <c r="AM148" i="1"/>
  <c r="AN148" i="1"/>
  <c r="AO148" i="1"/>
  <c r="AP148" i="1"/>
  <c r="AQ148" i="1"/>
  <c r="AR148" i="1"/>
  <c r="AS148" i="1"/>
  <c r="AT148" i="1"/>
  <c r="AU148" i="1"/>
  <c r="AV148" i="1"/>
  <c r="AL149" i="1"/>
  <c r="AM149" i="1"/>
  <c r="AN149" i="1"/>
  <c r="AO149" i="1"/>
  <c r="AP149" i="1"/>
  <c r="AQ149" i="1"/>
  <c r="AR149" i="1"/>
  <c r="AS149" i="1"/>
  <c r="AT149" i="1"/>
  <c r="AU149" i="1"/>
  <c r="AV149" i="1"/>
  <c r="AL150" i="1"/>
  <c r="AM150" i="1"/>
  <c r="AN150" i="1"/>
  <c r="AO150" i="1"/>
  <c r="AP150" i="1"/>
  <c r="AQ150" i="1"/>
  <c r="AR150" i="1"/>
  <c r="AS150" i="1"/>
  <c r="AT150" i="1"/>
  <c r="AU150" i="1"/>
  <c r="AV150" i="1"/>
  <c r="AL151" i="1"/>
  <c r="AM151" i="1"/>
  <c r="AN151" i="1"/>
  <c r="AO151" i="1"/>
  <c r="AP151" i="1"/>
  <c r="AQ151" i="1"/>
  <c r="AR151" i="1"/>
  <c r="AS151" i="1"/>
  <c r="AT151" i="1"/>
  <c r="AU151" i="1"/>
  <c r="AV151" i="1"/>
  <c r="AL152" i="1"/>
  <c r="AM152" i="1"/>
  <c r="AN152" i="1"/>
  <c r="AO152" i="1"/>
  <c r="AP152" i="1"/>
  <c r="AQ152" i="1"/>
  <c r="AR152" i="1"/>
  <c r="AS152" i="1"/>
  <c r="AT152" i="1"/>
  <c r="AU152" i="1"/>
  <c r="AV152" i="1"/>
  <c r="AL153" i="1"/>
  <c r="AM153" i="1"/>
  <c r="AN153" i="1"/>
  <c r="AO153" i="1"/>
  <c r="AP153" i="1"/>
  <c r="AQ153" i="1"/>
  <c r="AR153" i="1"/>
  <c r="AS153" i="1"/>
  <c r="AT153" i="1"/>
  <c r="AU153" i="1"/>
  <c r="AV153" i="1"/>
  <c r="AL154" i="1"/>
  <c r="AM154" i="1"/>
  <c r="AN154" i="1"/>
  <c r="AO154" i="1"/>
  <c r="AP154" i="1"/>
  <c r="AQ154" i="1"/>
  <c r="AR154" i="1"/>
  <c r="AS154" i="1"/>
  <c r="AT154" i="1"/>
  <c r="AU154" i="1"/>
  <c r="AV154" i="1"/>
  <c r="AL155" i="1"/>
  <c r="AM155" i="1"/>
  <c r="AN155" i="1"/>
  <c r="AO155" i="1"/>
  <c r="AP155" i="1"/>
  <c r="AQ155" i="1"/>
  <c r="AR155" i="1"/>
  <c r="AS155" i="1"/>
  <c r="AT155" i="1"/>
  <c r="AU155" i="1"/>
  <c r="AV155" i="1"/>
  <c r="AL156" i="1"/>
  <c r="AM156" i="1"/>
  <c r="AN156" i="1"/>
  <c r="AO156" i="1"/>
  <c r="AP156" i="1"/>
  <c r="AQ156" i="1"/>
  <c r="AR156" i="1"/>
  <c r="AS156" i="1"/>
  <c r="AT156" i="1"/>
  <c r="AU156" i="1"/>
  <c r="AV156" i="1"/>
  <c r="AL157" i="1"/>
  <c r="AM157" i="1"/>
  <c r="AN157" i="1"/>
  <c r="AO157" i="1"/>
  <c r="AP157" i="1"/>
  <c r="AQ157" i="1"/>
  <c r="AR157" i="1"/>
  <c r="AS157" i="1"/>
  <c r="AT157" i="1"/>
  <c r="AU157" i="1"/>
  <c r="AV157" i="1"/>
  <c r="AL158" i="1"/>
  <c r="AM158" i="1"/>
  <c r="AN158" i="1"/>
  <c r="AO158" i="1"/>
  <c r="AP158" i="1"/>
  <c r="AQ158" i="1"/>
  <c r="AR158" i="1"/>
  <c r="AS158" i="1"/>
  <c r="AT158" i="1"/>
  <c r="AU158" i="1"/>
  <c r="AV158" i="1"/>
  <c r="AL159" i="1"/>
  <c r="AM159" i="1"/>
  <c r="AN159" i="1"/>
  <c r="AO159" i="1"/>
  <c r="AP159" i="1"/>
  <c r="AQ159" i="1"/>
  <c r="AR159" i="1"/>
  <c r="AS159" i="1"/>
  <c r="AT159" i="1"/>
  <c r="AU159" i="1"/>
  <c r="AV159" i="1"/>
  <c r="AL160" i="1"/>
  <c r="AM160" i="1"/>
  <c r="AN160" i="1"/>
  <c r="AO160" i="1"/>
  <c r="AP160" i="1"/>
  <c r="AQ160" i="1"/>
  <c r="AR160" i="1"/>
  <c r="AS160" i="1"/>
  <c r="AT160" i="1"/>
  <c r="AU160" i="1"/>
  <c r="AV160" i="1"/>
  <c r="AL161" i="1"/>
  <c r="AM161" i="1"/>
  <c r="AN161" i="1"/>
  <c r="AO161" i="1"/>
  <c r="AP161" i="1"/>
  <c r="AQ161" i="1"/>
  <c r="AR161" i="1"/>
  <c r="AS161" i="1"/>
  <c r="AT161" i="1"/>
  <c r="AU161" i="1"/>
  <c r="AV161" i="1"/>
  <c r="AL162" i="1"/>
  <c r="AM162" i="1"/>
  <c r="AN162" i="1"/>
  <c r="AO162" i="1"/>
  <c r="AP162" i="1"/>
  <c r="AQ162" i="1"/>
  <c r="AR162" i="1"/>
  <c r="AS162" i="1"/>
  <c r="AT162" i="1"/>
  <c r="AU162" i="1"/>
  <c r="AV162" i="1"/>
  <c r="AL163" i="1"/>
  <c r="AM163" i="1"/>
  <c r="AN163" i="1"/>
  <c r="AO163" i="1"/>
  <c r="AP163" i="1"/>
  <c r="AQ163" i="1"/>
  <c r="AR163" i="1"/>
  <c r="AS163" i="1"/>
  <c r="AT163" i="1"/>
  <c r="AU163" i="1"/>
  <c r="AV163" i="1"/>
  <c r="AL164" i="1"/>
  <c r="AM164" i="1"/>
  <c r="AN164" i="1"/>
  <c r="AO164" i="1"/>
  <c r="AP164" i="1"/>
  <c r="AQ164" i="1"/>
  <c r="AR164" i="1"/>
  <c r="AS164" i="1"/>
  <c r="AT164" i="1"/>
  <c r="AU164" i="1"/>
  <c r="AV164" i="1"/>
  <c r="AL165" i="1"/>
  <c r="AM165" i="1"/>
  <c r="AN165" i="1"/>
  <c r="AO165" i="1"/>
  <c r="AP165" i="1"/>
  <c r="AQ165" i="1"/>
  <c r="AR165" i="1"/>
  <c r="AS165" i="1"/>
  <c r="AT165" i="1"/>
  <c r="AU165" i="1"/>
  <c r="AV165" i="1"/>
  <c r="AL166" i="1"/>
  <c r="AM166" i="1"/>
  <c r="AN166" i="1"/>
  <c r="AO166" i="1"/>
  <c r="AP166" i="1"/>
  <c r="AQ166" i="1"/>
  <c r="AR166" i="1"/>
  <c r="AS166" i="1"/>
  <c r="AT166" i="1"/>
  <c r="AU166" i="1"/>
  <c r="AV166" i="1"/>
  <c r="AL167" i="1"/>
  <c r="AM167" i="1"/>
  <c r="AN167" i="1"/>
  <c r="AO167" i="1"/>
  <c r="AP167" i="1"/>
  <c r="AQ167" i="1"/>
  <c r="AR167" i="1"/>
  <c r="AS167" i="1"/>
  <c r="AT167" i="1"/>
  <c r="AU167" i="1"/>
  <c r="AV167" i="1"/>
  <c r="AL168" i="1"/>
  <c r="AM168" i="1"/>
  <c r="AN168" i="1"/>
  <c r="AO168" i="1"/>
  <c r="AP168" i="1"/>
  <c r="AQ168" i="1"/>
  <c r="AR168" i="1"/>
  <c r="AS168" i="1"/>
  <c r="AT168" i="1"/>
  <c r="AU168" i="1"/>
  <c r="AV168" i="1"/>
  <c r="AL169" i="1"/>
  <c r="AM169" i="1"/>
  <c r="AN169" i="1"/>
  <c r="AO169" i="1"/>
  <c r="AP169" i="1"/>
  <c r="AQ169" i="1"/>
  <c r="AR169" i="1"/>
  <c r="AS169" i="1"/>
  <c r="AT169" i="1"/>
  <c r="AU169" i="1"/>
  <c r="AV169" i="1"/>
  <c r="AL170" i="1"/>
  <c r="AM170" i="1"/>
  <c r="AN170" i="1"/>
  <c r="AO170" i="1"/>
  <c r="AP170" i="1"/>
  <c r="AQ170" i="1"/>
  <c r="AR170" i="1"/>
  <c r="AS170" i="1"/>
  <c r="AT170" i="1"/>
  <c r="AU170" i="1"/>
  <c r="AV170" i="1"/>
  <c r="AL171" i="1"/>
  <c r="AM171" i="1"/>
  <c r="AN171" i="1"/>
  <c r="AO171" i="1"/>
  <c r="AP171" i="1"/>
  <c r="AQ171" i="1"/>
  <c r="AR171" i="1"/>
  <c r="AS171" i="1"/>
  <c r="AT171" i="1"/>
  <c r="AU171" i="1"/>
  <c r="AV171" i="1"/>
  <c r="AL172" i="1"/>
  <c r="AM172" i="1"/>
  <c r="AN172" i="1"/>
  <c r="AO172" i="1"/>
  <c r="AP172" i="1"/>
  <c r="AQ172" i="1"/>
  <c r="AR172" i="1"/>
  <c r="AS172" i="1"/>
  <c r="AT172" i="1"/>
  <c r="AU172" i="1"/>
  <c r="AV172" i="1"/>
  <c r="AL173" i="1"/>
  <c r="AM173" i="1"/>
  <c r="AN173" i="1"/>
  <c r="AO173" i="1"/>
  <c r="AP173" i="1"/>
  <c r="AQ173" i="1"/>
  <c r="AR173" i="1"/>
  <c r="AS173" i="1"/>
  <c r="AT173" i="1"/>
  <c r="AU173" i="1"/>
  <c r="AV173" i="1"/>
  <c r="AL174" i="1"/>
  <c r="AM174" i="1"/>
  <c r="AN174" i="1"/>
  <c r="AO174" i="1"/>
  <c r="AP174" i="1"/>
  <c r="AQ174" i="1"/>
  <c r="AR174" i="1"/>
  <c r="AS174" i="1"/>
  <c r="AT174" i="1"/>
  <c r="AU174" i="1"/>
  <c r="AV174" i="1"/>
  <c r="AL175" i="1"/>
  <c r="AM175" i="1"/>
  <c r="AN175" i="1"/>
  <c r="AO175" i="1"/>
  <c r="AP175" i="1"/>
  <c r="AQ175" i="1"/>
  <c r="AR175" i="1"/>
  <c r="AS175" i="1"/>
  <c r="AT175" i="1"/>
  <c r="AU175" i="1"/>
  <c r="AV175" i="1"/>
  <c r="AL176" i="1"/>
  <c r="AM176" i="1"/>
  <c r="AN176" i="1"/>
  <c r="AO176" i="1"/>
  <c r="AP176" i="1"/>
  <c r="AQ176" i="1"/>
  <c r="AR176" i="1"/>
  <c r="AS176" i="1"/>
  <c r="AT176" i="1"/>
  <c r="AU176" i="1"/>
  <c r="AV176" i="1"/>
  <c r="AL177" i="1"/>
  <c r="AM177" i="1"/>
  <c r="AN177" i="1"/>
  <c r="AO177" i="1"/>
  <c r="AP177" i="1"/>
  <c r="AQ177" i="1"/>
  <c r="AR177" i="1"/>
  <c r="AS177" i="1"/>
  <c r="AT177" i="1"/>
  <c r="AU177" i="1"/>
  <c r="AV177" i="1"/>
  <c r="AL178" i="1"/>
  <c r="AM178" i="1"/>
  <c r="AN178" i="1"/>
  <c r="AO178" i="1"/>
  <c r="AP178" i="1"/>
  <c r="AQ178" i="1"/>
  <c r="AR178" i="1"/>
  <c r="AS178" i="1"/>
  <c r="AT178" i="1"/>
  <c r="AU178" i="1"/>
  <c r="AV178" i="1"/>
  <c r="AL179" i="1"/>
  <c r="AM179" i="1"/>
  <c r="AN179" i="1"/>
  <c r="AO179" i="1"/>
  <c r="AP179" i="1"/>
  <c r="AQ179" i="1"/>
  <c r="AR179" i="1"/>
  <c r="AS179" i="1"/>
  <c r="AT179" i="1"/>
  <c r="AU179" i="1"/>
  <c r="AV179" i="1"/>
  <c r="AL180" i="1"/>
  <c r="AM180" i="1"/>
  <c r="AN180" i="1"/>
  <c r="AO180" i="1"/>
  <c r="AP180" i="1"/>
  <c r="AQ180" i="1"/>
  <c r="AR180" i="1"/>
  <c r="AS180" i="1"/>
  <c r="AT180" i="1"/>
  <c r="AU180" i="1"/>
  <c r="AV180" i="1"/>
  <c r="AL181" i="1"/>
  <c r="AM181" i="1"/>
  <c r="AN181" i="1"/>
  <c r="AO181" i="1"/>
  <c r="AP181" i="1"/>
  <c r="AQ181" i="1"/>
  <c r="AR181" i="1"/>
  <c r="AS181" i="1"/>
  <c r="AT181" i="1"/>
  <c r="AU181" i="1"/>
  <c r="AV181" i="1"/>
  <c r="AL182" i="1"/>
  <c r="AM182" i="1"/>
  <c r="AN182" i="1"/>
  <c r="AO182" i="1"/>
  <c r="AP182" i="1"/>
  <c r="AQ182" i="1"/>
  <c r="AR182" i="1"/>
  <c r="AS182" i="1"/>
  <c r="AT182" i="1"/>
  <c r="AU182" i="1"/>
  <c r="AV182" i="1"/>
  <c r="AL183" i="1"/>
  <c r="AM183" i="1"/>
  <c r="AN183" i="1"/>
  <c r="AO183" i="1"/>
  <c r="AP183" i="1"/>
  <c r="AQ183" i="1"/>
  <c r="AR183" i="1"/>
  <c r="AS183" i="1"/>
  <c r="AT183" i="1"/>
  <c r="AU183" i="1"/>
  <c r="AV183" i="1"/>
  <c r="AL184" i="1"/>
  <c r="AM184" i="1"/>
  <c r="AN184" i="1"/>
  <c r="AO184" i="1"/>
  <c r="AP184" i="1"/>
  <c r="AQ184" i="1"/>
  <c r="AR184" i="1"/>
  <c r="AS184" i="1"/>
  <c r="AT184" i="1"/>
  <c r="AU184" i="1"/>
  <c r="AV184" i="1"/>
  <c r="AL185" i="1"/>
  <c r="AM185" i="1"/>
  <c r="AN185" i="1"/>
  <c r="AO185" i="1"/>
  <c r="AP185" i="1"/>
  <c r="AQ185" i="1"/>
  <c r="AR185" i="1"/>
  <c r="AS185" i="1"/>
  <c r="AT185" i="1"/>
  <c r="AU185" i="1"/>
  <c r="AV185" i="1"/>
  <c r="AL186" i="1"/>
  <c r="AM186" i="1"/>
  <c r="AN186" i="1"/>
  <c r="AO186" i="1"/>
  <c r="AP186" i="1"/>
  <c r="AQ186" i="1"/>
  <c r="AR186" i="1"/>
  <c r="AS186" i="1"/>
  <c r="AT186" i="1"/>
  <c r="AU186" i="1"/>
  <c r="AV186" i="1"/>
  <c r="AL187" i="1"/>
  <c r="AM187" i="1"/>
  <c r="AN187" i="1"/>
  <c r="AO187" i="1"/>
  <c r="AP187" i="1"/>
  <c r="AQ187" i="1"/>
  <c r="AR187" i="1"/>
  <c r="AS187" i="1"/>
  <c r="AT187" i="1"/>
  <c r="AU187" i="1"/>
  <c r="AV187" i="1"/>
  <c r="AL188" i="1"/>
  <c r="AM188" i="1"/>
  <c r="AN188" i="1"/>
  <c r="AO188" i="1"/>
  <c r="AP188" i="1"/>
  <c r="AQ188" i="1"/>
  <c r="AR188" i="1"/>
  <c r="AS188" i="1"/>
  <c r="AT188" i="1"/>
  <c r="AU188" i="1"/>
  <c r="AV188" i="1"/>
  <c r="AL189" i="1"/>
  <c r="AM189" i="1"/>
  <c r="AN189" i="1"/>
  <c r="AO189" i="1"/>
  <c r="AP189" i="1"/>
  <c r="AQ189" i="1"/>
  <c r="AR189" i="1"/>
  <c r="AS189" i="1"/>
  <c r="AT189" i="1"/>
  <c r="AU189" i="1"/>
  <c r="AV189" i="1"/>
  <c r="AL190" i="1"/>
  <c r="AM190" i="1"/>
  <c r="AN190" i="1"/>
  <c r="AO190" i="1"/>
  <c r="AP190" i="1"/>
  <c r="AQ190" i="1"/>
  <c r="AR190" i="1"/>
  <c r="AS190" i="1"/>
  <c r="AT190" i="1"/>
  <c r="AU190" i="1"/>
  <c r="AV190" i="1"/>
  <c r="AL191" i="1"/>
  <c r="AM191" i="1"/>
  <c r="AN191" i="1"/>
  <c r="AO191" i="1"/>
  <c r="AP191" i="1"/>
  <c r="AQ191" i="1"/>
  <c r="AR191" i="1"/>
  <c r="AS191" i="1"/>
  <c r="AT191" i="1"/>
  <c r="AU191" i="1"/>
  <c r="AV191" i="1"/>
  <c r="AL192" i="1"/>
  <c r="AM192" i="1"/>
  <c r="AN192" i="1"/>
  <c r="AO192" i="1"/>
  <c r="AP192" i="1"/>
  <c r="AQ192" i="1"/>
  <c r="AR192" i="1"/>
  <c r="AS192" i="1"/>
  <c r="AT192" i="1"/>
  <c r="AU192" i="1"/>
  <c r="AV192" i="1"/>
  <c r="AL193" i="1"/>
  <c r="AM193" i="1"/>
  <c r="AN193" i="1"/>
  <c r="AO193" i="1"/>
  <c r="AP193" i="1"/>
  <c r="AQ193" i="1"/>
  <c r="AR193" i="1"/>
  <c r="AS193" i="1"/>
  <c r="AT193" i="1"/>
  <c r="AU193" i="1"/>
  <c r="AV193" i="1"/>
  <c r="AL194" i="1"/>
  <c r="AM194" i="1"/>
  <c r="AN194" i="1"/>
  <c r="AO194" i="1"/>
  <c r="AP194" i="1"/>
  <c r="AQ194" i="1"/>
  <c r="AR194" i="1"/>
  <c r="AS194" i="1"/>
  <c r="AT194" i="1"/>
  <c r="AU194" i="1"/>
  <c r="AV194" i="1"/>
  <c r="AL195" i="1"/>
  <c r="AM195" i="1"/>
  <c r="AN195" i="1"/>
  <c r="AO195" i="1"/>
  <c r="AP195" i="1"/>
  <c r="AQ195" i="1"/>
  <c r="AR195" i="1"/>
  <c r="AS195" i="1"/>
  <c r="AT195" i="1"/>
  <c r="AU195" i="1"/>
  <c r="AV195" i="1"/>
  <c r="AL196" i="1"/>
  <c r="AM196" i="1"/>
  <c r="AN196" i="1"/>
  <c r="AO196" i="1"/>
  <c r="AP196" i="1"/>
  <c r="AQ196" i="1"/>
  <c r="AR196" i="1"/>
  <c r="AS196" i="1"/>
  <c r="AT196" i="1"/>
  <c r="AU196" i="1"/>
  <c r="AV196" i="1"/>
  <c r="AL197" i="1"/>
  <c r="AM197" i="1"/>
  <c r="AN197" i="1"/>
  <c r="AO197" i="1"/>
  <c r="AP197" i="1"/>
  <c r="AQ197" i="1"/>
  <c r="AR197" i="1"/>
  <c r="AS197" i="1"/>
  <c r="AT197" i="1"/>
  <c r="AU197" i="1"/>
  <c r="AV197" i="1"/>
  <c r="AL198" i="1"/>
  <c r="AM198" i="1"/>
  <c r="AN198" i="1"/>
  <c r="AO198" i="1"/>
  <c r="AP198" i="1"/>
  <c r="AQ198" i="1"/>
  <c r="AR198" i="1"/>
  <c r="AS198" i="1"/>
  <c r="AT198" i="1"/>
  <c r="AU198" i="1"/>
  <c r="AV198" i="1"/>
  <c r="AL199" i="1"/>
  <c r="AM199" i="1"/>
  <c r="AN199" i="1"/>
  <c r="AO199" i="1"/>
  <c r="AP199" i="1"/>
  <c r="AQ199" i="1"/>
  <c r="AR199" i="1"/>
  <c r="AS199" i="1"/>
  <c r="AT199" i="1"/>
  <c r="AU199" i="1"/>
  <c r="AV199" i="1"/>
  <c r="AL200" i="1"/>
  <c r="AM200" i="1"/>
  <c r="AN200" i="1"/>
  <c r="AO200" i="1"/>
  <c r="AP200" i="1"/>
  <c r="AQ200" i="1"/>
  <c r="AR200" i="1"/>
  <c r="AS200" i="1"/>
  <c r="AT200" i="1"/>
  <c r="AU200" i="1"/>
  <c r="AV200" i="1"/>
  <c r="AL201" i="1"/>
  <c r="AM201" i="1"/>
  <c r="AN201" i="1"/>
  <c r="AO201" i="1"/>
  <c r="AP201" i="1"/>
  <c r="AQ201" i="1"/>
  <c r="AR201" i="1"/>
  <c r="AS201" i="1"/>
  <c r="AT201" i="1"/>
  <c r="AU201" i="1"/>
  <c r="AV201" i="1"/>
  <c r="AL202" i="1"/>
  <c r="AM202" i="1"/>
  <c r="AN202" i="1"/>
  <c r="AO202" i="1"/>
  <c r="AP202" i="1"/>
  <c r="AQ202" i="1"/>
  <c r="AR202" i="1"/>
  <c r="AS202" i="1"/>
  <c r="AT202" i="1"/>
  <c r="AU202" i="1"/>
  <c r="AV202" i="1"/>
  <c r="AL203" i="1"/>
  <c r="AM203" i="1"/>
  <c r="AN203" i="1"/>
  <c r="AO203" i="1"/>
  <c r="AP203" i="1"/>
  <c r="AQ203" i="1"/>
  <c r="AR203" i="1"/>
  <c r="AS203" i="1"/>
  <c r="AT203" i="1"/>
  <c r="AU203" i="1"/>
  <c r="AV203" i="1"/>
  <c r="AL204" i="1"/>
  <c r="AM204" i="1"/>
  <c r="AN204" i="1"/>
  <c r="AO204" i="1"/>
  <c r="AP204" i="1"/>
  <c r="AQ204" i="1"/>
  <c r="AR204" i="1"/>
  <c r="AS204" i="1"/>
  <c r="AT204" i="1"/>
  <c r="AU204" i="1"/>
  <c r="AV204" i="1"/>
  <c r="AL205" i="1"/>
  <c r="AM205" i="1"/>
  <c r="AN205" i="1"/>
  <c r="AO205" i="1"/>
  <c r="AP205" i="1"/>
  <c r="AQ205" i="1"/>
  <c r="AR205" i="1"/>
  <c r="AS205" i="1"/>
  <c r="AT205" i="1"/>
  <c r="AU205" i="1"/>
  <c r="AV205" i="1"/>
  <c r="AL206" i="1"/>
  <c r="AM206" i="1"/>
  <c r="AN206" i="1"/>
  <c r="AO206" i="1"/>
  <c r="AP206" i="1"/>
  <c r="AQ206" i="1"/>
  <c r="AR206" i="1"/>
  <c r="AS206" i="1"/>
  <c r="AT206" i="1"/>
  <c r="AU206" i="1"/>
  <c r="AV206" i="1"/>
  <c r="AL207" i="1"/>
  <c r="AM207" i="1"/>
  <c r="AN207" i="1"/>
  <c r="AO207" i="1"/>
  <c r="AP207" i="1"/>
  <c r="AQ207" i="1"/>
  <c r="AR207" i="1"/>
  <c r="AS207" i="1"/>
  <c r="AT207" i="1"/>
  <c r="AU207" i="1"/>
  <c r="AV207" i="1"/>
  <c r="AL208" i="1"/>
  <c r="AM208" i="1"/>
  <c r="AN208" i="1"/>
  <c r="AO208" i="1"/>
  <c r="AP208" i="1"/>
  <c r="AQ208" i="1"/>
  <c r="AR208" i="1"/>
  <c r="AS208" i="1"/>
  <c r="AT208" i="1"/>
  <c r="AU208" i="1"/>
  <c r="AV208" i="1"/>
  <c r="AL209" i="1"/>
  <c r="AM209" i="1"/>
  <c r="AN209" i="1"/>
  <c r="AO209" i="1"/>
  <c r="AP209" i="1"/>
  <c r="AQ209" i="1"/>
  <c r="AR209" i="1"/>
  <c r="AS209" i="1"/>
  <c r="AT209" i="1"/>
  <c r="AU209" i="1"/>
  <c r="AV209" i="1"/>
  <c r="AL210" i="1"/>
  <c r="AM210" i="1"/>
  <c r="AN210" i="1"/>
  <c r="AO210" i="1"/>
  <c r="AP210" i="1"/>
  <c r="AQ210" i="1"/>
  <c r="AR210" i="1"/>
  <c r="AS210" i="1"/>
  <c r="AT210" i="1"/>
  <c r="AU210" i="1"/>
  <c r="AV210" i="1"/>
  <c r="AL211" i="1"/>
  <c r="AM211" i="1"/>
  <c r="AN211" i="1"/>
  <c r="AO211" i="1"/>
  <c r="AP211" i="1"/>
  <c r="AQ211" i="1"/>
  <c r="AR211" i="1"/>
  <c r="AS211" i="1"/>
  <c r="AT211" i="1"/>
  <c r="AU211" i="1"/>
  <c r="AV211" i="1"/>
  <c r="AL212" i="1"/>
  <c r="AM212" i="1"/>
  <c r="AN212" i="1"/>
  <c r="AO212" i="1"/>
  <c r="AP212" i="1"/>
  <c r="AQ212" i="1"/>
  <c r="AR212" i="1"/>
  <c r="AS212" i="1"/>
  <c r="AT212" i="1"/>
  <c r="AU212" i="1"/>
  <c r="AV212" i="1"/>
  <c r="AL213" i="1"/>
  <c r="AM213" i="1"/>
  <c r="AN213" i="1"/>
  <c r="AO213" i="1"/>
  <c r="AP213" i="1"/>
  <c r="AQ213" i="1"/>
  <c r="AR213" i="1"/>
  <c r="AS213" i="1"/>
  <c r="AT213" i="1"/>
  <c r="AU213" i="1"/>
  <c r="AV213" i="1"/>
  <c r="AL214" i="1"/>
  <c r="AM214" i="1"/>
  <c r="AN214" i="1"/>
  <c r="AO214" i="1"/>
  <c r="AP214" i="1"/>
  <c r="AQ214" i="1"/>
  <c r="AR214" i="1"/>
  <c r="AS214" i="1"/>
  <c r="AT214" i="1"/>
  <c r="AU214" i="1"/>
  <c r="AV214" i="1"/>
  <c r="AL215" i="1"/>
  <c r="AM215" i="1"/>
  <c r="AN215" i="1"/>
  <c r="AO215" i="1"/>
  <c r="AP215" i="1"/>
  <c r="AQ215" i="1"/>
  <c r="AR215" i="1"/>
  <c r="AS215" i="1"/>
  <c r="AT215" i="1"/>
  <c r="AU215" i="1"/>
  <c r="AV215" i="1"/>
  <c r="AL216" i="1"/>
  <c r="AM216" i="1"/>
  <c r="AN216" i="1"/>
  <c r="AO216" i="1"/>
  <c r="AP216" i="1"/>
  <c r="AQ216" i="1"/>
  <c r="AR216" i="1"/>
  <c r="AS216" i="1"/>
  <c r="AT216" i="1"/>
  <c r="AU216" i="1"/>
  <c r="AV216" i="1"/>
  <c r="AL217" i="1"/>
  <c r="AM217" i="1"/>
  <c r="AN217" i="1"/>
  <c r="AO217" i="1"/>
  <c r="AP217" i="1"/>
  <c r="AQ217" i="1"/>
  <c r="AR217" i="1"/>
  <c r="AS217" i="1"/>
  <c r="AT217" i="1"/>
  <c r="AU217" i="1"/>
  <c r="AV217" i="1"/>
  <c r="AL218" i="1"/>
  <c r="AM218" i="1"/>
  <c r="AN218" i="1"/>
  <c r="AO218" i="1"/>
  <c r="AP218" i="1"/>
  <c r="AQ218" i="1"/>
  <c r="AR218" i="1"/>
  <c r="AS218" i="1"/>
  <c r="AT218" i="1"/>
  <c r="AU218" i="1"/>
  <c r="AV218" i="1"/>
  <c r="AL219" i="1"/>
  <c r="AM219" i="1"/>
  <c r="AN219" i="1"/>
  <c r="AO219" i="1"/>
  <c r="AP219" i="1"/>
  <c r="AQ219" i="1"/>
  <c r="AR219" i="1"/>
  <c r="AS219" i="1"/>
  <c r="AT219" i="1"/>
  <c r="AU219" i="1"/>
  <c r="AV219" i="1"/>
  <c r="AL220" i="1"/>
  <c r="AM220" i="1"/>
  <c r="AN220" i="1"/>
  <c r="AO220" i="1"/>
  <c r="AP220" i="1"/>
  <c r="AQ220" i="1"/>
  <c r="AR220" i="1"/>
  <c r="AS220" i="1"/>
  <c r="AT220" i="1"/>
  <c r="AU220" i="1"/>
  <c r="AV220" i="1"/>
  <c r="AL221" i="1"/>
  <c r="AM221" i="1"/>
  <c r="AN221" i="1"/>
  <c r="AO221" i="1"/>
  <c r="AP221" i="1"/>
  <c r="AQ221" i="1"/>
  <c r="AR221" i="1"/>
  <c r="AS221" i="1"/>
  <c r="AT221" i="1"/>
  <c r="AU221" i="1"/>
  <c r="AV221" i="1"/>
  <c r="AL222" i="1"/>
  <c r="AM222" i="1"/>
  <c r="AN222" i="1"/>
  <c r="AO222" i="1"/>
  <c r="AP222" i="1"/>
  <c r="AQ222" i="1"/>
  <c r="AR222" i="1"/>
  <c r="AS222" i="1"/>
  <c r="AT222" i="1"/>
  <c r="AU222" i="1"/>
  <c r="AV222" i="1"/>
  <c r="AL223" i="1"/>
  <c r="AM223" i="1"/>
  <c r="AN223" i="1"/>
  <c r="AO223" i="1"/>
  <c r="AP223" i="1"/>
  <c r="AQ223" i="1"/>
  <c r="AR223" i="1"/>
  <c r="AS223" i="1"/>
  <c r="AT223" i="1"/>
  <c r="AU223" i="1"/>
  <c r="AV223" i="1"/>
  <c r="AL224" i="1"/>
  <c r="AM224" i="1"/>
  <c r="AN224" i="1"/>
  <c r="AO224" i="1"/>
  <c r="AP224" i="1"/>
  <c r="AQ224" i="1"/>
  <c r="AR224" i="1"/>
  <c r="AS224" i="1"/>
  <c r="AT224" i="1"/>
  <c r="AU224" i="1"/>
  <c r="AV224" i="1"/>
  <c r="AL225" i="1"/>
  <c r="AM225" i="1"/>
  <c r="AN225" i="1"/>
  <c r="AO225" i="1"/>
  <c r="AP225" i="1"/>
  <c r="AQ225" i="1"/>
  <c r="AR225" i="1"/>
  <c r="AS225" i="1"/>
  <c r="AT225" i="1"/>
  <c r="AU225" i="1"/>
  <c r="AV225" i="1"/>
  <c r="AL226" i="1"/>
  <c r="AM226" i="1"/>
  <c r="AN226" i="1"/>
  <c r="AO226" i="1"/>
  <c r="AP226" i="1"/>
  <c r="AQ226" i="1"/>
  <c r="AR226" i="1"/>
  <c r="AS226" i="1"/>
  <c r="AT226" i="1"/>
  <c r="AU226" i="1"/>
  <c r="AV226" i="1"/>
  <c r="AL227" i="1"/>
  <c r="AM227" i="1"/>
  <c r="AN227" i="1"/>
  <c r="AO227" i="1"/>
  <c r="AP227" i="1"/>
  <c r="AQ227" i="1"/>
  <c r="AR227" i="1"/>
  <c r="AS227" i="1"/>
  <c r="AT227" i="1"/>
  <c r="AU227" i="1"/>
  <c r="AV227" i="1"/>
  <c r="AL228" i="1"/>
  <c r="AM228" i="1"/>
  <c r="AN228" i="1"/>
  <c r="AO228" i="1"/>
  <c r="AP228" i="1"/>
  <c r="AQ228" i="1"/>
  <c r="AR228" i="1"/>
  <c r="AS228" i="1"/>
  <c r="AT228" i="1"/>
  <c r="AU228" i="1"/>
  <c r="AV228" i="1"/>
  <c r="AL229" i="1"/>
  <c r="AM229" i="1"/>
  <c r="AN229" i="1"/>
  <c r="AO229" i="1"/>
  <c r="AP229" i="1"/>
  <c r="AQ229" i="1"/>
  <c r="AR229" i="1"/>
  <c r="AS229" i="1"/>
  <c r="AT229" i="1"/>
  <c r="AU229" i="1"/>
  <c r="AV229" i="1"/>
  <c r="AL230" i="1"/>
  <c r="AM230" i="1"/>
  <c r="AN230" i="1"/>
  <c r="AO230" i="1"/>
  <c r="AP230" i="1"/>
  <c r="AQ230" i="1"/>
  <c r="AR230" i="1"/>
  <c r="AS230" i="1"/>
  <c r="AT230" i="1"/>
  <c r="AU230" i="1"/>
  <c r="AV230" i="1"/>
  <c r="AL231" i="1"/>
  <c r="AM231" i="1"/>
  <c r="AN231" i="1"/>
  <c r="AO231" i="1"/>
  <c r="AP231" i="1"/>
  <c r="AQ231" i="1"/>
  <c r="AR231" i="1"/>
  <c r="AS231" i="1"/>
  <c r="AT231" i="1"/>
  <c r="AU231" i="1"/>
  <c r="AV231" i="1"/>
  <c r="AL232" i="1"/>
  <c r="AM232" i="1"/>
  <c r="AN232" i="1"/>
  <c r="AO232" i="1"/>
  <c r="AP232" i="1"/>
  <c r="AQ232" i="1"/>
  <c r="AR232" i="1"/>
  <c r="AS232" i="1"/>
  <c r="AT232" i="1"/>
  <c r="AU232" i="1"/>
  <c r="AV232" i="1"/>
  <c r="AL233" i="1"/>
  <c r="AM233" i="1"/>
  <c r="AN233" i="1"/>
  <c r="AO233" i="1"/>
  <c r="AP233" i="1"/>
  <c r="AQ233" i="1"/>
  <c r="AR233" i="1"/>
  <c r="AS233" i="1"/>
  <c r="AT233" i="1"/>
  <c r="AU233" i="1"/>
  <c r="AV233" i="1"/>
  <c r="AL234" i="1"/>
  <c r="AM234" i="1"/>
  <c r="AN234" i="1"/>
  <c r="AO234" i="1"/>
  <c r="AP234" i="1"/>
  <c r="AQ234" i="1"/>
  <c r="AR234" i="1"/>
  <c r="AS234" i="1"/>
  <c r="AT234" i="1"/>
  <c r="AU234" i="1"/>
  <c r="AV234" i="1"/>
  <c r="AL235" i="1"/>
  <c r="AM235" i="1"/>
  <c r="AN235" i="1"/>
  <c r="AO235" i="1"/>
  <c r="AP235" i="1"/>
  <c r="AQ235" i="1"/>
  <c r="AR235" i="1"/>
  <c r="AS235" i="1"/>
  <c r="AT235" i="1"/>
  <c r="AU235" i="1"/>
  <c r="AV235" i="1"/>
  <c r="AL236" i="1"/>
  <c r="AM236" i="1"/>
  <c r="AN236" i="1"/>
  <c r="AO236" i="1"/>
  <c r="AP236" i="1"/>
  <c r="AQ236" i="1"/>
  <c r="AR236" i="1"/>
  <c r="AS236" i="1"/>
  <c r="AT236" i="1"/>
  <c r="AU236" i="1"/>
  <c r="AV236" i="1"/>
  <c r="AM138" i="1"/>
  <c r="AN138" i="1"/>
  <c r="AO138" i="1"/>
  <c r="AP138" i="1"/>
  <c r="AQ138" i="1"/>
  <c r="AR138" i="1"/>
  <c r="AS138" i="1"/>
  <c r="AT138" i="1"/>
  <c r="AU138" i="1"/>
  <c r="AV138" i="1"/>
  <c r="AL138" i="1"/>
  <c r="Y139" i="1"/>
  <c r="Z139" i="1"/>
  <c r="AA139" i="1"/>
  <c r="AB139" i="1"/>
  <c r="AC139" i="1"/>
  <c r="BP139" i="1" s="1"/>
  <c r="AD139" i="1"/>
  <c r="BQ139" i="1" s="1"/>
  <c r="AE139" i="1"/>
  <c r="AF139" i="1"/>
  <c r="AG139" i="1"/>
  <c r="AH139" i="1"/>
  <c r="AI139" i="1"/>
  <c r="Y140" i="1"/>
  <c r="Z140" i="1"/>
  <c r="BM140" i="1" s="1"/>
  <c r="AA140" i="1"/>
  <c r="BN140" i="1" s="1"/>
  <c r="AB140" i="1"/>
  <c r="BO140" i="1" s="1"/>
  <c r="AC140" i="1"/>
  <c r="AD140" i="1"/>
  <c r="AE140" i="1"/>
  <c r="AF140" i="1"/>
  <c r="AG140" i="1"/>
  <c r="BT140" i="1" s="1"/>
  <c r="AH140" i="1"/>
  <c r="BU140" i="1" s="1"/>
  <c r="AI140" i="1"/>
  <c r="BV140" i="1" s="1"/>
  <c r="Y141" i="1"/>
  <c r="BL141" i="1" s="1"/>
  <c r="Z141" i="1"/>
  <c r="AA141" i="1"/>
  <c r="AB141" i="1"/>
  <c r="AC141" i="1"/>
  <c r="AD141" i="1"/>
  <c r="AE141" i="1"/>
  <c r="BR141" i="1" s="1"/>
  <c r="AF141" i="1"/>
  <c r="BS141" i="1" s="1"/>
  <c r="AG141" i="1"/>
  <c r="BT141" i="1" s="1"/>
  <c r="AH141" i="1"/>
  <c r="AI141" i="1"/>
  <c r="Y142" i="1"/>
  <c r="Z142" i="1"/>
  <c r="AA142" i="1"/>
  <c r="AB142" i="1"/>
  <c r="BO142" i="1" s="1"/>
  <c r="AC142" i="1"/>
  <c r="BP142" i="1" s="1"/>
  <c r="AD142" i="1"/>
  <c r="BQ142" i="1" s="1"/>
  <c r="AE142" i="1"/>
  <c r="AF142" i="1"/>
  <c r="AG142" i="1"/>
  <c r="AH142" i="1"/>
  <c r="AI142" i="1"/>
  <c r="BV142" i="1" s="1"/>
  <c r="Y143" i="1"/>
  <c r="BL143" i="1" s="1"/>
  <c r="Z143" i="1"/>
  <c r="BM143" i="1" s="1"/>
  <c r="AA143" i="1"/>
  <c r="BN143" i="1" s="1"/>
  <c r="AB143" i="1"/>
  <c r="AC143" i="1"/>
  <c r="AD143" i="1"/>
  <c r="AE143" i="1"/>
  <c r="AF143" i="1"/>
  <c r="AG143" i="1"/>
  <c r="BT143" i="1" s="1"/>
  <c r="AH143" i="1"/>
  <c r="BU143" i="1" s="1"/>
  <c r="AI143" i="1"/>
  <c r="BV143" i="1" s="1"/>
  <c r="Y144" i="1"/>
  <c r="Z144" i="1"/>
  <c r="AA144" i="1"/>
  <c r="AB144" i="1"/>
  <c r="AC144" i="1"/>
  <c r="BP144" i="1" s="1"/>
  <c r="AD144" i="1"/>
  <c r="BQ144" i="1" s="1"/>
  <c r="AE144" i="1"/>
  <c r="BR144" i="1" s="1"/>
  <c r="AF144" i="1"/>
  <c r="BS144" i="1" s="1"/>
  <c r="AG144" i="1"/>
  <c r="AH144" i="1"/>
  <c r="AI144" i="1"/>
  <c r="Y145" i="1"/>
  <c r="Z145" i="1"/>
  <c r="AA145" i="1"/>
  <c r="BN145" i="1" s="1"/>
  <c r="AB145" i="1"/>
  <c r="BO145" i="1" s="1"/>
  <c r="AC145" i="1"/>
  <c r="BP145" i="1" s="1"/>
  <c r="AD145" i="1"/>
  <c r="AE145" i="1"/>
  <c r="AF145" i="1"/>
  <c r="AG145" i="1"/>
  <c r="AH145" i="1"/>
  <c r="AI145" i="1"/>
  <c r="BV145" i="1" s="1"/>
  <c r="Y146" i="1"/>
  <c r="BL146" i="1" s="1"/>
  <c r="Z146" i="1"/>
  <c r="BM146" i="1" s="1"/>
  <c r="AA146" i="1"/>
  <c r="AB146" i="1"/>
  <c r="AC146" i="1"/>
  <c r="AD146" i="1"/>
  <c r="AE146" i="1"/>
  <c r="BR146" i="1" s="1"/>
  <c r="AF146" i="1"/>
  <c r="BS146" i="1" s="1"/>
  <c r="AG146" i="1"/>
  <c r="BT146" i="1" s="1"/>
  <c r="AH146" i="1"/>
  <c r="BU146" i="1" s="1"/>
  <c r="AI146" i="1"/>
  <c r="Y147" i="1"/>
  <c r="Z147" i="1"/>
  <c r="AA147" i="1"/>
  <c r="AB147" i="1"/>
  <c r="AC147" i="1"/>
  <c r="BP147" i="1" s="1"/>
  <c r="AD147" i="1"/>
  <c r="BQ147" i="1" s="1"/>
  <c r="AE147" i="1"/>
  <c r="BR147" i="1" s="1"/>
  <c r="AF147" i="1"/>
  <c r="AG147" i="1"/>
  <c r="AH147" i="1"/>
  <c r="AI147" i="1"/>
  <c r="Y148" i="1"/>
  <c r="Z148" i="1"/>
  <c r="BM148" i="1" s="1"/>
  <c r="AA148" i="1"/>
  <c r="BN148" i="1" s="1"/>
  <c r="AB148" i="1"/>
  <c r="BO148" i="1" s="1"/>
  <c r="AC148" i="1"/>
  <c r="AD148" i="1"/>
  <c r="AE148" i="1"/>
  <c r="AF148" i="1"/>
  <c r="AG148" i="1"/>
  <c r="BT148" i="1" s="1"/>
  <c r="AH148" i="1"/>
  <c r="BU148" i="1" s="1"/>
  <c r="AI148" i="1"/>
  <c r="BV148" i="1" s="1"/>
  <c r="Y149" i="1"/>
  <c r="BL149" i="1" s="1"/>
  <c r="Z149" i="1"/>
  <c r="AA149" i="1"/>
  <c r="AB149" i="1"/>
  <c r="AC149" i="1"/>
  <c r="AD149" i="1"/>
  <c r="AE149" i="1"/>
  <c r="BR149" i="1" s="1"/>
  <c r="AF149" i="1"/>
  <c r="BS149" i="1" s="1"/>
  <c r="AG149" i="1"/>
  <c r="BT149" i="1" s="1"/>
  <c r="AH149" i="1"/>
  <c r="AI149" i="1"/>
  <c r="Y150" i="1"/>
  <c r="Z150" i="1"/>
  <c r="AA150" i="1"/>
  <c r="BN150" i="1" s="1"/>
  <c r="AB150" i="1"/>
  <c r="BO150" i="1" s="1"/>
  <c r="AC150" i="1"/>
  <c r="BP150" i="1" s="1"/>
  <c r="AD150" i="1"/>
  <c r="BQ150" i="1" s="1"/>
  <c r="AE150" i="1"/>
  <c r="AF150" i="1"/>
  <c r="AG150" i="1"/>
  <c r="AH150" i="1"/>
  <c r="AI150" i="1"/>
  <c r="Y151" i="1"/>
  <c r="BL151" i="1" s="1"/>
  <c r="Z151" i="1"/>
  <c r="BM151" i="1" s="1"/>
  <c r="AA151" i="1"/>
  <c r="BN151" i="1" s="1"/>
  <c r="AB151" i="1"/>
  <c r="AC151" i="1"/>
  <c r="AD151" i="1"/>
  <c r="AE151" i="1"/>
  <c r="AF151" i="1"/>
  <c r="AG151" i="1"/>
  <c r="BT151" i="1" s="1"/>
  <c r="AH151" i="1"/>
  <c r="BU151" i="1" s="1"/>
  <c r="AI151" i="1"/>
  <c r="BV151" i="1" s="1"/>
  <c r="Y152" i="1"/>
  <c r="Z152" i="1"/>
  <c r="AA152" i="1"/>
  <c r="AB152" i="1"/>
  <c r="AC152" i="1"/>
  <c r="BP152" i="1" s="1"/>
  <c r="AD152" i="1"/>
  <c r="BQ152" i="1" s="1"/>
  <c r="AE152" i="1"/>
  <c r="BR152" i="1" s="1"/>
  <c r="AF152" i="1"/>
  <c r="BS152" i="1" s="1"/>
  <c r="AG152" i="1"/>
  <c r="AH152" i="1"/>
  <c r="AI152" i="1"/>
  <c r="Y153" i="1"/>
  <c r="Z153" i="1"/>
  <c r="AA153" i="1"/>
  <c r="BN153" i="1" s="1"/>
  <c r="AB153" i="1"/>
  <c r="BO153" i="1" s="1"/>
  <c r="AC153" i="1"/>
  <c r="BP153" i="1" s="1"/>
  <c r="AD153" i="1"/>
  <c r="AE153" i="1"/>
  <c r="AF153" i="1"/>
  <c r="AG153" i="1"/>
  <c r="AH153" i="1"/>
  <c r="AI153" i="1"/>
  <c r="BV153" i="1" s="1"/>
  <c r="Y154" i="1"/>
  <c r="BL154" i="1" s="1"/>
  <c r="Z154" i="1"/>
  <c r="BM154" i="1" s="1"/>
  <c r="AA154" i="1"/>
  <c r="AB154" i="1"/>
  <c r="AC154" i="1"/>
  <c r="AD154" i="1"/>
  <c r="AE154" i="1"/>
  <c r="BR154" i="1" s="1"/>
  <c r="AF154" i="1"/>
  <c r="BS154" i="1" s="1"/>
  <c r="AG154" i="1"/>
  <c r="BT154" i="1" s="1"/>
  <c r="AH154" i="1"/>
  <c r="BU154" i="1" s="1"/>
  <c r="AI154" i="1"/>
  <c r="Y155" i="1"/>
  <c r="Z155" i="1"/>
  <c r="AA155" i="1"/>
  <c r="AB155" i="1"/>
  <c r="AC155" i="1"/>
  <c r="BP155" i="1" s="1"/>
  <c r="AD155" i="1"/>
  <c r="BQ155" i="1" s="1"/>
  <c r="AE155" i="1"/>
  <c r="BR155" i="1" s="1"/>
  <c r="AF155" i="1"/>
  <c r="AG155" i="1"/>
  <c r="AH155" i="1"/>
  <c r="AI155" i="1"/>
  <c r="Y156" i="1"/>
  <c r="BL156" i="1" s="1"/>
  <c r="Z156" i="1"/>
  <c r="BM156" i="1" s="1"/>
  <c r="AA156" i="1"/>
  <c r="BN156" i="1" s="1"/>
  <c r="AB156" i="1"/>
  <c r="BO156" i="1" s="1"/>
  <c r="AC156" i="1"/>
  <c r="AD156" i="1"/>
  <c r="AE156" i="1"/>
  <c r="AF156" i="1"/>
  <c r="AG156" i="1"/>
  <c r="AH156" i="1"/>
  <c r="BU156" i="1" s="1"/>
  <c r="AI156" i="1"/>
  <c r="BV156" i="1" s="1"/>
  <c r="Y157" i="1"/>
  <c r="BL157" i="1" s="1"/>
  <c r="Z157" i="1"/>
  <c r="AA157" i="1"/>
  <c r="AB157" i="1"/>
  <c r="AC157" i="1"/>
  <c r="AD157" i="1"/>
  <c r="AE157" i="1"/>
  <c r="BR157" i="1" s="1"/>
  <c r="AF157" i="1"/>
  <c r="BS157" i="1" s="1"/>
  <c r="AG157" i="1"/>
  <c r="BT157" i="1" s="1"/>
  <c r="AH157" i="1"/>
  <c r="AI157" i="1"/>
  <c r="Y158" i="1"/>
  <c r="Z158" i="1"/>
  <c r="AA158" i="1"/>
  <c r="BN158" i="1" s="1"/>
  <c r="AB158" i="1"/>
  <c r="BO158" i="1" s="1"/>
  <c r="AC158" i="1"/>
  <c r="BP158" i="1" s="1"/>
  <c r="AD158" i="1"/>
  <c r="BQ158" i="1" s="1"/>
  <c r="AE158" i="1"/>
  <c r="AF158" i="1"/>
  <c r="AG158" i="1"/>
  <c r="AH158" i="1"/>
  <c r="AI158" i="1"/>
  <c r="Y159" i="1"/>
  <c r="BL159" i="1" s="1"/>
  <c r="Z159" i="1"/>
  <c r="BM159" i="1" s="1"/>
  <c r="AA159" i="1"/>
  <c r="BN159" i="1" s="1"/>
  <c r="AB159" i="1"/>
  <c r="AC159" i="1"/>
  <c r="AD159" i="1"/>
  <c r="AE159" i="1"/>
  <c r="AF159" i="1"/>
  <c r="AG159" i="1"/>
  <c r="BT159" i="1" s="1"/>
  <c r="AH159" i="1"/>
  <c r="BU159" i="1" s="1"/>
  <c r="AI159" i="1"/>
  <c r="BV159" i="1" s="1"/>
  <c r="Y160" i="1"/>
  <c r="Z160" i="1"/>
  <c r="AA160" i="1"/>
  <c r="AB160" i="1"/>
  <c r="AC160" i="1"/>
  <c r="BP160" i="1" s="1"/>
  <c r="AD160" i="1"/>
  <c r="BQ160" i="1" s="1"/>
  <c r="AE160" i="1"/>
  <c r="BR160" i="1" s="1"/>
  <c r="AF160" i="1"/>
  <c r="BS160" i="1" s="1"/>
  <c r="AG160" i="1"/>
  <c r="AH160" i="1"/>
  <c r="AI160" i="1"/>
  <c r="Y161" i="1"/>
  <c r="Z161" i="1"/>
  <c r="AA161" i="1"/>
  <c r="BN161" i="1" s="1"/>
  <c r="AB161" i="1"/>
  <c r="BO161" i="1" s="1"/>
  <c r="AC161" i="1"/>
  <c r="BP161" i="1" s="1"/>
  <c r="AD161" i="1"/>
  <c r="AE161" i="1"/>
  <c r="AF161" i="1"/>
  <c r="AG161" i="1"/>
  <c r="AH161" i="1"/>
  <c r="BU161" i="1" s="1"/>
  <c r="AI161" i="1"/>
  <c r="BV161" i="1" s="1"/>
  <c r="Y162" i="1"/>
  <c r="BL162" i="1" s="1"/>
  <c r="Z162" i="1"/>
  <c r="BM162" i="1" s="1"/>
  <c r="AA162" i="1"/>
  <c r="AB162" i="1"/>
  <c r="AC162" i="1"/>
  <c r="AD162" i="1"/>
  <c r="AE162" i="1"/>
  <c r="AF162" i="1"/>
  <c r="BS162" i="1" s="1"/>
  <c r="AG162" i="1"/>
  <c r="BT162" i="1" s="1"/>
  <c r="AH162" i="1"/>
  <c r="BU162" i="1" s="1"/>
  <c r="AI162" i="1"/>
  <c r="Y163" i="1"/>
  <c r="Z163" i="1"/>
  <c r="AA163" i="1"/>
  <c r="AB163" i="1"/>
  <c r="AC163" i="1"/>
  <c r="BP163" i="1" s="1"/>
  <c r="AD163" i="1"/>
  <c r="BQ163" i="1" s="1"/>
  <c r="AE163" i="1"/>
  <c r="BR163" i="1" s="1"/>
  <c r="AF163" i="1"/>
  <c r="AG163" i="1"/>
  <c r="AH163" i="1"/>
  <c r="AI163" i="1"/>
  <c r="Y164" i="1"/>
  <c r="BL164" i="1" s="1"/>
  <c r="Z164" i="1"/>
  <c r="BM164" i="1" s="1"/>
  <c r="AA164" i="1"/>
  <c r="BN164" i="1" s="1"/>
  <c r="AB164" i="1"/>
  <c r="BO164" i="1" s="1"/>
  <c r="AC164" i="1"/>
  <c r="AD164" i="1"/>
  <c r="AE164" i="1"/>
  <c r="AF164" i="1"/>
  <c r="AG164" i="1"/>
  <c r="AH164" i="1"/>
  <c r="BU164" i="1" s="1"/>
  <c r="AI164" i="1"/>
  <c r="BV164" i="1" s="1"/>
  <c r="Y165" i="1"/>
  <c r="BL165" i="1" s="1"/>
  <c r="Z165" i="1"/>
  <c r="AA165" i="1"/>
  <c r="AB165" i="1"/>
  <c r="AC165" i="1"/>
  <c r="AD165" i="1"/>
  <c r="AE165" i="1"/>
  <c r="BR165" i="1" s="1"/>
  <c r="AF165" i="1"/>
  <c r="BS165" i="1" s="1"/>
  <c r="AG165" i="1"/>
  <c r="BT165" i="1" s="1"/>
  <c r="AH165" i="1"/>
  <c r="AI165" i="1"/>
  <c r="Y166" i="1"/>
  <c r="Z166" i="1"/>
  <c r="AA166" i="1"/>
  <c r="BN166" i="1" s="1"/>
  <c r="AB166" i="1"/>
  <c r="BO166" i="1" s="1"/>
  <c r="AC166" i="1"/>
  <c r="BP166" i="1" s="1"/>
  <c r="AD166" i="1"/>
  <c r="BQ166" i="1" s="1"/>
  <c r="AE166" i="1"/>
  <c r="AF166" i="1"/>
  <c r="AG166" i="1"/>
  <c r="AH166" i="1"/>
  <c r="AI166" i="1"/>
  <c r="Y167" i="1"/>
  <c r="BL167" i="1" s="1"/>
  <c r="Z167" i="1"/>
  <c r="BM167" i="1" s="1"/>
  <c r="AA167" i="1"/>
  <c r="BN167" i="1" s="1"/>
  <c r="AB167" i="1"/>
  <c r="AC167" i="1"/>
  <c r="AD167" i="1"/>
  <c r="AE167" i="1"/>
  <c r="AF167" i="1"/>
  <c r="BS167" i="1" s="1"/>
  <c r="AG167" i="1"/>
  <c r="BT167" i="1" s="1"/>
  <c r="AH167" i="1"/>
  <c r="BU167" i="1" s="1"/>
  <c r="AI167" i="1"/>
  <c r="BV167" i="1" s="1"/>
  <c r="Y168" i="1"/>
  <c r="Z168" i="1"/>
  <c r="AA168" i="1"/>
  <c r="AB168" i="1"/>
  <c r="AC168" i="1"/>
  <c r="AD168" i="1"/>
  <c r="BQ168" i="1" s="1"/>
  <c r="AE168" i="1"/>
  <c r="BR168" i="1" s="1"/>
  <c r="AF168" i="1"/>
  <c r="BS168" i="1" s="1"/>
  <c r="AG168" i="1"/>
  <c r="AH168" i="1"/>
  <c r="AI168" i="1"/>
  <c r="Y169" i="1"/>
  <c r="Z169" i="1"/>
  <c r="AA169" i="1"/>
  <c r="BN169" i="1" s="1"/>
  <c r="AB169" i="1"/>
  <c r="BO169" i="1" s="1"/>
  <c r="AC169" i="1"/>
  <c r="BP169" i="1" s="1"/>
  <c r="AD169" i="1"/>
  <c r="AE169" i="1"/>
  <c r="AF169" i="1"/>
  <c r="AG169" i="1"/>
  <c r="AH169" i="1"/>
  <c r="BU169" i="1" s="1"/>
  <c r="AI169" i="1"/>
  <c r="BV169" i="1" s="1"/>
  <c r="Y170" i="1"/>
  <c r="BL170" i="1" s="1"/>
  <c r="Z170" i="1"/>
  <c r="BM170" i="1" s="1"/>
  <c r="AA170" i="1"/>
  <c r="AB170" i="1"/>
  <c r="AC170" i="1"/>
  <c r="AD170" i="1"/>
  <c r="AE170" i="1"/>
  <c r="AF170" i="1"/>
  <c r="BS170" i="1" s="1"/>
  <c r="AG170" i="1"/>
  <c r="BT170" i="1" s="1"/>
  <c r="AH170" i="1"/>
  <c r="BU170" i="1" s="1"/>
  <c r="AI170" i="1"/>
  <c r="Y171" i="1"/>
  <c r="Z171" i="1"/>
  <c r="AA171" i="1"/>
  <c r="AB171" i="1"/>
  <c r="AC171" i="1"/>
  <c r="BP171" i="1" s="1"/>
  <c r="AD171" i="1"/>
  <c r="BQ171" i="1" s="1"/>
  <c r="AE171" i="1"/>
  <c r="BR171" i="1" s="1"/>
  <c r="AF171" i="1"/>
  <c r="AG171" i="1"/>
  <c r="AH171" i="1"/>
  <c r="AI171" i="1"/>
  <c r="Y172" i="1"/>
  <c r="BL172" i="1" s="1"/>
  <c r="Z172" i="1"/>
  <c r="BM172" i="1" s="1"/>
  <c r="AA172" i="1"/>
  <c r="BN172" i="1" s="1"/>
  <c r="AB172" i="1"/>
  <c r="BO172" i="1" s="1"/>
  <c r="AC172" i="1"/>
  <c r="AD172" i="1"/>
  <c r="AE172" i="1"/>
  <c r="AF172" i="1"/>
  <c r="AG172" i="1"/>
  <c r="AH172" i="1"/>
  <c r="BU172" i="1" s="1"/>
  <c r="AI172" i="1"/>
  <c r="BV172" i="1" s="1"/>
  <c r="Y173" i="1"/>
  <c r="BL173" i="1" s="1"/>
  <c r="Z173" i="1"/>
  <c r="AA173" i="1"/>
  <c r="AB173" i="1"/>
  <c r="AC173" i="1"/>
  <c r="AD173" i="1"/>
  <c r="BQ173" i="1" s="1"/>
  <c r="AE173" i="1"/>
  <c r="BR173" i="1" s="1"/>
  <c r="AF173" i="1"/>
  <c r="BS173" i="1" s="1"/>
  <c r="AG173" i="1"/>
  <c r="BT173" i="1" s="1"/>
  <c r="AH173" i="1"/>
  <c r="AI173" i="1"/>
  <c r="Y174" i="1"/>
  <c r="Z174" i="1"/>
  <c r="AA174" i="1"/>
  <c r="AB174" i="1"/>
  <c r="BO174" i="1" s="1"/>
  <c r="AC174" i="1"/>
  <c r="BP174" i="1" s="1"/>
  <c r="AD174" i="1"/>
  <c r="BQ174" i="1" s="1"/>
  <c r="AE174" i="1"/>
  <c r="AF174" i="1"/>
  <c r="AG174" i="1"/>
  <c r="AH174" i="1"/>
  <c r="AI174" i="1"/>
  <c r="Y175" i="1"/>
  <c r="BL175" i="1" s="1"/>
  <c r="Z175" i="1"/>
  <c r="BM175" i="1" s="1"/>
  <c r="AA175" i="1"/>
  <c r="BN175" i="1" s="1"/>
  <c r="AB175" i="1"/>
  <c r="AC175" i="1"/>
  <c r="AD175" i="1"/>
  <c r="AE175" i="1"/>
  <c r="AF175" i="1"/>
  <c r="BS175" i="1" s="1"/>
  <c r="AG175" i="1"/>
  <c r="BT175" i="1" s="1"/>
  <c r="AH175" i="1"/>
  <c r="BU175" i="1" s="1"/>
  <c r="AI175" i="1"/>
  <c r="BV175" i="1" s="1"/>
  <c r="Y176" i="1"/>
  <c r="Z176" i="1"/>
  <c r="AA176" i="1"/>
  <c r="AB176" i="1"/>
  <c r="AC176" i="1"/>
  <c r="AD176" i="1"/>
  <c r="BQ176" i="1" s="1"/>
  <c r="AE176" i="1"/>
  <c r="BR176" i="1" s="1"/>
  <c r="AF176" i="1"/>
  <c r="BS176" i="1" s="1"/>
  <c r="AG176" i="1"/>
  <c r="AH176" i="1"/>
  <c r="AI176" i="1"/>
  <c r="Y177" i="1"/>
  <c r="Z177" i="1"/>
  <c r="AA177" i="1"/>
  <c r="BN177" i="1" s="1"/>
  <c r="AB177" i="1"/>
  <c r="BO177" i="1" s="1"/>
  <c r="AC177" i="1"/>
  <c r="BP177" i="1" s="1"/>
  <c r="AD177" i="1"/>
  <c r="AE177" i="1"/>
  <c r="AF177" i="1"/>
  <c r="AG177" i="1"/>
  <c r="AH177" i="1"/>
  <c r="BU177" i="1" s="1"/>
  <c r="AI177" i="1"/>
  <c r="BV177" i="1" s="1"/>
  <c r="Y178" i="1"/>
  <c r="BL178" i="1" s="1"/>
  <c r="Z178" i="1"/>
  <c r="BM178" i="1" s="1"/>
  <c r="AA178" i="1"/>
  <c r="AB178" i="1"/>
  <c r="AC178" i="1"/>
  <c r="AD178" i="1"/>
  <c r="AE178" i="1"/>
  <c r="AF178" i="1"/>
  <c r="BS178" i="1" s="1"/>
  <c r="AG178" i="1"/>
  <c r="BT178" i="1" s="1"/>
  <c r="AH178" i="1"/>
  <c r="BU178" i="1" s="1"/>
  <c r="AI178" i="1"/>
  <c r="Y179" i="1"/>
  <c r="Z179" i="1"/>
  <c r="AA179" i="1"/>
  <c r="AB179" i="1"/>
  <c r="BO179" i="1" s="1"/>
  <c r="AC179" i="1"/>
  <c r="BP179" i="1" s="1"/>
  <c r="AD179" i="1"/>
  <c r="BQ179" i="1" s="1"/>
  <c r="AE179" i="1"/>
  <c r="BR179" i="1" s="1"/>
  <c r="AF179" i="1"/>
  <c r="AG179" i="1"/>
  <c r="AH179" i="1"/>
  <c r="AI179" i="1"/>
  <c r="Y180" i="1"/>
  <c r="Z180" i="1"/>
  <c r="BM180" i="1" s="1"/>
  <c r="AA180" i="1"/>
  <c r="BN180" i="1" s="1"/>
  <c r="AB180" i="1"/>
  <c r="BO180" i="1" s="1"/>
  <c r="AC180" i="1"/>
  <c r="AD180" i="1"/>
  <c r="AE180" i="1"/>
  <c r="AF180" i="1"/>
  <c r="AG180" i="1"/>
  <c r="AH180" i="1"/>
  <c r="BU180" i="1" s="1"/>
  <c r="AI180" i="1"/>
  <c r="BV180" i="1" s="1"/>
  <c r="Y181" i="1"/>
  <c r="BL181" i="1" s="1"/>
  <c r="Z181" i="1"/>
  <c r="AA181" i="1"/>
  <c r="AB181" i="1"/>
  <c r="AC181" i="1"/>
  <c r="AD181" i="1"/>
  <c r="BQ181" i="1" s="1"/>
  <c r="AE181" i="1"/>
  <c r="BR181" i="1" s="1"/>
  <c r="AF181" i="1"/>
  <c r="BS181" i="1" s="1"/>
  <c r="AG181" i="1"/>
  <c r="BT181" i="1" s="1"/>
  <c r="AH181" i="1"/>
  <c r="AI181" i="1"/>
  <c r="Y182" i="1"/>
  <c r="Z182" i="1"/>
  <c r="AA182" i="1"/>
  <c r="AB182" i="1"/>
  <c r="BO182" i="1" s="1"/>
  <c r="AC182" i="1"/>
  <c r="BP182" i="1" s="1"/>
  <c r="AD182" i="1"/>
  <c r="BQ182" i="1" s="1"/>
  <c r="AE182" i="1"/>
  <c r="AF182" i="1"/>
  <c r="AG182" i="1"/>
  <c r="AH182" i="1"/>
  <c r="AI182" i="1"/>
  <c r="Y183" i="1"/>
  <c r="BL183" i="1" s="1"/>
  <c r="Z183" i="1"/>
  <c r="BM183" i="1" s="1"/>
  <c r="AA183" i="1"/>
  <c r="BN183" i="1" s="1"/>
  <c r="AB183" i="1"/>
  <c r="AC183" i="1"/>
  <c r="AD183" i="1"/>
  <c r="AE183" i="1"/>
  <c r="AF183" i="1"/>
  <c r="BS183" i="1" s="1"/>
  <c r="AG183" i="1"/>
  <c r="BT183" i="1" s="1"/>
  <c r="AH183" i="1"/>
  <c r="BU183" i="1" s="1"/>
  <c r="AI183" i="1"/>
  <c r="BV183" i="1" s="1"/>
  <c r="Y184" i="1"/>
  <c r="Z184" i="1"/>
  <c r="AA184" i="1"/>
  <c r="AB184" i="1"/>
  <c r="AC184" i="1"/>
  <c r="AD184" i="1"/>
  <c r="BQ184" i="1" s="1"/>
  <c r="AE184" i="1"/>
  <c r="BR184" i="1" s="1"/>
  <c r="AF184" i="1"/>
  <c r="BS184" i="1" s="1"/>
  <c r="AG184" i="1"/>
  <c r="AH184" i="1"/>
  <c r="AI184" i="1"/>
  <c r="Y185" i="1"/>
  <c r="Z185" i="1"/>
  <c r="BM185" i="1" s="1"/>
  <c r="AA185" i="1"/>
  <c r="BN185" i="1" s="1"/>
  <c r="AB185" i="1"/>
  <c r="BO185" i="1" s="1"/>
  <c r="AC185" i="1"/>
  <c r="BP185" i="1" s="1"/>
  <c r="AD185" i="1"/>
  <c r="AE185" i="1"/>
  <c r="AF185" i="1"/>
  <c r="AG185" i="1"/>
  <c r="AH185" i="1"/>
  <c r="AI185" i="1"/>
  <c r="BV185" i="1" s="1"/>
  <c r="Y186" i="1"/>
  <c r="BL186" i="1" s="1"/>
  <c r="Z186" i="1"/>
  <c r="BM186" i="1" s="1"/>
  <c r="AA186" i="1"/>
  <c r="AB186" i="1"/>
  <c r="AC186" i="1"/>
  <c r="AD186" i="1"/>
  <c r="AE186" i="1"/>
  <c r="AF186" i="1"/>
  <c r="BS186" i="1" s="1"/>
  <c r="AG186" i="1"/>
  <c r="BT186" i="1" s="1"/>
  <c r="AH186" i="1"/>
  <c r="BU186" i="1" s="1"/>
  <c r="AI186" i="1"/>
  <c r="Y187" i="1"/>
  <c r="Z187" i="1"/>
  <c r="AA187" i="1"/>
  <c r="AB187" i="1"/>
  <c r="BO187" i="1" s="1"/>
  <c r="AC187" i="1"/>
  <c r="BP187" i="1" s="1"/>
  <c r="AD187" i="1"/>
  <c r="BQ187" i="1" s="1"/>
  <c r="AE187" i="1"/>
  <c r="BR187" i="1" s="1"/>
  <c r="AF187" i="1"/>
  <c r="AG187" i="1"/>
  <c r="AH187" i="1"/>
  <c r="AI187" i="1"/>
  <c r="Y188" i="1"/>
  <c r="Z188" i="1"/>
  <c r="BM188" i="1" s="1"/>
  <c r="AA188" i="1"/>
  <c r="BN188" i="1" s="1"/>
  <c r="AB188" i="1"/>
  <c r="BO188" i="1" s="1"/>
  <c r="AC188" i="1"/>
  <c r="AD188" i="1"/>
  <c r="AE188" i="1"/>
  <c r="AF188" i="1"/>
  <c r="AG188" i="1"/>
  <c r="AH188" i="1"/>
  <c r="BU188" i="1" s="1"/>
  <c r="AI188" i="1"/>
  <c r="BV188" i="1" s="1"/>
  <c r="Y189" i="1"/>
  <c r="BL189" i="1" s="1"/>
  <c r="Z189" i="1"/>
  <c r="AA189" i="1"/>
  <c r="AB189" i="1"/>
  <c r="AC189" i="1"/>
  <c r="AD189" i="1"/>
  <c r="BQ189" i="1" s="1"/>
  <c r="AE189" i="1"/>
  <c r="BR189" i="1" s="1"/>
  <c r="AF189" i="1"/>
  <c r="BS189" i="1" s="1"/>
  <c r="AG189" i="1"/>
  <c r="BT189" i="1" s="1"/>
  <c r="AH189" i="1"/>
  <c r="AI189" i="1"/>
  <c r="Y190" i="1"/>
  <c r="Z190" i="1"/>
  <c r="AA190" i="1"/>
  <c r="AB190" i="1"/>
  <c r="BO190" i="1" s="1"/>
  <c r="AC190" i="1"/>
  <c r="BP190" i="1" s="1"/>
  <c r="AD190" i="1"/>
  <c r="BQ190" i="1" s="1"/>
  <c r="AE190" i="1"/>
  <c r="AF190" i="1"/>
  <c r="AG190" i="1"/>
  <c r="AH190" i="1"/>
  <c r="AI190" i="1"/>
  <c r="BV190" i="1" s="1"/>
  <c r="Y191" i="1"/>
  <c r="BL191" i="1" s="1"/>
  <c r="Z191" i="1"/>
  <c r="BM191" i="1" s="1"/>
  <c r="AA191" i="1"/>
  <c r="BN191" i="1" s="1"/>
  <c r="AB191" i="1"/>
  <c r="AC191" i="1"/>
  <c r="AD191" i="1"/>
  <c r="AE191" i="1"/>
  <c r="AF191" i="1"/>
  <c r="AG191" i="1"/>
  <c r="BT191" i="1" s="1"/>
  <c r="AH191" i="1"/>
  <c r="BU191" i="1" s="1"/>
  <c r="AI191" i="1"/>
  <c r="BV191" i="1" s="1"/>
  <c r="Y192" i="1"/>
  <c r="Z192" i="1"/>
  <c r="AA192" i="1"/>
  <c r="AB192" i="1"/>
  <c r="AC192" i="1"/>
  <c r="AD192" i="1"/>
  <c r="AE192" i="1"/>
  <c r="BR192" i="1" s="1"/>
  <c r="AF192" i="1"/>
  <c r="BS192" i="1" s="1"/>
  <c r="AG192" i="1"/>
  <c r="AH192" i="1"/>
  <c r="AI192" i="1"/>
  <c r="Y193" i="1"/>
  <c r="Z193" i="1"/>
  <c r="BM193" i="1" s="1"/>
  <c r="AA193" i="1"/>
  <c r="BN193" i="1" s="1"/>
  <c r="AB193" i="1"/>
  <c r="BO193" i="1" s="1"/>
  <c r="AC193" i="1"/>
  <c r="BP193" i="1" s="1"/>
  <c r="AD193" i="1"/>
  <c r="AE193" i="1"/>
  <c r="AF193" i="1"/>
  <c r="AG193" i="1"/>
  <c r="AH193" i="1"/>
  <c r="BU193" i="1" s="1"/>
  <c r="AI193" i="1"/>
  <c r="BV193" i="1" s="1"/>
  <c r="Y194" i="1"/>
  <c r="BL194" i="1" s="1"/>
  <c r="Z194" i="1"/>
  <c r="BM194" i="1" s="1"/>
  <c r="AA194" i="1"/>
  <c r="AB194" i="1"/>
  <c r="AC194" i="1"/>
  <c r="AD194" i="1"/>
  <c r="AE194" i="1"/>
  <c r="AF194" i="1"/>
  <c r="AG194" i="1"/>
  <c r="BT194" i="1" s="1"/>
  <c r="AH194" i="1"/>
  <c r="BU194" i="1" s="1"/>
  <c r="AI194" i="1"/>
  <c r="Y195" i="1"/>
  <c r="Z195" i="1"/>
  <c r="AA195" i="1"/>
  <c r="AB195" i="1"/>
  <c r="AC195" i="1"/>
  <c r="AD195" i="1"/>
  <c r="BQ195" i="1" s="1"/>
  <c r="AE195" i="1"/>
  <c r="BR195" i="1" s="1"/>
  <c r="AF195" i="1"/>
  <c r="AG195" i="1"/>
  <c r="AH195" i="1"/>
  <c r="AI195" i="1"/>
  <c r="Y196" i="1"/>
  <c r="BL196" i="1" s="1"/>
  <c r="Z196" i="1"/>
  <c r="BM196" i="1" s="1"/>
  <c r="AA196" i="1"/>
  <c r="BN196" i="1" s="1"/>
  <c r="AB196" i="1"/>
  <c r="BO196" i="1" s="1"/>
  <c r="AC196" i="1"/>
  <c r="AD196" i="1"/>
  <c r="AE196" i="1"/>
  <c r="AF196" i="1"/>
  <c r="AG196" i="1"/>
  <c r="BT196" i="1" s="1"/>
  <c r="AH196" i="1"/>
  <c r="BU196" i="1" s="1"/>
  <c r="AI196" i="1"/>
  <c r="BV196" i="1" s="1"/>
  <c r="Y197" i="1"/>
  <c r="BL197" i="1" s="1"/>
  <c r="Z197" i="1"/>
  <c r="AA197" i="1"/>
  <c r="AB197" i="1"/>
  <c r="AC197" i="1"/>
  <c r="AD197" i="1"/>
  <c r="AE197" i="1"/>
  <c r="AF197" i="1"/>
  <c r="BS197" i="1" s="1"/>
  <c r="AG197" i="1"/>
  <c r="BT197" i="1" s="1"/>
  <c r="AH197" i="1"/>
  <c r="AI197" i="1"/>
  <c r="Y198" i="1"/>
  <c r="Z198" i="1"/>
  <c r="AA198" i="1"/>
  <c r="AB198" i="1"/>
  <c r="AC198" i="1"/>
  <c r="BP198" i="1" s="1"/>
  <c r="AD198" i="1"/>
  <c r="BQ198" i="1" s="1"/>
  <c r="AE198" i="1"/>
  <c r="AF198" i="1"/>
  <c r="AG198" i="1"/>
  <c r="AH198" i="1"/>
  <c r="AI198" i="1"/>
  <c r="BV198" i="1" s="1"/>
  <c r="Y199" i="1"/>
  <c r="BL199" i="1" s="1"/>
  <c r="Z199" i="1"/>
  <c r="BM199" i="1" s="1"/>
  <c r="AA199" i="1"/>
  <c r="BN199" i="1" s="1"/>
  <c r="AB199" i="1"/>
  <c r="AC199" i="1"/>
  <c r="AD199" i="1"/>
  <c r="AE199" i="1"/>
  <c r="AF199" i="1"/>
  <c r="BS199" i="1" s="1"/>
  <c r="AG199" i="1"/>
  <c r="BT199" i="1" s="1"/>
  <c r="AH199" i="1"/>
  <c r="BU199" i="1" s="1"/>
  <c r="AI199" i="1"/>
  <c r="BV199" i="1" s="1"/>
  <c r="Y200" i="1"/>
  <c r="Z200" i="1"/>
  <c r="AA200" i="1"/>
  <c r="AB200" i="1"/>
  <c r="AC200" i="1"/>
  <c r="AD200" i="1"/>
  <c r="AE200" i="1"/>
  <c r="BR200" i="1" s="1"/>
  <c r="AF200" i="1"/>
  <c r="BS200" i="1" s="1"/>
  <c r="AG200" i="1"/>
  <c r="AH200" i="1"/>
  <c r="AI200" i="1"/>
  <c r="Y201" i="1"/>
  <c r="Z201" i="1"/>
  <c r="AA201" i="1"/>
  <c r="AB201" i="1"/>
  <c r="BO201" i="1" s="1"/>
  <c r="AC201" i="1"/>
  <c r="BP201" i="1" s="1"/>
  <c r="AD201" i="1"/>
  <c r="AE201" i="1"/>
  <c r="AF201" i="1"/>
  <c r="AG201" i="1"/>
  <c r="AH201" i="1"/>
  <c r="AI201" i="1"/>
  <c r="Y202" i="1"/>
  <c r="Z202" i="1"/>
  <c r="BM202" i="1" s="1"/>
  <c r="AA202" i="1"/>
  <c r="AB202" i="1"/>
  <c r="AC202" i="1"/>
  <c r="AD202" i="1"/>
  <c r="AE202" i="1"/>
  <c r="AF202" i="1"/>
  <c r="AG202" i="1"/>
  <c r="AH202" i="1"/>
  <c r="AI202" i="1"/>
  <c r="Y203" i="1"/>
  <c r="Z203" i="1"/>
  <c r="AA203" i="1"/>
  <c r="AB203" i="1"/>
  <c r="AC203" i="1"/>
  <c r="AD203" i="1"/>
  <c r="AE203" i="1"/>
  <c r="AF203" i="1"/>
  <c r="AG203" i="1"/>
  <c r="AH203" i="1"/>
  <c r="AI203" i="1"/>
  <c r="Y204" i="1"/>
  <c r="Z204" i="1"/>
  <c r="AA204" i="1"/>
  <c r="BN204" i="1" s="1"/>
  <c r="AB204" i="1"/>
  <c r="BO204" i="1" s="1"/>
  <c r="AC204" i="1"/>
  <c r="AD204" i="1"/>
  <c r="AE204" i="1"/>
  <c r="AF204" i="1"/>
  <c r="AG204" i="1"/>
  <c r="AH204" i="1"/>
  <c r="AI204" i="1"/>
  <c r="BV204" i="1" s="1"/>
  <c r="Y205" i="1"/>
  <c r="BL205" i="1" s="1"/>
  <c r="Z205" i="1"/>
  <c r="AA205" i="1"/>
  <c r="AB205" i="1"/>
  <c r="AC205" i="1"/>
  <c r="AD205" i="1"/>
  <c r="AE205" i="1"/>
  <c r="AF205" i="1"/>
  <c r="BS205" i="1" s="1"/>
  <c r="AG205" i="1"/>
  <c r="BT205" i="1" s="1"/>
  <c r="AH205" i="1"/>
  <c r="AI205" i="1"/>
  <c r="Y206" i="1"/>
  <c r="Z206" i="1"/>
  <c r="AA206" i="1"/>
  <c r="AB206" i="1"/>
  <c r="AC206" i="1"/>
  <c r="BP206" i="1" s="1"/>
  <c r="AD206" i="1"/>
  <c r="BQ206" i="1" s="1"/>
  <c r="AE206" i="1"/>
  <c r="AF206" i="1"/>
  <c r="AG206" i="1"/>
  <c r="AH206" i="1"/>
  <c r="AI206" i="1"/>
  <c r="Y207" i="1"/>
  <c r="Z207" i="1"/>
  <c r="BM207" i="1" s="1"/>
  <c r="AA207" i="1"/>
  <c r="BN207" i="1" s="1"/>
  <c r="AB207" i="1"/>
  <c r="AC207" i="1"/>
  <c r="AD207" i="1"/>
  <c r="AE207" i="1"/>
  <c r="AF207" i="1"/>
  <c r="AG207" i="1"/>
  <c r="AH207" i="1"/>
  <c r="AI207" i="1"/>
  <c r="BV207" i="1" s="1"/>
  <c r="Y208" i="1"/>
  <c r="Z208" i="1"/>
  <c r="AA208" i="1"/>
  <c r="AB208" i="1"/>
  <c r="AC208" i="1"/>
  <c r="AD208" i="1"/>
  <c r="AE208" i="1"/>
  <c r="AF208" i="1"/>
  <c r="AG208" i="1"/>
  <c r="AH208" i="1"/>
  <c r="AI208" i="1"/>
  <c r="Y209" i="1"/>
  <c r="Z209" i="1"/>
  <c r="AA209" i="1"/>
  <c r="AB209" i="1"/>
  <c r="AC209" i="1"/>
  <c r="AD209" i="1"/>
  <c r="AE209" i="1"/>
  <c r="AF209" i="1"/>
  <c r="AG209" i="1"/>
  <c r="AH209" i="1"/>
  <c r="AI209" i="1"/>
  <c r="Y210" i="1"/>
  <c r="BL210" i="1" s="1"/>
  <c r="Z210" i="1"/>
  <c r="BM210" i="1" s="1"/>
  <c r="AA210" i="1"/>
  <c r="AB210" i="1"/>
  <c r="AC210" i="1"/>
  <c r="AD210" i="1"/>
  <c r="AE210" i="1"/>
  <c r="AF210" i="1"/>
  <c r="AG210" i="1"/>
  <c r="BT210" i="1" s="1"/>
  <c r="AH210" i="1"/>
  <c r="BU210" i="1" s="1"/>
  <c r="AI210" i="1"/>
  <c r="Y211" i="1"/>
  <c r="Z211" i="1"/>
  <c r="AA211" i="1"/>
  <c r="AB211" i="1"/>
  <c r="AC211" i="1"/>
  <c r="AD211" i="1"/>
  <c r="BQ211" i="1" s="1"/>
  <c r="AE211" i="1"/>
  <c r="BR211" i="1" s="1"/>
  <c r="AF211" i="1"/>
  <c r="AG211" i="1"/>
  <c r="AH211" i="1"/>
  <c r="AI211" i="1"/>
  <c r="Y212" i="1"/>
  <c r="Z212" i="1"/>
  <c r="AA212" i="1"/>
  <c r="BN212" i="1" s="1"/>
  <c r="AB212" i="1"/>
  <c r="BO212" i="1" s="1"/>
  <c r="AC212" i="1"/>
  <c r="AD212" i="1"/>
  <c r="AE212" i="1"/>
  <c r="AF212" i="1"/>
  <c r="AG212" i="1"/>
  <c r="AH212" i="1"/>
  <c r="AI212" i="1"/>
  <c r="BV212" i="1" s="1"/>
  <c r="Y213" i="1"/>
  <c r="BL213" i="1" s="1"/>
  <c r="Z213" i="1"/>
  <c r="AA213" i="1"/>
  <c r="AB213" i="1"/>
  <c r="AC213" i="1"/>
  <c r="AD213" i="1"/>
  <c r="AE213" i="1"/>
  <c r="AF213" i="1"/>
  <c r="AG213" i="1"/>
  <c r="BT213" i="1" s="1"/>
  <c r="AH213" i="1"/>
  <c r="AI213" i="1"/>
  <c r="Y214" i="1"/>
  <c r="Z214" i="1"/>
  <c r="AA214" i="1"/>
  <c r="AB214" i="1"/>
  <c r="AC214" i="1"/>
  <c r="AD214" i="1"/>
  <c r="AE214" i="1"/>
  <c r="AF214" i="1"/>
  <c r="AG214" i="1"/>
  <c r="AH214" i="1"/>
  <c r="AI214" i="1"/>
  <c r="Y215" i="1"/>
  <c r="Z215" i="1"/>
  <c r="AA215" i="1"/>
  <c r="AB215" i="1"/>
  <c r="AC215" i="1"/>
  <c r="AD215" i="1"/>
  <c r="AE215" i="1"/>
  <c r="AF215" i="1"/>
  <c r="AG215" i="1"/>
  <c r="AH215" i="1"/>
  <c r="BU215" i="1" s="1"/>
  <c r="AI215" i="1"/>
  <c r="BV215" i="1" s="1"/>
  <c r="Y216" i="1"/>
  <c r="Z216" i="1"/>
  <c r="AA216" i="1"/>
  <c r="AB216" i="1"/>
  <c r="AC216" i="1"/>
  <c r="AD216" i="1"/>
  <c r="AE216" i="1"/>
  <c r="BR216" i="1" s="1"/>
  <c r="AF216" i="1"/>
  <c r="BS216" i="1" s="1"/>
  <c r="AG216" i="1"/>
  <c r="AH216" i="1"/>
  <c r="AI216" i="1"/>
  <c r="Y217" i="1"/>
  <c r="Z217" i="1"/>
  <c r="AA217" i="1"/>
  <c r="AB217" i="1"/>
  <c r="BO217" i="1" s="1"/>
  <c r="AC217" i="1"/>
  <c r="BP217" i="1" s="1"/>
  <c r="AD217" i="1"/>
  <c r="AE217" i="1"/>
  <c r="AF217" i="1"/>
  <c r="AG217" i="1"/>
  <c r="AH217" i="1"/>
  <c r="AI217" i="1"/>
  <c r="Y218" i="1"/>
  <c r="BL218" i="1" s="1"/>
  <c r="Z218" i="1"/>
  <c r="BM218" i="1" s="1"/>
  <c r="AA218" i="1"/>
  <c r="AB218" i="1"/>
  <c r="AC218" i="1"/>
  <c r="AD218" i="1"/>
  <c r="AE218" i="1"/>
  <c r="AF218" i="1"/>
  <c r="AG218" i="1"/>
  <c r="BT218" i="1" s="1"/>
  <c r="AH218" i="1"/>
  <c r="BU218" i="1" s="1"/>
  <c r="AI218" i="1"/>
  <c r="Y219" i="1"/>
  <c r="Z219" i="1"/>
  <c r="AA219" i="1"/>
  <c r="AB219" i="1"/>
  <c r="AC219" i="1"/>
  <c r="AD219" i="1"/>
  <c r="AE219" i="1"/>
  <c r="BR219" i="1" s="1"/>
  <c r="AF219" i="1"/>
  <c r="AG219" i="1"/>
  <c r="AH219" i="1"/>
  <c r="AI219" i="1"/>
  <c r="Y220" i="1"/>
  <c r="Z220" i="1"/>
  <c r="AA220" i="1"/>
  <c r="AB220" i="1"/>
  <c r="AC220" i="1"/>
  <c r="AD220" i="1"/>
  <c r="AE220" i="1"/>
  <c r="AF220" i="1"/>
  <c r="AG220" i="1"/>
  <c r="AH220" i="1"/>
  <c r="AI220" i="1"/>
  <c r="Y221" i="1"/>
  <c r="Z221" i="1"/>
  <c r="AA221" i="1"/>
  <c r="AB221" i="1"/>
  <c r="AC221" i="1"/>
  <c r="AD221" i="1"/>
  <c r="AE221" i="1"/>
  <c r="AF221" i="1"/>
  <c r="BS221" i="1" s="1"/>
  <c r="AG221" i="1"/>
  <c r="BT221" i="1" s="1"/>
  <c r="AH221" i="1"/>
  <c r="AI221" i="1"/>
  <c r="Y222" i="1"/>
  <c r="Z222" i="1"/>
  <c r="AA222" i="1"/>
  <c r="AB222" i="1"/>
  <c r="AC222" i="1"/>
  <c r="BP222" i="1" s="1"/>
  <c r="AD222" i="1"/>
  <c r="BQ222" i="1" s="1"/>
  <c r="AE222" i="1"/>
  <c r="AF222" i="1"/>
  <c r="AG222" i="1"/>
  <c r="AH222" i="1"/>
  <c r="AI222" i="1"/>
  <c r="Y223" i="1"/>
  <c r="Z223" i="1"/>
  <c r="BM223" i="1" s="1"/>
  <c r="AA223" i="1"/>
  <c r="BN223" i="1" s="1"/>
  <c r="AB223" i="1"/>
  <c r="AC223" i="1"/>
  <c r="AD223" i="1"/>
  <c r="AE223" i="1"/>
  <c r="AF223" i="1"/>
  <c r="AG223" i="1"/>
  <c r="AH223" i="1"/>
  <c r="BU223" i="1" s="1"/>
  <c r="AI223" i="1"/>
  <c r="BV223" i="1" s="1"/>
  <c r="Y224" i="1"/>
  <c r="Z224" i="1"/>
  <c r="AA224" i="1"/>
  <c r="AB224" i="1"/>
  <c r="AC224" i="1"/>
  <c r="AD224" i="1"/>
  <c r="AE224" i="1"/>
  <c r="BR224" i="1" s="1"/>
  <c r="AF224" i="1"/>
  <c r="BS224" i="1" s="1"/>
  <c r="AG224" i="1"/>
  <c r="AH224" i="1"/>
  <c r="AI224" i="1"/>
  <c r="Y225" i="1"/>
  <c r="Z225" i="1"/>
  <c r="AA225" i="1"/>
  <c r="AB225" i="1"/>
  <c r="AC225" i="1"/>
  <c r="BP225" i="1" s="1"/>
  <c r="AD225" i="1"/>
  <c r="AE225" i="1"/>
  <c r="AF225" i="1"/>
  <c r="AG225" i="1"/>
  <c r="AH225" i="1"/>
  <c r="AI225" i="1"/>
  <c r="Y226" i="1"/>
  <c r="Z226" i="1"/>
  <c r="AA226" i="1"/>
  <c r="AB226" i="1"/>
  <c r="AC226" i="1"/>
  <c r="AD226" i="1"/>
  <c r="AE226" i="1"/>
  <c r="AF226" i="1"/>
  <c r="AG226" i="1"/>
  <c r="AH226" i="1"/>
  <c r="AI226" i="1"/>
  <c r="Y227" i="1"/>
  <c r="Z227" i="1"/>
  <c r="AA227" i="1"/>
  <c r="AB227" i="1"/>
  <c r="AC227" i="1"/>
  <c r="AD227" i="1"/>
  <c r="BQ227" i="1" s="1"/>
  <c r="AE227" i="1"/>
  <c r="BR227" i="1" s="1"/>
  <c r="AF227" i="1"/>
  <c r="AG227" i="1"/>
  <c r="AH227" i="1"/>
  <c r="AI227" i="1"/>
  <c r="Y228" i="1"/>
  <c r="Z228" i="1"/>
  <c r="AA228" i="1"/>
  <c r="BN228" i="1" s="1"/>
  <c r="AB228" i="1"/>
  <c r="BO228" i="1" s="1"/>
  <c r="AC228" i="1"/>
  <c r="AD228" i="1"/>
  <c r="AE228" i="1"/>
  <c r="AF228" i="1"/>
  <c r="AG228" i="1"/>
  <c r="AH228" i="1"/>
  <c r="AI228" i="1"/>
  <c r="BV228" i="1" s="1"/>
  <c r="Y229" i="1"/>
  <c r="BL229" i="1" s="1"/>
  <c r="Z229" i="1"/>
  <c r="AA229" i="1"/>
  <c r="AB229" i="1"/>
  <c r="AC229" i="1"/>
  <c r="AD229" i="1"/>
  <c r="AE229" i="1"/>
  <c r="AF229" i="1"/>
  <c r="BS229" i="1" s="1"/>
  <c r="AG229" i="1"/>
  <c r="BT229" i="1" s="1"/>
  <c r="AH229" i="1"/>
  <c r="AI229" i="1"/>
  <c r="Y230" i="1"/>
  <c r="Z230" i="1"/>
  <c r="AA230" i="1"/>
  <c r="AB230" i="1"/>
  <c r="AC230" i="1"/>
  <c r="BP230" i="1" s="1"/>
  <c r="AD230" i="1"/>
  <c r="BQ230" i="1" s="1"/>
  <c r="AE230" i="1"/>
  <c r="AF230" i="1"/>
  <c r="AG230" i="1"/>
  <c r="AH230" i="1"/>
  <c r="AI230" i="1"/>
  <c r="Y231" i="1"/>
  <c r="Z231" i="1"/>
  <c r="AA231" i="1"/>
  <c r="BN231" i="1" s="1"/>
  <c r="AB231" i="1"/>
  <c r="AC231" i="1"/>
  <c r="AD231" i="1"/>
  <c r="AE231" i="1"/>
  <c r="AF231" i="1"/>
  <c r="AG231" i="1"/>
  <c r="AH231" i="1"/>
  <c r="AI231" i="1"/>
  <c r="Y232" i="1"/>
  <c r="Z232" i="1"/>
  <c r="AA232" i="1"/>
  <c r="AB232" i="1"/>
  <c r="AC232" i="1"/>
  <c r="AD232" i="1"/>
  <c r="AE232" i="1"/>
  <c r="AF232" i="1"/>
  <c r="AG232" i="1"/>
  <c r="AH232" i="1"/>
  <c r="AI232" i="1"/>
  <c r="Y233" i="1"/>
  <c r="Z233" i="1"/>
  <c r="AA233" i="1"/>
  <c r="AB233" i="1"/>
  <c r="BO233" i="1" s="1"/>
  <c r="AC233" i="1"/>
  <c r="BP233" i="1" s="1"/>
  <c r="AD233" i="1"/>
  <c r="AE233" i="1"/>
  <c r="AF233" i="1"/>
  <c r="AG233" i="1"/>
  <c r="AH233" i="1"/>
  <c r="AI233" i="1"/>
  <c r="Y234" i="1"/>
  <c r="BL234" i="1" s="1"/>
  <c r="Z234" i="1"/>
  <c r="BM234" i="1" s="1"/>
  <c r="AA234" i="1"/>
  <c r="AB234" i="1"/>
  <c r="AC234" i="1"/>
  <c r="AD234" i="1"/>
  <c r="AE234" i="1"/>
  <c r="AF234" i="1"/>
  <c r="AG234" i="1"/>
  <c r="BT234" i="1" s="1"/>
  <c r="AH234" i="1"/>
  <c r="BU234" i="1" s="1"/>
  <c r="AI234" i="1"/>
  <c r="Y235" i="1"/>
  <c r="Z235" i="1"/>
  <c r="AA235" i="1"/>
  <c r="AB235" i="1"/>
  <c r="AC235" i="1"/>
  <c r="AD235" i="1"/>
  <c r="BQ235" i="1" s="1"/>
  <c r="AE235" i="1"/>
  <c r="BR235" i="1" s="1"/>
  <c r="AF235" i="1"/>
  <c r="AG235" i="1"/>
  <c r="AH235" i="1"/>
  <c r="AI235" i="1"/>
  <c r="Y236" i="1"/>
  <c r="Z236" i="1"/>
  <c r="AA236" i="1"/>
  <c r="BN236" i="1" s="1"/>
  <c r="AB236" i="1"/>
  <c r="BO236" i="1" s="1"/>
  <c r="AC236" i="1"/>
  <c r="AD236" i="1"/>
  <c r="AE236" i="1"/>
  <c r="AF236" i="1"/>
  <c r="AG236" i="1"/>
  <c r="AH236" i="1"/>
  <c r="AI236" i="1"/>
  <c r="Y237" i="1"/>
  <c r="BL237" i="1" s="1"/>
  <c r="Z237" i="1"/>
  <c r="BM237" i="1" s="1"/>
  <c r="AA237" i="1"/>
  <c r="AB237" i="1"/>
  <c r="AC237" i="1"/>
  <c r="AD237" i="1"/>
  <c r="AE237" i="1"/>
  <c r="AF237" i="1"/>
  <c r="AG237" i="1"/>
  <c r="AH237" i="1"/>
  <c r="BU237" i="1" s="1"/>
  <c r="AI237" i="1"/>
  <c r="Z138" i="1"/>
  <c r="AA138" i="1"/>
  <c r="AB138" i="1"/>
  <c r="AC138" i="1"/>
  <c r="AD138" i="1"/>
  <c r="AE138" i="1"/>
  <c r="AF138" i="1"/>
  <c r="AG138" i="1"/>
  <c r="AH138" i="1"/>
  <c r="AI138" i="1"/>
  <c r="Y138" i="1"/>
  <c r="BL139" i="1"/>
  <c r="BM139" i="1"/>
  <c r="BN139" i="1"/>
  <c r="BO139" i="1"/>
  <c r="BT139" i="1"/>
  <c r="BU139" i="1"/>
  <c r="BV139" i="1"/>
  <c r="BL140" i="1"/>
  <c r="BQ140" i="1"/>
  <c r="BR140" i="1"/>
  <c r="BS140" i="1"/>
  <c r="BN141" i="1"/>
  <c r="BO141" i="1"/>
  <c r="BP141" i="1"/>
  <c r="BV141" i="1"/>
  <c r="BL142" i="1"/>
  <c r="BM142" i="1"/>
  <c r="BN142" i="1"/>
  <c r="BS142" i="1"/>
  <c r="BT142" i="1"/>
  <c r="BU142" i="1"/>
  <c r="BP143" i="1"/>
  <c r="BQ143" i="1"/>
  <c r="BR143" i="1"/>
  <c r="BS143" i="1"/>
  <c r="BM144" i="1"/>
  <c r="BN144" i="1"/>
  <c r="BO144" i="1"/>
  <c r="BU144" i="1"/>
  <c r="BV144" i="1"/>
  <c r="BL145" i="1"/>
  <c r="BM145" i="1"/>
  <c r="BR145" i="1"/>
  <c r="BS145" i="1"/>
  <c r="BT145" i="1"/>
  <c r="BO146" i="1"/>
  <c r="BP146" i="1"/>
  <c r="BQ146" i="1"/>
  <c r="BL147" i="1"/>
  <c r="BM147" i="1"/>
  <c r="BN147" i="1"/>
  <c r="BO147" i="1"/>
  <c r="BT147" i="1"/>
  <c r="BU147" i="1"/>
  <c r="BV147" i="1"/>
  <c r="BQ148" i="1"/>
  <c r="BR148" i="1"/>
  <c r="BS148" i="1"/>
  <c r="BN149" i="1"/>
  <c r="BO149" i="1"/>
  <c r="BP149" i="1"/>
  <c r="BV149" i="1"/>
  <c r="BL150" i="1"/>
  <c r="BM150" i="1"/>
  <c r="BS150" i="1"/>
  <c r="BT150" i="1"/>
  <c r="BU150" i="1"/>
  <c r="BP151" i="1"/>
  <c r="BQ151" i="1"/>
  <c r="BR151" i="1"/>
  <c r="BM152" i="1"/>
  <c r="BN152" i="1"/>
  <c r="BO152" i="1"/>
  <c r="BU152" i="1"/>
  <c r="BV152" i="1"/>
  <c r="BL153" i="1"/>
  <c r="BR153" i="1"/>
  <c r="BS153" i="1"/>
  <c r="BT153" i="1"/>
  <c r="BO154" i="1"/>
  <c r="BP154" i="1"/>
  <c r="BQ154" i="1"/>
  <c r="BL155" i="1"/>
  <c r="BM155" i="1"/>
  <c r="BN155" i="1"/>
  <c r="BO155" i="1"/>
  <c r="BT155" i="1"/>
  <c r="BU155" i="1"/>
  <c r="BV155" i="1"/>
  <c r="BQ156" i="1"/>
  <c r="BR156" i="1"/>
  <c r="BS156" i="1"/>
  <c r="BN157" i="1"/>
  <c r="BO157" i="1"/>
  <c r="BP157" i="1"/>
  <c r="BV157" i="1"/>
  <c r="BL158" i="1"/>
  <c r="BM158" i="1"/>
  <c r="BS158" i="1"/>
  <c r="BT158" i="1"/>
  <c r="BU158" i="1"/>
  <c r="BP159" i="1"/>
  <c r="BQ159" i="1"/>
  <c r="BR159" i="1"/>
  <c r="BM160" i="1"/>
  <c r="BN160" i="1"/>
  <c r="BO160" i="1"/>
  <c r="BU160" i="1"/>
  <c r="BV160" i="1"/>
  <c r="BL161" i="1"/>
  <c r="BR161" i="1"/>
  <c r="BS161" i="1"/>
  <c r="BT161" i="1"/>
  <c r="BO162" i="1"/>
  <c r="BP162" i="1"/>
  <c r="BQ162" i="1"/>
  <c r="BL163" i="1"/>
  <c r="BM163" i="1"/>
  <c r="BN163" i="1"/>
  <c r="BO163" i="1"/>
  <c r="BT163" i="1"/>
  <c r="BU163" i="1"/>
  <c r="BV163" i="1"/>
  <c r="BQ164" i="1"/>
  <c r="BR164" i="1"/>
  <c r="BS164" i="1"/>
  <c r="BT164" i="1"/>
  <c r="BN165" i="1"/>
  <c r="BO165" i="1"/>
  <c r="BP165" i="1"/>
  <c r="BV165" i="1"/>
  <c r="BL166" i="1"/>
  <c r="BM166" i="1"/>
  <c r="BS166" i="1"/>
  <c r="BT166" i="1"/>
  <c r="BU166" i="1"/>
  <c r="BP167" i="1"/>
  <c r="BQ167" i="1"/>
  <c r="BR167" i="1"/>
  <c r="BM168" i="1"/>
  <c r="BN168" i="1"/>
  <c r="BO168" i="1"/>
  <c r="BP168" i="1"/>
  <c r="BU168" i="1"/>
  <c r="BV168" i="1"/>
  <c r="BL169" i="1"/>
  <c r="BR169" i="1"/>
  <c r="BS169" i="1"/>
  <c r="BT169" i="1"/>
  <c r="BO170" i="1"/>
  <c r="BP170" i="1"/>
  <c r="BQ170" i="1"/>
  <c r="BL171" i="1"/>
  <c r="BM171" i="1"/>
  <c r="BN171" i="1"/>
  <c r="BO171" i="1"/>
  <c r="BT171" i="1"/>
  <c r="BU171" i="1"/>
  <c r="BV171" i="1"/>
  <c r="BQ172" i="1"/>
  <c r="BR172" i="1"/>
  <c r="BS172" i="1"/>
  <c r="BN173" i="1"/>
  <c r="BO173" i="1"/>
  <c r="BP173" i="1"/>
  <c r="BV173" i="1"/>
  <c r="BL174" i="1"/>
  <c r="BM174" i="1"/>
  <c r="BS174" i="1"/>
  <c r="BT174" i="1"/>
  <c r="BU174" i="1"/>
  <c r="BV174" i="1"/>
  <c r="BP175" i="1"/>
  <c r="BQ175" i="1"/>
  <c r="BR175" i="1"/>
  <c r="BM176" i="1"/>
  <c r="BN176" i="1"/>
  <c r="BO176" i="1"/>
  <c r="BP176" i="1"/>
  <c r="BU176" i="1"/>
  <c r="BV176" i="1"/>
  <c r="BL177" i="1"/>
  <c r="BR177" i="1"/>
  <c r="BS177" i="1"/>
  <c r="BT177" i="1"/>
  <c r="BO178" i="1"/>
  <c r="BP178" i="1"/>
  <c r="BQ178" i="1"/>
  <c r="BR178" i="1"/>
  <c r="BL179" i="1"/>
  <c r="BM179" i="1"/>
  <c r="BN179" i="1"/>
  <c r="BT179" i="1"/>
  <c r="BU179" i="1"/>
  <c r="BV179" i="1"/>
  <c r="BL180" i="1"/>
  <c r="BQ180" i="1"/>
  <c r="BR180" i="1"/>
  <c r="BS180" i="1"/>
  <c r="BN181" i="1"/>
  <c r="BO181" i="1"/>
  <c r="BP181" i="1"/>
  <c r="BV181" i="1"/>
  <c r="BL182" i="1"/>
  <c r="BM182" i="1"/>
  <c r="BS182" i="1"/>
  <c r="BT182" i="1"/>
  <c r="BU182" i="1"/>
  <c r="BP183" i="1"/>
  <c r="BQ183" i="1"/>
  <c r="BR183" i="1"/>
  <c r="BM184" i="1"/>
  <c r="BN184" i="1"/>
  <c r="BO184" i="1"/>
  <c r="BU184" i="1"/>
  <c r="BV184" i="1"/>
  <c r="BL185" i="1"/>
  <c r="BR185" i="1"/>
  <c r="BS185" i="1"/>
  <c r="BT185" i="1"/>
  <c r="BU185" i="1"/>
  <c r="BO186" i="1"/>
  <c r="BP186" i="1"/>
  <c r="BQ186" i="1"/>
  <c r="BR186" i="1"/>
  <c r="BL187" i="1"/>
  <c r="BM187" i="1"/>
  <c r="BN187" i="1"/>
  <c r="BT187" i="1"/>
  <c r="BU187" i="1"/>
  <c r="BV187" i="1"/>
  <c r="BQ188" i="1"/>
  <c r="BR188" i="1"/>
  <c r="BS188" i="1"/>
  <c r="BN189" i="1"/>
  <c r="BO189" i="1"/>
  <c r="BP189" i="1"/>
  <c r="BV189" i="1"/>
  <c r="BL190" i="1"/>
  <c r="BM190" i="1"/>
  <c r="BS190" i="1"/>
  <c r="BT190" i="1"/>
  <c r="BU190" i="1"/>
  <c r="BP191" i="1"/>
  <c r="BQ191" i="1"/>
  <c r="BR191" i="1"/>
  <c r="BM192" i="1"/>
  <c r="BN192" i="1"/>
  <c r="BO192" i="1"/>
  <c r="BP192" i="1"/>
  <c r="BQ192" i="1"/>
  <c r="BU192" i="1"/>
  <c r="BV192" i="1"/>
  <c r="BL193" i="1"/>
  <c r="BR193" i="1"/>
  <c r="BS193" i="1"/>
  <c r="BT193" i="1"/>
  <c r="BO194" i="1"/>
  <c r="BP194" i="1"/>
  <c r="BQ194" i="1"/>
  <c r="BL195" i="1"/>
  <c r="BM195" i="1"/>
  <c r="BN195" i="1"/>
  <c r="BO195" i="1"/>
  <c r="BP195" i="1"/>
  <c r="BT195" i="1"/>
  <c r="BU195" i="1"/>
  <c r="BV195" i="1"/>
  <c r="BQ196" i="1"/>
  <c r="BR196" i="1"/>
  <c r="BS196" i="1"/>
  <c r="BN197" i="1"/>
  <c r="BO197" i="1"/>
  <c r="BP197" i="1"/>
  <c r="BQ197" i="1"/>
  <c r="BV197" i="1"/>
  <c r="BL198" i="1"/>
  <c r="BM198" i="1"/>
  <c r="BN198" i="1"/>
  <c r="BO198" i="1"/>
  <c r="BS198" i="1"/>
  <c r="BT198" i="1"/>
  <c r="BU198" i="1"/>
  <c r="BP199" i="1"/>
  <c r="BQ199" i="1"/>
  <c r="BR199" i="1"/>
  <c r="BM200" i="1"/>
  <c r="BN200" i="1"/>
  <c r="BO200" i="1"/>
  <c r="BU200" i="1"/>
  <c r="BV200" i="1"/>
  <c r="BL201" i="1"/>
  <c r="BR201" i="1"/>
  <c r="BS201" i="1"/>
  <c r="BT201" i="1"/>
  <c r="BO202" i="1"/>
  <c r="BP202" i="1"/>
  <c r="BQ202" i="1"/>
  <c r="BL203" i="1"/>
  <c r="BM203" i="1"/>
  <c r="BN203" i="1"/>
  <c r="BO203" i="1"/>
  <c r="BT203" i="1"/>
  <c r="BU203" i="1"/>
  <c r="BV203" i="1"/>
  <c r="BQ204" i="1"/>
  <c r="BR204" i="1"/>
  <c r="BS204" i="1"/>
  <c r="BT204" i="1"/>
  <c r="BU204" i="1"/>
  <c r="BN205" i="1"/>
  <c r="BO205" i="1"/>
  <c r="BP205" i="1"/>
  <c r="BV205" i="1"/>
  <c r="BL206" i="1"/>
  <c r="BM206" i="1"/>
  <c r="BN206" i="1"/>
  <c r="BO206" i="1"/>
  <c r="BS206" i="1"/>
  <c r="BT206" i="1"/>
  <c r="BU206" i="1"/>
  <c r="BP207" i="1"/>
  <c r="BQ207" i="1"/>
  <c r="BR207" i="1"/>
  <c r="BS207" i="1"/>
  <c r="BM208" i="1"/>
  <c r="BN208" i="1"/>
  <c r="BO208" i="1"/>
  <c r="BU208" i="1"/>
  <c r="BV208" i="1"/>
  <c r="BL209" i="1"/>
  <c r="BM209" i="1"/>
  <c r="BR209" i="1"/>
  <c r="BS209" i="1"/>
  <c r="BT209" i="1"/>
  <c r="BU209" i="1"/>
  <c r="BV209" i="1"/>
  <c r="BO210" i="1"/>
  <c r="BP210" i="1"/>
  <c r="BQ210" i="1"/>
  <c r="BL211" i="1"/>
  <c r="BM211" i="1"/>
  <c r="BN211" i="1"/>
  <c r="BO211" i="1"/>
  <c r="BP211" i="1"/>
  <c r="BT211" i="1"/>
  <c r="BU211" i="1"/>
  <c r="BV211" i="1"/>
  <c r="BQ212" i="1"/>
  <c r="BR212" i="1"/>
  <c r="BS212" i="1"/>
  <c r="BT212" i="1"/>
  <c r="BN213" i="1"/>
  <c r="BO213" i="1"/>
  <c r="BP213" i="1"/>
  <c r="BV213" i="1"/>
  <c r="BL214" i="1"/>
  <c r="BM214" i="1"/>
  <c r="BS214" i="1"/>
  <c r="BT214" i="1"/>
  <c r="BU214" i="1"/>
  <c r="BP215" i="1"/>
  <c r="BQ215" i="1"/>
  <c r="BR215" i="1"/>
  <c r="BM216" i="1"/>
  <c r="BN216" i="1"/>
  <c r="BO216" i="1"/>
  <c r="BU216" i="1"/>
  <c r="BV216" i="1"/>
  <c r="BL217" i="1"/>
  <c r="BR217" i="1"/>
  <c r="BS217" i="1"/>
  <c r="BT217" i="1"/>
  <c r="BO218" i="1"/>
  <c r="BP218" i="1"/>
  <c r="BQ218" i="1"/>
  <c r="BR218" i="1"/>
  <c r="BS218" i="1"/>
  <c r="BL219" i="1"/>
  <c r="BM219" i="1"/>
  <c r="BN219" i="1"/>
  <c r="BT219" i="1"/>
  <c r="BU219" i="1"/>
  <c r="BV219" i="1"/>
  <c r="BL220" i="1"/>
  <c r="BQ220" i="1"/>
  <c r="BR220" i="1"/>
  <c r="BS220" i="1"/>
  <c r="BN221" i="1"/>
  <c r="BO221" i="1"/>
  <c r="BP221" i="1"/>
  <c r="BQ221" i="1"/>
  <c r="BR221" i="1"/>
  <c r="BV221" i="1"/>
  <c r="BL222" i="1"/>
  <c r="BM222" i="1"/>
  <c r="BS222" i="1"/>
  <c r="BT222" i="1"/>
  <c r="BU222" i="1"/>
  <c r="BV222" i="1"/>
  <c r="BP223" i="1"/>
  <c r="BQ223" i="1"/>
  <c r="BR223" i="1"/>
  <c r="BM224" i="1"/>
  <c r="BN224" i="1"/>
  <c r="BO224" i="1"/>
  <c r="BU224" i="1"/>
  <c r="BV224" i="1"/>
  <c r="BL225" i="1"/>
  <c r="BR225" i="1"/>
  <c r="BS225" i="1"/>
  <c r="BT225" i="1"/>
  <c r="BU225" i="1"/>
  <c r="BO226" i="1"/>
  <c r="BP226" i="1"/>
  <c r="BQ226" i="1"/>
  <c r="BR226" i="1"/>
  <c r="BS226" i="1"/>
  <c r="BL227" i="1"/>
  <c r="BM227" i="1"/>
  <c r="BN227" i="1"/>
  <c r="BT227" i="1"/>
  <c r="BU227" i="1"/>
  <c r="BV227" i="1"/>
  <c r="BQ228" i="1"/>
  <c r="BR228" i="1"/>
  <c r="BS228" i="1"/>
  <c r="BT228" i="1"/>
  <c r="BU228" i="1"/>
  <c r="BN229" i="1"/>
  <c r="BO229" i="1"/>
  <c r="BP229" i="1"/>
  <c r="BV229" i="1"/>
  <c r="BL230" i="1"/>
  <c r="BM230" i="1"/>
  <c r="BN230" i="1"/>
  <c r="BO230" i="1"/>
  <c r="BS230" i="1"/>
  <c r="BT230" i="1"/>
  <c r="BU230" i="1"/>
  <c r="BP231" i="1"/>
  <c r="BQ231" i="1"/>
  <c r="BR231" i="1"/>
  <c r="BM232" i="1"/>
  <c r="BN232" i="1"/>
  <c r="BO232" i="1"/>
  <c r="BU232" i="1"/>
  <c r="BV232" i="1"/>
  <c r="BL233" i="1"/>
  <c r="BM233" i="1"/>
  <c r="BR233" i="1"/>
  <c r="BS233" i="1"/>
  <c r="BT233" i="1"/>
  <c r="BO234" i="1"/>
  <c r="BP234" i="1"/>
  <c r="BQ234" i="1"/>
  <c r="BL235" i="1"/>
  <c r="BM235" i="1"/>
  <c r="BN235" i="1"/>
  <c r="BT235" i="1"/>
  <c r="BU235" i="1"/>
  <c r="BV235" i="1"/>
  <c r="BL236" i="1"/>
  <c r="BM236" i="1"/>
  <c r="BQ236" i="1"/>
  <c r="BR236" i="1"/>
  <c r="BS236" i="1"/>
  <c r="BN237" i="1"/>
  <c r="BO237" i="1"/>
  <c r="BV237" i="1"/>
  <c r="BM138" i="1"/>
  <c r="BN138" i="1"/>
  <c r="BU138" i="1"/>
  <c r="BV138" i="1"/>
  <c r="V128" i="1"/>
  <c r="V127" i="1"/>
  <c r="Q4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4" i="1"/>
  <c r="R4" i="1"/>
  <c r="P4" i="1"/>
  <c r="T128" i="1"/>
  <c r="Z7" i="1"/>
  <c r="Z6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5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X4" i="1"/>
  <c r="T130" i="1"/>
  <c r="X126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U126" i="1"/>
  <c r="T126" i="1"/>
  <c r="P126" i="1"/>
  <c r="R126" i="1" s="1"/>
  <c r="O126" i="1"/>
  <c r="Q126" i="1" s="1"/>
  <c r="U125" i="1"/>
  <c r="T125" i="1"/>
  <c r="P125" i="1"/>
  <c r="R125" i="1" s="1"/>
  <c r="O125" i="1"/>
  <c r="Q125" i="1" s="1"/>
  <c r="U124" i="1"/>
  <c r="T124" i="1"/>
  <c r="P124" i="1"/>
  <c r="R124" i="1" s="1"/>
  <c r="O124" i="1"/>
  <c r="Q124" i="1" s="1"/>
  <c r="U123" i="1"/>
  <c r="T123" i="1"/>
  <c r="P123" i="1"/>
  <c r="R123" i="1" s="1"/>
  <c r="O123" i="1"/>
  <c r="Q123" i="1" s="1"/>
  <c r="U122" i="1"/>
  <c r="T122" i="1"/>
  <c r="P122" i="1"/>
  <c r="R122" i="1" s="1"/>
  <c r="O122" i="1"/>
  <c r="Q122" i="1" s="1"/>
  <c r="U121" i="1"/>
  <c r="T121" i="1"/>
  <c r="P121" i="1"/>
  <c r="R121" i="1" s="1"/>
  <c r="O121" i="1"/>
  <c r="Q121" i="1" s="1"/>
  <c r="U120" i="1"/>
  <c r="T120" i="1"/>
  <c r="P120" i="1"/>
  <c r="R120" i="1" s="1"/>
  <c r="O120" i="1"/>
  <c r="Q120" i="1" s="1"/>
  <c r="U119" i="1"/>
  <c r="T119" i="1"/>
  <c r="P119" i="1"/>
  <c r="R119" i="1" s="1"/>
  <c r="O119" i="1"/>
  <c r="Q119" i="1" s="1"/>
  <c r="U118" i="1"/>
  <c r="T118" i="1"/>
  <c r="P118" i="1"/>
  <c r="R118" i="1" s="1"/>
  <c r="O118" i="1"/>
  <c r="Q118" i="1" s="1"/>
  <c r="U117" i="1"/>
  <c r="T117" i="1"/>
  <c r="P117" i="1"/>
  <c r="R117" i="1" s="1"/>
  <c r="O117" i="1"/>
  <c r="Q117" i="1" s="1"/>
  <c r="U116" i="1"/>
  <c r="T116" i="1"/>
  <c r="P116" i="1"/>
  <c r="R116" i="1" s="1"/>
  <c r="O116" i="1"/>
  <c r="Q116" i="1" s="1"/>
  <c r="U115" i="1"/>
  <c r="T115" i="1"/>
  <c r="P115" i="1"/>
  <c r="R115" i="1" s="1"/>
  <c r="O115" i="1"/>
  <c r="Q115" i="1" s="1"/>
  <c r="U114" i="1"/>
  <c r="T114" i="1"/>
  <c r="P114" i="1"/>
  <c r="R114" i="1" s="1"/>
  <c r="O114" i="1"/>
  <c r="Q114" i="1" s="1"/>
  <c r="U113" i="1"/>
  <c r="T113" i="1"/>
  <c r="P113" i="1"/>
  <c r="R113" i="1" s="1"/>
  <c r="O113" i="1"/>
  <c r="Q113" i="1" s="1"/>
  <c r="U112" i="1"/>
  <c r="T112" i="1"/>
  <c r="P112" i="1"/>
  <c r="R112" i="1" s="1"/>
  <c r="O112" i="1"/>
  <c r="Q112" i="1" s="1"/>
  <c r="U111" i="1"/>
  <c r="T111" i="1"/>
  <c r="P111" i="1"/>
  <c r="R111" i="1" s="1"/>
  <c r="O111" i="1"/>
  <c r="Q111" i="1" s="1"/>
  <c r="U110" i="1"/>
  <c r="T110" i="1"/>
  <c r="P110" i="1"/>
  <c r="R110" i="1" s="1"/>
  <c r="O110" i="1"/>
  <c r="Q110" i="1" s="1"/>
  <c r="U109" i="1"/>
  <c r="T109" i="1"/>
  <c r="P109" i="1"/>
  <c r="R109" i="1" s="1"/>
  <c r="O109" i="1"/>
  <c r="Q109" i="1" s="1"/>
  <c r="U108" i="1"/>
  <c r="T108" i="1"/>
  <c r="P108" i="1"/>
  <c r="R108" i="1" s="1"/>
  <c r="O108" i="1"/>
  <c r="Q108" i="1" s="1"/>
  <c r="U107" i="1"/>
  <c r="T107" i="1"/>
  <c r="P107" i="1"/>
  <c r="R107" i="1" s="1"/>
  <c r="O107" i="1"/>
  <c r="Q107" i="1" s="1"/>
  <c r="U106" i="1"/>
  <c r="T106" i="1"/>
  <c r="P106" i="1"/>
  <c r="R106" i="1" s="1"/>
  <c r="O106" i="1"/>
  <c r="Q106" i="1" s="1"/>
  <c r="U105" i="1"/>
  <c r="T105" i="1"/>
  <c r="P105" i="1"/>
  <c r="R105" i="1" s="1"/>
  <c r="O105" i="1"/>
  <c r="Q105" i="1" s="1"/>
  <c r="U104" i="1"/>
  <c r="T104" i="1"/>
  <c r="P104" i="1"/>
  <c r="R104" i="1" s="1"/>
  <c r="O104" i="1"/>
  <c r="Q104" i="1" s="1"/>
  <c r="U103" i="1"/>
  <c r="T103" i="1"/>
  <c r="P103" i="1"/>
  <c r="R103" i="1" s="1"/>
  <c r="O103" i="1"/>
  <c r="Q103" i="1" s="1"/>
  <c r="U102" i="1"/>
  <c r="T102" i="1"/>
  <c r="P102" i="1"/>
  <c r="R102" i="1" s="1"/>
  <c r="O102" i="1"/>
  <c r="Q102" i="1" s="1"/>
  <c r="U101" i="1"/>
  <c r="T101" i="1"/>
  <c r="P101" i="1"/>
  <c r="R101" i="1" s="1"/>
  <c r="O101" i="1"/>
  <c r="Q101" i="1" s="1"/>
  <c r="U100" i="1"/>
  <c r="T100" i="1"/>
  <c r="P100" i="1"/>
  <c r="R100" i="1" s="1"/>
  <c r="O100" i="1"/>
  <c r="Q100" i="1" s="1"/>
  <c r="U99" i="1"/>
  <c r="T99" i="1"/>
  <c r="P99" i="1"/>
  <c r="R99" i="1" s="1"/>
  <c r="O99" i="1"/>
  <c r="Q99" i="1" s="1"/>
  <c r="U98" i="1"/>
  <c r="T98" i="1"/>
  <c r="P98" i="1"/>
  <c r="R98" i="1" s="1"/>
  <c r="O98" i="1"/>
  <c r="Q98" i="1" s="1"/>
  <c r="U97" i="1"/>
  <c r="T97" i="1"/>
  <c r="P97" i="1"/>
  <c r="R97" i="1" s="1"/>
  <c r="O97" i="1"/>
  <c r="Q97" i="1" s="1"/>
  <c r="U96" i="1"/>
  <c r="T96" i="1"/>
  <c r="P96" i="1"/>
  <c r="R96" i="1" s="1"/>
  <c r="O96" i="1"/>
  <c r="Q96" i="1" s="1"/>
  <c r="U95" i="1"/>
  <c r="T95" i="1"/>
  <c r="P95" i="1"/>
  <c r="R95" i="1" s="1"/>
  <c r="O95" i="1"/>
  <c r="Q95" i="1" s="1"/>
  <c r="U94" i="1"/>
  <c r="T94" i="1"/>
  <c r="P94" i="1"/>
  <c r="R94" i="1" s="1"/>
  <c r="O94" i="1"/>
  <c r="Q94" i="1" s="1"/>
  <c r="U93" i="1"/>
  <c r="T93" i="1"/>
  <c r="P93" i="1"/>
  <c r="R93" i="1" s="1"/>
  <c r="O93" i="1"/>
  <c r="Q93" i="1" s="1"/>
  <c r="U92" i="1"/>
  <c r="T92" i="1"/>
  <c r="P92" i="1"/>
  <c r="R92" i="1" s="1"/>
  <c r="O92" i="1"/>
  <c r="Q92" i="1" s="1"/>
  <c r="U91" i="1"/>
  <c r="T91" i="1"/>
  <c r="P91" i="1"/>
  <c r="R91" i="1" s="1"/>
  <c r="O91" i="1"/>
  <c r="Q91" i="1" s="1"/>
  <c r="U90" i="1"/>
  <c r="T90" i="1"/>
  <c r="P90" i="1"/>
  <c r="R90" i="1" s="1"/>
  <c r="O90" i="1"/>
  <c r="Q90" i="1" s="1"/>
  <c r="U89" i="1"/>
  <c r="T89" i="1"/>
  <c r="P89" i="1"/>
  <c r="R89" i="1" s="1"/>
  <c r="O89" i="1"/>
  <c r="Q89" i="1" s="1"/>
  <c r="U88" i="1"/>
  <c r="T88" i="1"/>
  <c r="P88" i="1"/>
  <c r="R88" i="1" s="1"/>
  <c r="O88" i="1"/>
  <c r="Q88" i="1" s="1"/>
  <c r="U87" i="1"/>
  <c r="T87" i="1"/>
  <c r="P87" i="1"/>
  <c r="R87" i="1" s="1"/>
  <c r="O87" i="1"/>
  <c r="Q87" i="1" s="1"/>
  <c r="U86" i="1"/>
  <c r="T86" i="1"/>
  <c r="P86" i="1"/>
  <c r="R86" i="1" s="1"/>
  <c r="O86" i="1"/>
  <c r="Q86" i="1" s="1"/>
  <c r="U85" i="1"/>
  <c r="T85" i="1"/>
  <c r="P85" i="1"/>
  <c r="R85" i="1" s="1"/>
  <c r="O85" i="1"/>
  <c r="Q85" i="1" s="1"/>
  <c r="U84" i="1"/>
  <c r="T84" i="1"/>
  <c r="P84" i="1"/>
  <c r="R84" i="1" s="1"/>
  <c r="O84" i="1"/>
  <c r="Q84" i="1" s="1"/>
  <c r="U83" i="1"/>
  <c r="T83" i="1"/>
  <c r="P83" i="1"/>
  <c r="R83" i="1" s="1"/>
  <c r="O83" i="1"/>
  <c r="Q83" i="1" s="1"/>
  <c r="U82" i="1"/>
  <c r="T82" i="1"/>
  <c r="P82" i="1"/>
  <c r="R82" i="1" s="1"/>
  <c r="O82" i="1"/>
  <c r="Q82" i="1" s="1"/>
  <c r="U81" i="1"/>
  <c r="T81" i="1"/>
  <c r="P81" i="1"/>
  <c r="R81" i="1" s="1"/>
  <c r="O81" i="1"/>
  <c r="Q81" i="1" s="1"/>
  <c r="U80" i="1"/>
  <c r="T80" i="1"/>
  <c r="P80" i="1"/>
  <c r="R80" i="1" s="1"/>
  <c r="O80" i="1"/>
  <c r="Q80" i="1" s="1"/>
  <c r="U79" i="1"/>
  <c r="T79" i="1"/>
  <c r="P79" i="1"/>
  <c r="R79" i="1" s="1"/>
  <c r="O79" i="1"/>
  <c r="Q79" i="1" s="1"/>
  <c r="U78" i="1"/>
  <c r="T78" i="1"/>
  <c r="P78" i="1"/>
  <c r="R78" i="1" s="1"/>
  <c r="O78" i="1"/>
  <c r="Q78" i="1" s="1"/>
  <c r="U77" i="1"/>
  <c r="T77" i="1"/>
  <c r="P77" i="1"/>
  <c r="R77" i="1" s="1"/>
  <c r="O77" i="1"/>
  <c r="Q77" i="1" s="1"/>
  <c r="U76" i="1"/>
  <c r="T76" i="1"/>
  <c r="P76" i="1"/>
  <c r="R76" i="1" s="1"/>
  <c r="O76" i="1"/>
  <c r="Q76" i="1" s="1"/>
  <c r="U75" i="1"/>
  <c r="T75" i="1"/>
  <c r="P75" i="1"/>
  <c r="R75" i="1" s="1"/>
  <c r="O75" i="1"/>
  <c r="Q75" i="1" s="1"/>
  <c r="U74" i="1"/>
  <c r="T74" i="1"/>
  <c r="P74" i="1"/>
  <c r="R74" i="1" s="1"/>
  <c r="O74" i="1"/>
  <c r="Q74" i="1" s="1"/>
  <c r="U73" i="1"/>
  <c r="T73" i="1"/>
  <c r="P73" i="1"/>
  <c r="R73" i="1" s="1"/>
  <c r="O73" i="1"/>
  <c r="Q73" i="1" s="1"/>
  <c r="U72" i="1"/>
  <c r="T72" i="1"/>
  <c r="P72" i="1"/>
  <c r="R72" i="1" s="1"/>
  <c r="O72" i="1"/>
  <c r="Q72" i="1" s="1"/>
  <c r="U71" i="1"/>
  <c r="T71" i="1"/>
  <c r="P71" i="1"/>
  <c r="R71" i="1" s="1"/>
  <c r="O71" i="1"/>
  <c r="Q71" i="1" s="1"/>
  <c r="U70" i="1"/>
  <c r="T70" i="1"/>
  <c r="P70" i="1"/>
  <c r="R70" i="1" s="1"/>
  <c r="O70" i="1"/>
  <c r="Q70" i="1" s="1"/>
  <c r="U69" i="1"/>
  <c r="T69" i="1"/>
  <c r="P69" i="1"/>
  <c r="R69" i="1" s="1"/>
  <c r="O69" i="1"/>
  <c r="Q69" i="1" s="1"/>
  <c r="U68" i="1"/>
  <c r="T68" i="1"/>
  <c r="P68" i="1"/>
  <c r="R68" i="1" s="1"/>
  <c r="O68" i="1"/>
  <c r="Q68" i="1" s="1"/>
  <c r="U67" i="1"/>
  <c r="T67" i="1"/>
  <c r="P67" i="1"/>
  <c r="R67" i="1" s="1"/>
  <c r="O67" i="1"/>
  <c r="Q67" i="1" s="1"/>
  <c r="U66" i="1"/>
  <c r="T66" i="1"/>
  <c r="P66" i="1"/>
  <c r="R66" i="1" s="1"/>
  <c r="O66" i="1"/>
  <c r="Q66" i="1" s="1"/>
  <c r="U65" i="1"/>
  <c r="T65" i="1"/>
  <c r="P65" i="1"/>
  <c r="R65" i="1" s="1"/>
  <c r="O65" i="1"/>
  <c r="Q65" i="1" s="1"/>
  <c r="U64" i="1"/>
  <c r="T64" i="1"/>
  <c r="P64" i="1"/>
  <c r="R64" i="1" s="1"/>
  <c r="O64" i="1"/>
  <c r="Q64" i="1" s="1"/>
  <c r="U63" i="1"/>
  <c r="T63" i="1"/>
  <c r="P63" i="1"/>
  <c r="R63" i="1" s="1"/>
  <c r="O63" i="1"/>
  <c r="Q63" i="1" s="1"/>
  <c r="U62" i="1"/>
  <c r="T62" i="1"/>
  <c r="P62" i="1"/>
  <c r="R62" i="1" s="1"/>
  <c r="O62" i="1"/>
  <c r="Q62" i="1" s="1"/>
  <c r="U61" i="1"/>
  <c r="T61" i="1"/>
  <c r="P61" i="1"/>
  <c r="R61" i="1" s="1"/>
  <c r="O61" i="1"/>
  <c r="Q61" i="1" s="1"/>
  <c r="U60" i="1"/>
  <c r="T60" i="1"/>
  <c r="P60" i="1"/>
  <c r="R60" i="1" s="1"/>
  <c r="O60" i="1"/>
  <c r="Q60" i="1" s="1"/>
  <c r="U59" i="1"/>
  <c r="T59" i="1"/>
  <c r="P59" i="1"/>
  <c r="R59" i="1" s="1"/>
  <c r="O59" i="1"/>
  <c r="Q59" i="1" s="1"/>
  <c r="U58" i="1"/>
  <c r="T58" i="1"/>
  <c r="P58" i="1"/>
  <c r="R58" i="1" s="1"/>
  <c r="O58" i="1"/>
  <c r="Q58" i="1" s="1"/>
  <c r="U57" i="1"/>
  <c r="T57" i="1"/>
  <c r="P57" i="1"/>
  <c r="R57" i="1" s="1"/>
  <c r="O57" i="1"/>
  <c r="Q57" i="1" s="1"/>
  <c r="U56" i="1"/>
  <c r="T56" i="1"/>
  <c r="P56" i="1"/>
  <c r="R56" i="1" s="1"/>
  <c r="O56" i="1"/>
  <c r="Q56" i="1" s="1"/>
  <c r="U55" i="1"/>
  <c r="T55" i="1"/>
  <c r="P55" i="1"/>
  <c r="R55" i="1" s="1"/>
  <c r="O55" i="1"/>
  <c r="Q55" i="1" s="1"/>
  <c r="U54" i="1"/>
  <c r="T54" i="1"/>
  <c r="P54" i="1"/>
  <c r="R54" i="1" s="1"/>
  <c r="O54" i="1"/>
  <c r="Q54" i="1" s="1"/>
  <c r="U53" i="1"/>
  <c r="T53" i="1"/>
  <c r="P53" i="1"/>
  <c r="R53" i="1" s="1"/>
  <c r="O53" i="1"/>
  <c r="Q53" i="1" s="1"/>
  <c r="U52" i="1"/>
  <c r="T52" i="1"/>
  <c r="P52" i="1"/>
  <c r="R52" i="1" s="1"/>
  <c r="O52" i="1"/>
  <c r="Q52" i="1" s="1"/>
  <c r="U51" i="1"/>
  <c r="T51" i="1"/>
  <c r="P51" i="1"/>
  <c r="R51" i="1" s="1"/>
  <c r="O51" i="1"/>
  <c r="Q51" i="1" s="1"/>
  <c r="U50" i="1"/>
  <c r="T50" i="1"/>
  <c r="P50" i="1"/>
  <c r="R50" i="1" s="1"/>
  <c r="O50" i="1"/>
  <c r="Q50" i="1" s="1"/>
  <c r="U49" i="1"/>
  <c r="T49" i="1"/>
  <c r="P49" i="1"/>
  <c r="R49" i="1" s="1"/>
  <c r="O49" i="1"/>
  <c r="Q49" i="1" s="1"/>
  <c r="U48" i="1"/>
  <c r="T48" i="1"/>
  <c r="P48" i="1"/>
  <c r="R48" i="1" s="1"/>
  <c r="O48" i="1"/>
  <c r="Q48" i="1" s="1"/>
  <c r="U47" i="1"/>
  <c r="T47" i="1"/>
  <c r="P47" i="1"/>
  <c r="R47" i="1" s="1"/>
  <c r="O47" i="1"/>
  <c r="Q47" i="1" s="1"/>
  <c r="U46" i="1"/>
  <c r="T46" i="1"/>
  <c r="P46" i="1"/>
  <c r="R46" i="1" s="1"/>
  <c r="O46" i="1"/>
  <c r="Q46" i="1" s="1"/>
  <c r="U45" i="1"/>
  <c r="T45" i="1"/>
  <c r="P45" i="1"/>
  <c r="R45" i="1" s="1"/>
  <c r="O45" i="1"/>
  <c r="Q45" i="1" s="1"/>
  <c r="U44" i="1"/>
  <c r="T44" i="1"/>
  <c r="P44" i="1"/>
  <c r="R44" i="1" s="1"/>
  <c r="O44" i="1"/>
  <c r="Q44" i="1" s="1"/>
  <c r="U43" i="1"/>
  <c r="T43" i="1"/>
  <c r="P43" i="1"/>
  <c r="R43" i="1" s="1"/>
  <c r="O43" i="1"/>
  <c r="Q43" i="1" s="1"/>
  <c r="U42" i="1"/>
  <c r="T42" i="1"/>
  <c r="P42" i="1"/>
  <c r="R42" i="1" s="1"/>
  <c r="O42" i="1"/>
  <c r="Q42" i="1" s="1"/>
  <c r="U41" i="1"/>
  <c r="T41" i="1"/>
  <c r="P41" i="1"/>
  <c r="R41" i="1" s="1"/>
  <c r="O41" i="1"/>
  <c r="Q41" i="1" s="1"/>
  <c r="U40" i="1"/>
  <c r="T40" i="1"/>
  <c r="P40" i="1"/>
  <c r="R40" i="1" s="1"/>
  <c r="O40" i="1"/>
  <c r="Q40" i="1" s="1"/>
  <c r="U39" i="1"/>
  <c r="T39" i="1"/>
  <c r="P39" i="1"/>
  <c r="R39" i="1" s="1"/>
  <c r="O39" i="1"/>
  <c r="Q39" i="1" s="1"/>
  <c r="U38" i="1"/>
  <c r="T38" i="1"/>
  <c r="P38" i="1"/>
  <c r="R38" i="1" s="1"/>
  <c r="O38" i="1"/>
  <c r="Q38" i="1" s="1"/>
  <c r="U37" i="1"/>
  <c r="T37" i="1"/>
  <c r="P37" i="1"/>
  <c r="R37" i="1" s="1"/>
  <c r="O37" i="1"/>
  <c r="Q37" i="1" s="1"/>
  <c r="U36" i="1"/>
  <c r="T36" i="1"/>
  <c r="P36" i="1"/>
  <c r="R36" i="1" s="1"/>
  <c r="O36" i="1"/>
  <c r="Q36" i="1" s="1"/>
  <c r="U35" i="1"/>
  <c r="T35" i="1"/>
  <c r="P35" i="1"/>
  <c r="R35" i="1" s="1"/>
  <c r="O35" i="1"/>
  <c r="Q35" i="1" s="1"/>
  <c r="U34" i="1"/>
  <c r="T34" i="1"/>
  <c r="P34" i="1"/>
  <c r="R34" i="1" s="1"/>
  <c r="O34" i="1"/>
  <c r="Q34" i="1" s="1"/>
  <c r="U33" i="1"/>
  <c r="T33" i="1"/>
  <c r="P33" i="1"/>
  <c r="R33" i="1" s="1"/>
  <c r="O33" i="1"/>
  <c r="Q33" i="1" s="1"/>
  <c r="U32" i="1"/>
  <c r="T32" i="1"/>
  <c r="P32" i="1"/>
  <c r="R32" i="1" s="1"/>
  <c r="O32" i="1"/>
  <c r="Q32" i="1" s="1"/>
  <c r="U31" i="1"/>
  <c r="T31" i="1"/>
  <c r="P31" i="1"/>
  <c r="R31" i="1" s="1"/>
  <c r="O31" i="1"/>
  <c r="Q31" i="1" s="1"/>
  <c r="U30" i="1"/>
  <c r="T30" i="1"/>
  <c r="P30" i="1"/>
  <c r="R30" i="1" s="1"/>
  <c r="O30" i="1"/>
  <c r="Q30" i="1" s="1"/>
  <c r="U29" i="1"/>
  <c r="T29" i="1"/>
  <c r="P29" i="1"/>
  <c r="R29" i="1" s="1"/>
  <c r="O29" i="1"/>
  <c r="Q29" i="1" s="1"/>
  <c r="U28" i="1"/>
  <c r="T28" i="1"/>
  <c r="P28" i="1"/>
  <c r="R28" i="1" s="1"/>
  <c r="O28" i="1"/>
  <c r="Q28" i="1" s="1"/>
  <c r="U27" i="1"/>
  <c r="T27" i="1"/>
  <c r="P27" i="1"/>
  <c r="R27" i="1" s="1"/>
  <c r="O27" i="1"/>
  <c r="Q27" i="1" s="1"/>
  <c r="U26" i="1"/>
  <c r="T26" i="1"/>
  <c r="P26" i="1"/>
  <c r="R26" i="1" s="1"/>
  <c r="O26" i="1"/>
  <c r="Q26" i="1" s="1"/>
  <c r="U25" i="1"/>
  <c r="T25" i="1"/>
  <c r="P25" i="1"/>
  <c r="R25" i="1" s="1"/>
  <c r="O25" i="1"/>
  <c r="Q25" i="1" s="1"/>
  <c r="U24" i="1"/>
  <c r="T24" i="1"/>
  <c r="P24" i="1"/>
  <c r="R24" i="1" s="1"/>
  <c r="O24" i="1"/>
  <c r="Q24" i="1" s="1"/>
  <c r="U23" i="1"/>
  <c r="T23" i="1"/>
  <c r="P23" i="1"/>
  <c r="R23" i="1" s="1"/>
  <c r="O23" i="1"/>
  <c r="Q23" i="1" s="1"/>
  <c r="U22" i="1"/>
  <c r="T22" i="1"/>
  <c r="P22" i="1"/>
  <c r="R22" i="1" s="1"/>
  <c r="O22" i="1"/>
  <c r="Q22" i="1" s="1"/>
  <c r="U21" i="1"/>
  <c r="T21" i="1"/>
  <c r="P21" i="1"/>
  <c r="R21" i="1" s="1"/>
  <c r="O21" i="1"/>
  <c r="Q21" i="1" s="1"/>
  <c r="U20" i="1"/>
  <c r="T20" i="1"/>
  <c r="P20" i="1"/>
  <c r="R20" i="1" s="1"/>
  <c r="O20" i="1"/>
  <c r="Q20" i="1" s="1"/>
  <c r="U19" i="1"/>
  <c r="T19" i="1"/>
  <c r="P19" i="1"/>
  <c r="R19" i="1" s="1"/>
  <c r="O19" i="1"/>
  <c r="Q19" i="1" s="1"/>
  <c r="U18" i="1"/>
  <c r="T18" i="1"/>
  <c r="P18" i="1"/>
  <c r="R18" i="1" s="1"/>
  <c r="O18" i="1"/>
  <c r="Q18" i="1" s="1"/>
  <c r="U17" i="1"/>
  <c r="T17" i="1"/>
  <c r="P17" i="1"/>
  <c r="R17" i="1" s="1"/>
  <c r="O17" i="1"/>
  <c r="Q17" i="1" s="1"/>
  <c r="U16" i="1"/>
  <c r="T16" i="1"/>
  <c r="P16" i="1"/>
  <c r="R16" i="1" s="1"/>
  <c r="O16" i="1"/>
  <c r="Q16" i="1" s="1"/>
  <c r="U15" i="1"/>
  <c r="T15" i="1"/>
  <c r="P15" i="1"/>
  <c r="R15" i="1" s="1"/>
  <c r="O15" i="1"/>
  <c r="Q15" i="1" s="1"/>
  <c r="U14" i="1"/>
  <c r="T14" i="1"/>
  <c r="P14" i="1"/>
  <c r="R14" i="1" s="1"/>
  <c r="O14" i="1"/>
  <c r="Q14" i="1" s="1"/>
  <c r="U13" i="1"/>
  <c r="T13" i="1"/>
  <c r="P13" i="1"/>
  <c r="R13" i="1" s="1"/>
  <c r="O13" i="1"/>
  <c r="Q13" i="1" s="1"/>
  <c r="U12" i="1"/>
  <c r="T12" i="1"/>
  <c r="P12" i="1"/>
  <c r="R12" i="1" s="1"/>
  <c r="O12" i="1"/>
  <c r="Q12" i="1" s="1"/>
  <c r="U11" i="1"/>
  <c r="T11" i="1"/>
  <c r="P11" i="1"/>
  <c r="R11" i="1" s="1"/>
  <c r="O11" i="1"/>
  <c r="Q11" i="1" s="1"/>
  <c r="U10" i="1"/>
  <c r="T10" i="1"/>
  <c r="P10" i="1"/>
  <c r="R10" i="1" s="1"/>
  <c r="O10" i="1"/>
  <c r="Q10" i="1" s="1"/>
  <c r="U9" i="1"/>
  <c r="T9" i="1"/>
  <c r="P9" i="1"/>
  <c r="R9" i="1" s="1"/>
  <c r="O9" i="1"/>
  <c r="Q9" i="1" s="1"/>
  <c r="U8" i="1"/>
  <c r="T8" i="1"/>
  <c r="P8" i="1"/>
  <c r="R8" i="1" s="1"/>
  <c r="O8" i="1"/>
  <c r="Q8" i="1" s="1"/>
  <c r="U7" i="1"/>
  <c r="U127" i="1" s="1"/>
  <c r="T7" i="1"/>
  <c r="P7" i="1"/>
  <c r="R7" i="1" s="1"/>
  <c r="O7" i="1"/>
  <c r="Q7" i="1" s="1"/>
  <c r="U6" i="1"/>
  <c r="T6" i="1"/>
  <c r="P6" i="1"/>
  <c r="R6" i="1" s="1"/>
  <c r="O6" i="1"/>
  <c r="Q6" i="1" s="1"/>
  <c r="U5" i="1"/>
  <c r="T5" i="1"/>
  <c r="P5" i="1"/>
  <c r="R5" i="1" s="1"/>
  <c r="O5" i="1"/>
  <c r="Q5" i="1" s="1"/>
  <c r="AD5" i="1"/>
  <c r="AL5" i="1"/>
  <c r="AI6" i="1"/>
  <c r="AF7" i="1"/>
  <c r="AN7" i="1"/>
  <c r="AK8" i="1"/>
  <c r="AH9" i="1"/>
  <c r="AE10" i="1"/>
  <c r="AM10" i="1"/>
  <c r="AJ11" i="1"/>
  <c r="AG12" i="1"/>
  <c r="AD13" i="1"/>
  <c r="AL13" i="1"/>
  <c r="AI14" i="1"/>
  <c r="AF15" i="1"/>
  <c r="AN15" i="1"/>
  <c r="AK16" i="1"/>
  <c r="AH17" i="1"/>
  <c r="AE18" i="1"/>
  <c r="AM18" i="1"/>
  <c r="AJ19" i="1"/>
  <c r="AG20" i="1"/>
  <c r="AD21" i="1"/>
  <c r="AL21" i="1"/>
  <c r="AI22" i="1"/>
  <c r="AF23" i="1"/>
  <c r="AN23" i="1"/>
  <c r="AK24" i="1"/>
  <c r="AH25" i="1"/>
  <c r="AE26" i="1"/>
  <c r="AM26" i="1"/>
  <c r="AJ27" i="1"/>
  <c r="AG28" i="1"/>
  <c r="AD29" i="1"/>
  <c r="AL29" i="1"/>
  <c r="AI30" i="1"/>
  <c r="AF31" i="1"/>
  <c r="AN31" i="1"/>
  <c r="AK32" i="1"/>
  <c r="AH33" i="1"/>
  <c r="AE34" i="1"/>
  <c r="AM34" i="1"/>
  <c r="AJ35" i="1"/>
  <c r="AG36" i="1"/>
  <c r="AD37" i="1"/>
  <c r="AL37" i="1"/>
  <c r="AI38" i="1"/>
  <c r="AF39" i="1"/>
  <c r="AN39" i="1"/>
  <c r="AK40" i="1"/>
  <c r="AH41" i="1"/>
  <c r="AE42" i="1"/>
  <c r="AM42" i="1"/>
  <c r="AJ43" i="1"/>
  <c r="AG44" i="1"/>
  <c r="AD45" i="1"/>
  <c r="AL45" i="1"/>
  <c r="AI46" i="1"/>
  <c r="AF47" i="1"/>
  <c r="AN47" i="1"/>
  <c r="AK48" i="1"/>
  <c r="AH49" i="1"/>
  <c r="AE50" i="1"/>
  <c r="AM50" i="1"/>
  <c r="AJ51" i="1"/>
  <c r="AG52" i="1"/>
  <c r="AD53" i="1"/>
  <c r="AL53" i="1"/>
  <c r="AI54" i="1"/>
  <c r="AF55" i="1"/>
  <c r="AN55" i="1"/>
  <c r="AK56" i="1"/>
  <c r="AH57" i="1"/>
  <c r="AE58" i="1"/>
  <c r="AM58" i="1"/>
  <c r="AJ59" i="1"/>
  <c r="AG60" i="1"/>
  <c r="AD61" i="1"/>
  <c r="AL61" i="1"/>
  <c r="AI62" i="1"/>
  <c r="AF63" i="1"/>
  <c r="AN63" i="1"/>
  <c r="AK64" i="1"/>
  <c r="AH65" i="1"/>
  <c r="AE66" i="1"/>
  <c r="AM66" i="1"/>
  <c r="AJ67" i="1"/>
  <c r="AG68" i="1"/>
  <c r="AD69" i="1"/>
  <c r="AL69" i="1"/>
  <c r="AI70" i="1"/>
  <c r="AF71" i="1"/>
  <c r="AN71" i="1"/>
  <c r="AK72" i="1"/>
  <c r="AH73" i="1"/>
  <c r="AE74" i="1"/>
  <c r="AM74" i="1"/>
  <c r="AJ75" i="1"/>
  <c r="AG76" i="1"/>
  <c r="AD77" i="1"/>
  <c r="AL77" i="1"/>
  <c r="AI78" i="1"/>
  <c r="AF79" i="1"/>
  <c r="AN79" i="1"/>
  <c r="AK80" i="1"/>
  <c r="AH81" i="1"/>
  <c r="AE82" i="1"/>
  <c r="AM82" i="1"/>
  <c r="AJ83" i="1"/>
  <c r="AG84" i="1"/>
  <c r="AD85" i="1"/>
  <c r="AL85" i="1"/>
  <c r="AI86" i="1"/>
  <c r="AF87" i="1"/>
  <c r="AN87" i="1"/>
  <c r="AK88" i="1"/>
  <c r="AH89" i="1"/>
  <c r="AE90" i="1"/>
  <c r="AM90" i="1"/>
  <c r="AJ91" i="1"/>
  <c r="AG92" i="1"/>
  <c r="AD93" i="1"/>
  <c r="AL93" i="1"/>
  <c r="AI94" i="1"/>
  <c r="AF95" i="1"/>
  <c r="AN95" i="1"/>
  <c r="AK96" i="1"/>
  <c r="AE5" i="1"/>
  <c r="AM5" i="1"/>
  <c r="AJ6" i="1"/>
  <c r="AG7" i="1"/>
  <c r="AD8" i="1"/>
  <c r="AL8" i="1"/>
  <c r="AI9" i="1"/>
  <c r="AF10" i="1"/>
  <c r="AN10" i="1"/>
  <c r="AK11" i="1"/>
  <c r="AH12" i="1"/>
  <c r="AE13" i="1"/>
  <c r="AM13" i="1"/>
  <c r="AJ14" i="1"/>
  <c r="AG15" i="1"/>
  <c r="AD16" i="1"/>
  <c r="AL16" i="1"/>
  <c r="AI17" i="1"/>
  <c r="AF18" i="1"/>
  <c r="AN18" i="1"/>
  <c r="AK19" i="1"/>
  <c r="AH20" i="1"/>
  <c r="AE21" i="1"/>
  <c r="AM21" i="1"/>
  <c r="AJ22" i="1"/>
  <c r="AG23" i="1"/>
  <c r="AD24" i="1"/>
  <c r="AL24" i="1"/>
  <c r="AI25" i="1"/>
  <c r="AF26" i="1"/>
  <c r="AN26" i="1"/>
  <c r="AK27" i="1"/>
  <c r="AH28" i="1"/>
  <c r="AE29" i="1"/>
  <c r="AM29" i="1"/>
  <c r="AJ30" i="1"/>
  <c r="AG31" i="1"/>
  <c r="AD32" i="1"/>
  <c r="AL32" i="1"/>
  <c r="AI33" i="1"/>
  <c r="AF34" i="1"/>
  <c r="AN34" i="1"/>
  <c r="AK35" i="1"/>
  <c r="AH36" i="1"/>
  <c r="AE37" i="1"/>
  <c r="AM37" i="1"/>
  <c r="AJ38" i="1"/>
  <c r="AG39" i="1"/>
  <c r="AD40" i="1"/>
  <c r="AL40" i="1"/>
  <c r="AI41" i="1"/>
  <c r="AF42" i="1"/>
  <c r="AN42" i="1"/>
  <c r="AK43" i="1"/>
  <c r="AH44" i="1"/>
  <c r="AE45" i="1"/>
  <c r="AM45" i="1"/>
  <c r="AJ46" i="1"/>
  <c r="AG47" i="1"/>
  <c r="AD48" i="1"/>
  <c r="AL48" i="1"/>
  <c r="AI49" i="1"/>
  <c r="AF50" i="1"/>
  <c r="AN50" i="1"/>
  <c r="AK51" i="1"/>
  <c r="AH52" i="1"/>
  <c r="AE53" i="1"/>
  <c r="AM53" i="1"/>
  <c r="AJ54" i="1"/>
  <c r="AG55" i="1"/>
  <c r="AD56" i="1"/>
  <c r="AL56" i="1"/>
  <c r="AI57" i="1"/>
  <c r="AF58" i="1"/>
  <c r="AN58" i="1"/>
  <c r="AK59" i="1"/>
  <c r="AH60" i="1"/>
  <c r="AE61" i="1"/>
  <c r="AM61" i="1"/>
  <c r="AJ62" i="1"/>
  <c r="AG63" i="1"/>
  <c r="AD64" i="1"/>
  <c r="AL64" i="1"/>
  <c r="AI65" i="1"/>
  <c r="AF66" i="1"/>
  <c r="AN66" i="1"/>
  <c r="AK67" i="1"/>
  <c r="AH68" i="1"/>
  <c r="AE69" i="1"/>
  <c r="AM69" i="1"/>
  <c r="AJ70" i="1"/>
  <c r="AG71" i="1"/>
  <c r="AD72" i="1"/>
  <c r="AL72" i="1"/>
  <c r="AI73" i="1"/>
  <c r="AF74" i="1"/>
  <c r="AN74" i="1"/>
  <c r="AK75" i="1"/>
  <c r="AH76" i="1"/>
  <c r="AE77" i="1"/>
  <c r="AM77" i="1"/>
  <c r="AJ78" i="1"/>
  <c r="AG79" i="1"/>
  <c r="AD80" i="1"/>
  <c r="AL80" i="1"/>
  <c r="AI81" i="1"/>
  <c r="AF82" i="1"/>
  <c r="AN82" i="1"/>
  <c r="AK83" i="1"/>
  <c r="AH84" i="1"/>
  <c r="AE85" i="1"/>
  <c r="AM85" i="1"/>
  <c r="AJ86" i="1"/>
  <c r="AG87" i="1"/>
  <c r="AD88" i="1"/>
  <c r="AL88" i="1"/>
  <c r="AI89" i="1"/>
  <c r="AF90" i="1"/>
  <c r="AN90" i="1"/>
  <c r="AK91" i="1"/>
  <c r="AH92" i="1"/>
  <c r="AE93" i="1"/>
  <c r="AM93" i="1"/>
  <c r="AF5" i="1"/>
  <c r="AN5" i="1"/>
  <c r="AK6" i="1"/>
  <c r="AH7" i="1"/>
  <c r="AE8" i="1"/>
  <c r="AM8" i="1"/>
  <c r="AJ9" i="1"/>
  <c r="AG10" i="1"/>
  <c r="AD11" i="1"/>
  <c r="AL11" i="1"/>
  <c r="AI12" i="1"/>
  <c r="AF13" i="1"/>
  <c r="AN13" i="1"/>
  <c r="AK14" i="1"/>
  <c r="AH15" i="1"/>
  <c r="AE16" i="1"/>
  <c r="AM16" i="1"/>
  <c r="AJ17" i="1"/>
  <c r="AG18" i="1"/>
  <c r="AD19" i="1"/>
  <c r="AL19" i="1"/>
  <c r="AI20" i="1"/>
  <c r="AF21" i="1"/>
  <c r="AN21" i="1"/>
  <c r="AK22" i="1"/>
  <c r="AH23" i="1"/>
  <c r="AE24" i="1"/>
  <c r="AM24" i="1"/>
  <c r="AJ25" i="1"/>
  <c r="AG26" i="1"/>
  <c r="AD27" i="1"/>
  <c r="AL27" i="1"/>
  <c r="AI28" i="1"/>
  <c r="AF29" i="1"/>
  <c r="AN29" i="1"/>
  <c r="AK30" i="1"/>
  <c r="AH31" i="1"/>
  <c r="AE32" i="1"/>
  <c r="AM32" i="1"/>
  <c r="AJ33" i="1"/>
  <c r="AG34" i="1"/>
  <c r="AD35" i="1"/>
  <c r="AL35" i="1"/>
  <c r="AI36" i="1"/>
  <c r="AF37" i="1"/>
  <c r="AN37" i="1"/>
  <c r="AK38" i="1"/>
  <c r="AH39" i="1"/>
  <c r="AE40" i="1"/>
  <c r="AM40" i="1"/>
  <c r="AJ41" i="1"/>
  <c r="AG42" i="1"/>
  <c r="AD43" i="1"/>
  <c r="AL43" i="1"/>
  <c r="AI44" i="1"/>
  <c r="AF45" i="1"/>
  <c r="AN45" i="1"/>
  <c r="AK46" i="1"/>
  <c r="AH47" i="1"/>
  <c r="AE48" i="1"/>
  <c r="AM48" i="1"/>
  <c r="AJ49" i="1"/>
  <c r="AG50" i="1"/>
  <c r="AD51" i="1"/>
  <c r="AL51" i="1"/>
  <c r="AI52" i="1"/>
  <c r="AF53" i="1"/>
  <c r="AN53" i="1"/>
  <c r="AK54" i="1"/>
  <c r="AH55" i="1"/>
  <c r="AE56" i="1"/>
  <c r="AM56" i="1"/>
  <c r="AJ57" i="1"/>
  <c r="AG58" i="1"/>
  <c r="AD59" i="1"/>
  <c r="AL59" i="1"/>
  <c r="AI60" i="1"/>
  <c r="AF61" i="1"/>
  <c r="AN61" i="1"/>
  <c r="AK62" i="1"/>
  <c r="AH63" i="1"/>
  <c r="AE64" i="1"/>
  <c r="AM64" i="1"/>
  <c r="AJ65" i="1"/>
  <c r="AG66" i="1"/>
  <c r="AD67" i="1"/>
  <c r="AL67" i="1"/>
  <c r="AI68" i="1"/>
  <c r="AF69" i="1"/>
  <c r="AN69" i="1"/>
  <c r="AK70" i="1"/>
  <c r="AH71" i="1"/>
  <c r="AE72" i="1"/>
  <c r="AM72" i="1"/>
  <c r="AJ73" i="1"/>
  <c r="AG74" i="1"/>
  <c r="AD75" i="1"/>
  <c r="AL75" i="1"/>
  <c r="AI76" i="1"/>
  <c r="AF77" i="1"/>
  <c r="AN77" i="1"/>
  <c r="AK78" i="1"/>
  <c r="AH79" i="1"/>
  <c r="AE80" i="1"/>
  <c r="AM80" i="1"/>
  <c r="AJ81" i="1"/>
  <c r="AG82" i="1"/>
  <c r="AD83" i="1"/>
  <c r="AL83" i="1"/>
  <c r="AI84" i="1"/>
  <c r="AF85" i="1"/>
  <c r="AN85" i="1"/>
  <c r="AK86" i="1"/>
  <c r="AH87" i="1"/>
  <c r="AE88" i="1"/>
  <c r="AM88" i="1"/>
  <c r="AJ89" i="1"/>
  <c r="AG90" i="1"/>
  <c r="AD91" i="1"/>
  <c r="AL91" i="1"/>
  <c r="AI92" i="1"/>
  <c r="AF93" i="1"/>
  <c r="AN93" i="1"/>
  <c r="AK94" i="1"/>
  <c r="AG5" i="1"/>
  <c r="AG6" i="1"/>
  <c r="AJ7" i="1"/>
  <c r="AJ8" i="1"/>
  <c r="AM9" i="1"/>
  <c r="AE11" i="1"/>
  <c r="AE12" i="1"/>
  <c r="AH13" i="1"/>
  <c r="AH14" i="1"/>
  <c r="AK15" i="1"/>
  <c r="AN16" i="1"/>
  <c r="AN17" i="1"/>
  <c r="AF19" i="1"/>
  <c r="AF20" i="1"/>
  <c r="AI21" i="1"/>
  <c r="AL22" i="1"/>
  <c r="AL23" i="1"/>
  <c r="AD25" i="1"/>
  <c r="AD26" i="1"/>
  <c r="AG27" i="1"/>
  <c r="AJ28" i="1"/>
  <c r="AJ29" i="1"/>
  <c r="AM30" i="1"/>
  <c r="AM31" i="1"/>
  <c r="AE33" i="1"/>
  <c r="AH34" i="1"/>
  <c r="AH35" i="1"/>
  <c r="AK36" i="1"/>
  <c r="AK37" i="1"/>
  <c r="AN38" i="1"/>
  <c r="AF40" i="1"/>
  <c r="AF41" i="1"/>
  <c r="AI42" i="1"/>
  <c r="AI43" i="1"/>
  <c r="AL44" i="1"/>
  <c r="AD46" i="1"/>
  <c r="AD47" i="1"/>
  <c r="AG48" i="1"/>
  <c r="AG49" i="1"/>
  <c r="AJ50" i="1"/>
  <c r="AM51" i="1"/>
  <c r="AM52" i="1"/>
  <c r="AE54" i="1"/>
  <c r="AE55" i="1"/>
  <c r="AH56" i="1"/>
  <c r="AK57" i="1"/>
  <c r="AK58" i="1"/>
  <c r="AN59" i="1"/>
  <c r="AN60" i="1"/>
  <c r="AF62" i="1"/>
  <c r="AI63" i="1"/>
  <c r="AI64" i="1"/>
  <c r="AL65" i="1"/>
  <c r="AL66" i="1"/>
  <c r="AD68" i="1"/>
  <c r="AG69" i="1"/>
  <c r="AG70" i="1"/>
  <c r="AJ71" i="1"/>
  <c r="AJ72" i="1"/>
  <c r="AM73" i="1"/>
  <c r="AE75" i="1"/>
  <c r="AE76" i="1"/>
  <c r="AH77" i="1"/>
  <c r="AH78" i="1"/>
  <c r="AK79" i="1"/>
  <c r="AN80" i="1"/>
  <c r="AN81" i="1"/>
  <c r="AF83" i="1"/>
  <c r="AF84" i="1"/>
  <c r="AI85" i="1"/>
  <c r="AL86" i="1"/>
  <c r="AL87" i="1"/>
  <c r="AD89" i="1"/>
  <c r="AD90" i="1"/>
  <c r="AG91" i="1"/>
  <c r="AJ92" i="1"/>
  <c r="AJ93" i="1"/>
  <c r="AL94" i="1"/>
  <c r="AJ95" i="1"/>
  <c r="AH96" i="1"/>
  <c r="AF97" i="1"/>
  <c r="AN97" i="1"/>
  <c r="AK98" i="1"/>
  <c r="AH99" i="1"/>
  <c r="AE100" i="1"/>
  <c r="AM100" i="1"/>
  <c r="AJ101" i="1"/>
  <c r="AG102" i="1"/>
  <c r="AD103" i="1"/>
  <c r="AL103" i="1"/>
  <c r="AM7" i="1"/>
  <c r="AK55" i="1"/>
  <c r="AL63" i="1"/>
  <c r="AJ69" i="1"/>
  <c r="AE73" i="1"/>
  <c r="AK76" i="1"/>
  <c r="AF80" i="1"/>
  <c r="AI83" i="1"/>
  <c r="AD87" i="1"/>
  <c r="AJ90" i="1"/>
  <c r="AE94" i="1"/>
  <c r="AL96" i="1"/>
  <c r="AN98" i="1"/>
  <c r="AE101" i="1"/>
  <c r="AG103" i="1"/>
  <c r="AH5" i="1"/>
  <c r="AH6" i="1"/>
  <c r="AK7" i="1"/>
  <c r="AN8" i="1"/>
  <c r="AN9" i="1"/>
  <c r="AF11" i="1"/>
  <c r="AF12" i="1"/>
  <c r="AI13" i="1"/>
  <c r="AL14" i="1"/>
  <c r="AL15" i="1"/>
  <c r="AD17" i="1"/>
  <c r="AD18" i="1"/>
  <c r="AG19" i="1"/>
  <c r="AJ20" i="1"/>
  <c r="AJ21" i="1"/>
  <c r="AM22" i="1"/>
  <c r="AM23" i="1"/>
  <c r="AE25" i="1"/>
  <c r="AH26" i="1"/>
  <c r="AH27" i="1"/>
  <c r="AK28" i="1"/>
  <c r="AK29" i="1"/>
  <c r="AN30" i="1"/>
  <c r="AF32" i="1"/>
  <c r="AF33" i="1"/>
  <c r="AI34" i="1"/>
  <c r="AI35" i="1"/>
  <c r="AL36" i="1"/>
  <c r="AD38" i="1"/>
  <c r="AD39" i="1"/>
  <c r="AG40" i="1"/>
  <c r="AG41" i="1"/>
  <c r="AJ42" i="1"/>
  <c r="AM43" i="1"/>
  <c r="AM44" i="1"/>
  <c r="AE46" i="1"/>
  <c r="AE47" i="1"/>
  <c r="AH48" i="1"/>
  <c r="AK49" i="1"/>
  <c r="AK50" i="1"/>
  <c r="AN51" i="1"/>
  <c r="AN52" i="1"/>
  <c r="AF54" i="1"/>
  <c r="AI55" i="1"/>
  <c r="AI56" i="1"/>
  <c r="AL57" i="1"/>
  <c r="AL58" i="1"/>
  <c r="AD60" i="1"/>
  <c r="AG61" i="1"/>
  <c r="AG62" i="1"/>
  <c r="AJ63" i="1"/>
  <c r="AJ64" i="1"/>
  <c r="AM65" i="1"/>
  <c r="AE67" i="1"/>
  <c r="AE68" i="1"/>
  <c r="AH69" i="1"/>
  <c r="AH70" i="1"/>
  <c r="AK71" i="1"/>
  <c r="AN72" i="1"/>
  <c r="AN73" i="1"/>
  <c r="AF75" i="1"/>
  <c r="AF76" i="1"/>
  <c r="AI77" i="1"/>
  <c r="AL78" i="1"/>
  <c r="AL79" i="1"/>
  <c r="AD81" i="1"/>
  <c r="AD82" i="1"/>
  <c r="AG83" i="1"/>
  <c r="AJ84" i="1"/>
  <c r="AJ85" i="1"/>
  <c r="AM86" i="1"/>
  <c r="AM87" i="1"/>
  <c r="AE89" i="1"/>
  <c r="AH90" i="1"/>
  <c r="AH91" i="1"/>
  <c r="AK92" i="1"/>
  <c r="AK93" i="1"/>
  <c r="AM94" i="1"/>
  <c r="AK95" i="1"/>
  <c r="AI96" i="1"/>
  <c r="AG97" i="1"/>
  <c r="AD98" i="1"/>
  <c r="AL98" i="1"/>
  <c r="AI99" i="1"/>
  <c r="AF100" i="1"/>
  <c r="AN100" i="1"/>
  <c r="AK101" i="1"/>
  <c r="AH102" i="1"/>
  <c r="AE103" i="1"/>
  <c r="AM103" i="1"/>
  <c r="AM6" i="1"/>
  <c r="AH10" i="1"/>
  <c r="AK12" i="1"/>
  <c r="AK13" i="1"/>
  <c r="AF16" i="1"/>
  <c r="AI18" i="1"/>
  <c r="AL20" i="1"/>
  <c r="AD23" i="1"/>
  <c r="AG25" i="1"/>
  <c r="AM27" i="1"/>
  <c r="AE30" i="1"/>
  <c r="AH32" i="1"/>
  <c r="AK34" i="1"/>
  <c r="AN36" i="1"/>
  <c r="AI39" i="1"/>
  <c r="AL41" i="1"/>
  <c r="AD44" i="1"/>
  <c r="AG46" i="1"/>
  <c r="AJ48" i="1"/>
  <c r="AE51" i="1"/>
  <c r="AH53" i="1"/>
  <c r="AN56" i="1"/>
  <c r="AF59" i="1"/>
  <c r="AI61" i="1"/>
  <c r="AD65" i="1"/>
  <c r="AG67" i="1"/>
  <c r="AM70" i="1"/>
  <c r="AH75" i="1"/>
  <c r="AN78" i="1"/>
  <c r="AI82" i="1"/>
  <c r="AL84" i="1"/>
  <c r="AG88" i="1"/>
  <c r="AM91" i="1"/>
  <c r="AD95" i="1"/>
  <c r="AI97" i="1"/>
  <c r="AH100" i="1"/>
  <c r="AJ102" i="1"/>
  <c r="AI5" i="1"/>
  <c r="AL6" i="1"/>
  <c r="AL7" i="1"/>
  <c r="AD9" i="1"/>
  <c r="AD10" i="1"/>
  <c r="AG11" i="1"/>
  <c r="AJ12" i="1"/>
  <c r="AJ13" i="1"/>
  <c r="AM14" i="1"/>
  <c r="AM15" i="1"/>
  <c r="AE17" i="1"/>
  <c r="AH18" i="1"/>
  <c r="AH19" i="1"/>
  <c r="AK20" i="1"/>
  <c r="AK21" i="1"/>
  <c r="AN22" i="1"/>
  <c r="AF24" i="1"/>
  <c r="AF25" i="1"/>
  <c r="AI26" i="1"/>
  <c r="AI27" i="1"/>
  <c r="AL28" i="1"/>
  <c r="AD30" i="1"/>
  <c r="AD31" i="1"/>
  <c r="AG32" i="1"/>
  <c r="AG33" i="1"/>
  <c r="AJ34" i="1"/>
  <c r="AM35" i="1"/>
  <c r="AM36" i="1"/>
  <c r="AE38" i="1"/>
  <c r="AE39" i="1"/>
  <c r="AH40" i="1"/>
  <c r="AK41" i="1"/>
  <c r="AK42" i="1"/>
  <c r="AN43" i="1"/>
  <c r="AN44" i="1"/>
  <c r="AF46" i="1"/>
  <c r="AI47" i="1"/>
  <c r="AI48" i="1"/>
  <c r="AL49" i="1"/>
  <c r="AL50" i="1"/>
  <c r="AD52" i="1"/>
  <c r="AG53" i="1"/>
  <c r="AG54" i="1"/>
  <c r="AJ55" i="1"/>
  <c r="AJ56" i="1"/>
  <c r="AM57" i="1"/>
  <c r="AE59" i="1"/>
  <c r="AE60" i="1"/>
  <c r="AH61" i="1"/>
  <c r="AH62" i="1"/>
  <c r="AK63" i="1"/>
  <c r="AN64" i="1"/>
  <c r="AN65" i="1"/>
  <c r="AF67" i="1"/>
  <c r="AF68" i="1"/>
  <c r="AI69" i="1"/>
  <c r="AL70" i="1"/>
  <c r="AL71" i="1"/>
  <c r="AD73" i="1"/>
  <c r="AD74" i="1"/>
  <c r="AG75" i="1"/>
  <c r="AJ76" i="1"/>
  <c r="AJ77" i="1"/>
  <c r="AM78" i="1"/>
  <c r="AM79" i="1"/>
  <c r="AE81" i="1"/>
  <c r="AH82" i="1"/>
  <c r="AH83" i="1"/>
  <c r="AK84" i="1"/>
  <c r="AK85" i="1"/>
  <c r="AN86" i="1"/>
  <c r="AF88" i="1"/>
  <c r="AF89" i="1"/>
  <c r="AI90" i="1"/>
  <c r="AI91" i="1"/>
  <c r="AL92" i="1"/>
  <c r="AD94" i="1"/>
  <c r="AN94" i="1"/>
  <c r="AL95" i="1"/>
  <c r="AJ96" i="1"/>
  <c r="AH97" i="1"/>
  <c r="AE98" i="1"/>
  <c r="AM98" i="1"/>
  <c r="AJ99" i="1"/>
  <c r="AG100" i="1"/>
  <c r="AD101" i="1"/>
  <c r="AL101" i="1"/>
  <c r="AI102" i="1"/>
  <c r="AF103" i="1"/>
  <c r="AN103" i="1"/>
  <c r="AJ5" i="1"/>
  <c r="AE9" i="1"/>
  <c r="AH11" i="1"/>
  <c r="AN14" i="1"/>
  <c r="AF17" i="1"/>
  <c r="AI19" i="1"/>
  <c r="AD22" i="1"/>
  <c r="AG24" i="1"/>
  <c r="AJ26" i="1"/>
  <c r="AM28" i="1"/>
  <c r="AE31" i="1"/>
  <c r="AK33" i="1"/>
  <c r="AN35" i="1"/>
  <c r="AF38" i="1"/>
  <c r="AI40" i="1"/>
  <c r="AL42" i="1"/>
  <c r="AG45" i="1"/>
  <c r="AJ47" i="1"/>
  <c r="AM49" i="1"/>
  <c r="AE52" i="1"/>
  <c r="AH54" i="1"/>
  <c r="AN57" i="1"/>
  <c r="AF60" i="1"/>
  <c r="AL62" i="1"/>
  <c r="AD66" i="1"/>
  <c r="AJ68" i="1"/>
  <c r="AM71" i="1"/>
  <c r="AH74" i="1"/>
  <c r="AK77" i="1"/>
  <c r="AF81" i="1"/>
  <c r="AD86" i="1"/>
  <c r="AG89" i="1"/>
  <c r="AM92" i="1"/>
  <c r="AM95" i="1"/>
  <c r="AF98" i="1"/>
  <c r="AK99" i="1"/>
  <c r="AM101" i="1"/>
  <c r="AK5" i="1"/>
  <c r="AF8" i="1"/>
  <c r="AI10" i="1"/>
  <c r="AL12" i="1"/>
  <c r="AD15" i="1"/>
  <c r="AG17" i="1"/>
  <c r="AM19" i="1"/>
  <c r="AE22" i="1"/>
  <c r="AH24" i="1"/>
  <c r="AK26" i="1"/>
  <c r="AN28" i="1"/>
  <c r="AI31" i="1"/>
  <c r="AL33" i="1"/>
  <c r="AD36" i="1"/>
  <c r="AG38" i="1"/>
  <c r="AJ40" i="1"/>
  <c r="AE43" i="1"/>
  <c r="AH45" i="1"/>
  <c r="AK47" i="1"/>
  <c r="AN49" i="1"/>
  <c r="AF52" i="1"/>
  <c r="AL54" i="1"/>
  <c r="AD57" i="1"/>
  <c r="AG59" i="1"/>
  <c r="AJ61" i="1"/>
  <c r="AM63" i="1"/>
  <c r="AH66" i="1"/>
  <c r="AK68" i="1"/>
  <c r="AN70" i="1"/>
  <c r="AF73" i="1"/>
  <c r="AI75" i="1"/>
  <c r="AD78" i="1"/>
  <c r="AG80" i="1"/>
  <c r="AJ82" i="1"/>
  <c r="AM84" i="1"/>
  <c r="AE87" i="1"/>
  <c r="AK89" i="1"/>
  <c r="AN91" i="1"/>
  <c r="AF94" i="1"/>
  <c r="AD96" i="1"/>
  <c r="AJ97" i="1"/>
  <c r="AD99" i="1"/>
  <c r="AI100" i="1"/>
  <c r="AN101" i="1"/>
  <c r="AH103" i="1"/>
  <c r="AL10" i="1"/>
  <c r="AK66" i="1"/>
  <c r="AJ80" i="1"/>
  <c r="AN89" i="1"/>
  <c r="AM97" i="1"/>
  <c r="AK103" i="1"/>
  <c r="AI11" i="1"/>
  <c r="AK69" i="1"/>
  <c r="AE86" i="1"/>
  <c r="AN92" i="1"/>
  <c r="AF101" i="1"/>
  <c r="AM11" i="1"/>
  <c r="AJ74" i="1"/>
  <c r="AL90" i="1"/>
  <c r="AG95" i="1"/>
  <c r="AH98" i="1"/>
  <c r="AG101" i="1"/>
  <c r="AN11" i="1"/>
  <c r="AH95" i="1"/>
  <c r="AD12" i="1"/>
  <c r="AE84" i="1"/>
  <c r="AE97" i="1"/>
  <c r="AN102" i="1"/>
  <c r="AD6" i="1"/>
  <c r="AG8" i="1"/>
  <c r="AJ10" i="1"/>
  <c r="AM12" i="1"/>
  <c r="AE15" i="1"/>
  <c r="AK17" i="1"/>
  <c r="AN19" i="1"/>
  <c r="AF22" i="1"/>
  <c r="AI24" i="1"/>
  <c r="AL26" i="1"/>
  <c r="AG29" i="1"/>
  <c r="AJ31" i="1"/>
  <c r="AM33" i="1"/>
  <c r="AE36" i="1"/>
  <c r="AH38" i="1"/>
  <c r="AN40" i="1"/>
  <c r="AF43" i="1"/>
  <c r="AI45" i="1"/>
  <c r="AL47" i="1"/>
  <c r="AD50" i="1"/>
  <c r="AJ52" i="1"/>
  <c r="AM54" i="1"/>
  <c r="AE57" i="1"/>
  <c r="AH59" i="1"/>
  <c r="AK61" i="1"/>
  <c r="AF64" i="1"/>
  <c r="AI66" i="1"/>
  <c r="AL68" i="1"/>
  <c r="AD71" i="1"/>
  <c r="AG73" i="1"/>
  <c r="AM75" i="1"/>
  <c r="AE78" i="1"/>
  <c r="AH80" i="1"/>
  <c r="AK82" i="1"/>
  <c r="AN84" i="1"/>
  <c r="AI87" i="1"/>
  <c r="AL89" i="1"/>
  <c r="AD92" i="1"/>
  <c r="AG94" i="1"/>
  <c r="AE96" i="1"/>
  <c r="AK97" i="1"/>
  <c r="AE99" i="1"/>
  <c r="AJ100" i="1"/>
  <c r="AD102" i="1"/>
  <c r="AI103" i="1"/>
  <c r="AI8" i="1"/>
  <c r="AJ15" i="1"/>
  <c r="AE20" i="1"/>
  <c r="AN24" i="1"/>
  <c r="AI29" i="1"/>
  <c r="AD34" i="1"/>
  <c r="AM38" i="1"/>
  <c r="AH43" i="1"/>
  <c r="AF48" i="1"/>
  <c r="AL52" i="1"/>
  <c r="AG57" i="1"/>
  <c r="AM59" i="1"/>
  <c r="AH64" i="1"/>
  <c r="AI71" i="1"/>
  <c r="AD76" i="1"/>
  <c r="AE83" i="1"/>
  <c r="AK87" i="1"/>
  <c r="AJ94" i="1"/>
  <c r="AG99" i="1"/>
  <c r="AF102" i="1"/>
  <c r="AF9" i="1"/>
  <c r="AG16" i="1"/>
  <c r="AJ18" i="1"/>
  <c r="AE23" i="1"/>
  <c r="AN27" i="1"/>
  <c r="AI32" i="1"/>
  <c r="AG37" i="1"/>
  <c r="AM41" i="1"/>
  <c r="AH46" i="1"/>
  <c r="AF51" i="1"/>
  <c r="AL55" i="1"/>
  <c r="AJ60" i="1"/>
  <c r="AE65" i="1"/>
  <c r="AF72" i="1"/>
  <c r="AD79" i="1"/>
  <c r="AM83" i="1"/>
  <c r="AK90" i="1"/>
  <c r="AM96" i="1"/>
  <c r="AG98" i="1"/>
  <c r="AK102" i="1"/>
  <c r="AG9" i="1"/>
  <c r="AH16" i="1"/>
  <c r="AK18" i="1"/>
  <c r="AI23" i="1"/>
  <c r="AD28" i="1"/>
  <c r="AJ32" i="1"/>
  <c r="AH37" i="1"/>
  <c r="AN41" i="1"/>
  <c r="AL46" i="1"/>
  <c r="AG51" i="1"/>
  <c r="AM55" i="1"/>
  <c r="AK60" i="1"/>
  <c r="AF65" i="1"/>
  <c r="AD70" i="1"/>
  <c r="AM76" i="1"/>
  <c r="AK81" i="1"/>
  <c r="AF86" i="1"/>
  <c r="AI88" i="1"/>
  <c r="AG93" i="1"/>
  <c r="AN96" i="1"/>
  <c r="AM99" i="1"/>
  <c r="AE7" i="1"/>
  <c r="AF14" i="1"/>
  <c r="AL18" i="1"/>
  <c r="AM25" i="1"/>
  <c r="AH30" i="1"/>
  <c r="AF35" i="1"/>
  <c r="AL39" i="1"/>
  <c r="AJ44" i="1"/>
  <c r="AE49" i="1"/>
  <c r="AK53" i="1"/>
  <c r="AI58" i="1"/>
  <c r="AD63" i="1"/>
  <c r="AM67" i="1"/>
  <c r="AH72" i="1"/>
  <c r="AN76" i="1"/>
  <c r="AL81" i="1"/>
  <c r="AG86" i="1"/>
  <c r="AE91" i="1"/>
  <c r="AD97" i="1"/>
  <c r="AN99" i="1"/>
  <c r="AM102" i="1"/>
  <c r="AI7" i="1"/>
  <c r="AG14" i="1"/>
  <c r="AE19" i="1"/>
  <c r="AK23" i="1"/>
  <c r="AF28" i="1"/>
  <c r="AD33" i="1"/>
  <c r="AJ37" i="1"/>
  <c r="AH42" i="1"/>
  <c r="AN46" i="1"/>
  <c r="AI51" i="1"/>
  <c r="AG56" i="1"/>
  <c r="AM60" i="1"/>
  <c r="AK65" i="1"/>
  <c r="AF70" i="1"/>
  <c r="AL74" i="1"/>
  <c r="AJ79" i="1"/>
  <c r="AH86" i="1"/>
  <c r="AF91" i="1"/>
  <c r="AI95" i="1"/>
  <c r="AD100" i="1"/>
  <c r="AE6" i="1"/>
  <c r="AH8" i="1"/>
  <c r="AK10" i="1"/>
  <c r="AN12" i="1"/>
  <c r="AI15" i="1"/>
  <c r="AL17" i="1"/>
  <c r="AD20" i="1"/>
  <c r="AG22" i="1"/>
  <c r="AJ24" i="1"/>
  <c r="AE27" i="1"/>
  <c r="AH29" i="1"/>
  <c r="AK31" i="1"/>
  <c r="AN33" i="1"/>
  <c r="AF36" i="1"/>
  <c r="AL38" i="1"/>
  <c r="AD41" i="1"/>
  <c r="AG43" i="1"/>
  <c r="AJ45" i="1"/>
  <c r="AM47" i="1"/>
  <c r="AH50" i="1"/>
  <c r="AK52" i="1"/>
  <c r="AN54" i="1"/>
  <c r="AF57" i="1"/>
  <c r="AI59" i="1"/>
  <c r="AD62" i="1"/>
  <c r="AG64" i="1"/>
  <c r="AJ66" i="1"/>
  <c r="AM68" i="1"/>
  <c r="AE71" i="1"/>
  <c r="AK73" i="1"/>
  <c r="AN75" i="1"/>
  <c r="AF78" i="1"/>
  <c r="AI80" i="1"/>
  <c r="AL82" i="1"/>
  <c r="AG85" i="1"/>
  <c r="AJ87" i="1"/>
  <c r="AM89" i="1"/>
  <c r="AE92" i="1"/>
  <c r="AH94" i="1"/>
  <c r="AF96" i="1"/>
  <c r="AL97" i="1"/>
  <c r="AF99" i="1"/>
  <c r="AK100" i="1"/>
  <c r="AE102" i="1"/>
  <c r="AJ103" i="1"/>
  <c r="AF6" i="1"/>
  <c r="AG13" i="1"/>
  <c r="AM17" i="1"/>
  <c r="AH22" i="1"/>
  <c r="AF27" i="1"/>
  <c r="AL31" i="1"/>
  <c r="AJ36" i="1"/>
  <c r="AE41" i="1"/>
  <c r="AK45" i="1"/>
  <c r="AI50" i="1"/>
  <c r="AD55" i="1"/>
  <c r="AE62" i="1"/>
  <c r="AN68" i="1"/>
  <c r="AL73" i="1"/>
  <c r="AG78" i="1"/>
  <c r="AH85" i="1"/>
  <c r="AF92" i="1"/>
  <c r="AG96" i="1"/>
  <c r="AL100" i="1"/>
  <c r="AN6" i="1"/>
  <c r="AD14" i="1"/>
  <c r="AM20" i="1"/>
  <c r="AK25" i="1"/>
  <c r="AF30" i="1"/>
  <c r="AL34" i="1"/>
  <c r="AJ39" i="1"/>
  <c r="AE44" i="1"/>
  <c r="AN48" i="1"/>
  <c r="AI53" i="1"/>
  <c r="AD58" i="1"/>
  <c r="AM62" i="1"/>
  <c r="AH67" i="1"/>
  <c r="AI74" i="1"/>
  <c r="AL76" i="1"/>
  <c r="AG81" i="1"/>
  <c r="AH88" i="1"/>
  <c r="AE95" i="1"/>
  <c r="AL99" i="1"/>
  <c r="AD7" i="1"/>
  <c r="AE14" i="1"/>
  <c r="AN20" i="1"/>
  <c r="AL25" i="1"/>
  <c r="AG30" i="1"/>
  <c r="AE35" i="1"/>
  <c r="AK39" i="1"/>
  <c r="AF44" i="1"/>
  <c r="AD49" i="1"/>
  <c r="AJ53" i="1"/>
  <c r="AH58" i="1"/>
  <c r="AN62" i="1"/>
  <c r="AI67" i="1"/>
  <c r="AG72" i="1"/>
  <c r="AE79" i="1"/>
  <c r="AN83" i="1"/>
  <c r="AL102" i="1"/>
  <c r="AK9" i="1"/>
  <c r="AI16" i="1"/>
  <c r="AG21" i="1"/>
  <c r="AJ23" i="1"/>
  <c r="AE28" i="1"/>
  <c r="AN32" i="1"/>
  <c r="AI37" i="1"/>
  <c r="AD42" i="1"/>
  <c r="AM46" i="1"/>
  <c r="AH51" i="1"/>
  <c r="AF56" i="1"/>
  <c r="AL60" i="1"/>
  <c r="AG65" i="1"/>
  <c r="AE70" i="1"/>
  <c r="AK74" i="1"/>
  <c r="AI79" i="1"/>
  <c r="AD84" i="1"/>
  <c r="AJ88" i="1"/>
  <c r="AH93" i="1"/>
  <c r="AI98" i="1"/>
  <c r="AH101" i="1"/>
  <c r="AL9" i="1"/>
  <c r="AJ16" i="1"/>
  <c r="AH21" i="1"/>
  <c r="AN25" i="1"/>
  <c r="AL30" i="1"/>
  <c r="AG35" i="1"/>
  <c r="AM39" i="1"/>
  <c r="AK44" i="1"/>
  <c r="AF49" i="1"/>
  <c r="AD54" i="1"/>
  <c r="AJ58" i="1"/>
  <c r="AE63" i="1"/>
  <c r="AN67" i="1"/>
  <c r="AI72" i="1"/>
  <c r="AG77" i="1"/>
  <c r="AM81" i="1"/>
  <c r="AN88" i="1"/>
  <c r="AI93" i="1"/>
  <c r="AJ98" i="1"/>
  <c r="AI101" i="1"/>
  <c r="AE4" i="1"/>
  <c r="AM4" i="1"/>
  <c r="AF4" i="1"/>
  <c r="AN4" i="1"/>
  <c r="AH4" i="1"/>
  <c r="AI4" i="1"/>
  <c r="AG4" i="1"/>
  <c r="AJ4" i="1"/>
  <c r="AK4" i="1"/>
  <c r="AL4" i="1"/>
  <c r="AD4" i="1"/>
  <c r="BR139" i="1" l="1"/>
  <c r="BS208" i="1"/>
  <c r="BV220" i="1"/>
  <c r="BM215" i="1"/>
  <c r="BL202" i="1"/>
  <c r="BN233" i="1"/>
  <c r="BM228" i="1"/>
  <c r="BL223" i="1"/>
  <c r="BP219" i="1"/>
  <c r="BT215" i="1"/>
  <c r="BU212" i="1"/>
  <c r="BP203" i="1"/>
  <c r="BT236" i="1"/>
  <c r="BR234" i="1"/>
  <c r="BP232" i="1"/>
  <c r="BS231" i="1"/>
  <c r="BQ229" i="1"/>
  <c r="BO227" i="1"/>
  <c r="BP224" i="1"/>
  <c r="BN222" i="1"/>
  <c r="BO219" i="1"/>
  <c r="BM217" i="1"/>
  <c r="BS215" i="1"/>
  <c r="BV214" i="1"/>
  <c r="BN214" i="1"/>
  <c r="BL212" i="1"/>
  <c r="BR210" i="1"/>
  <c r="BV206" i="1"/>
  <c r="BQ205" i="1"/>
  <c r="BR202" i="1"/>
  <c r="BU201" i="1"/>
  <c r="BP200" i="1"/>
  <c r="BS191" i="1"/>
  <c r="BN190" i="1"/>
  <c r="BT188" i="1"/>
  <c r="BN182" i="1"/>
  <c r="BT180" i="1"/>
  <c r="BM177" i="1"/>
  <c r="BN174" i="1"/>
  <c r="BT172" i="1"/>
  <c r="BM169" i="1"/>
  <c r="BV166" i="1"/>
  <c r="BR162" i="1"/>
  <c r="BM161" i="1"/>
  <c r="BS159" i="1"/>
  <c r="BV158" i="1"/>
  <c r="BQ157" i="1"/>
  <c r="BU153" i="1"/>
  <c r="BV150" i="1"/>
  <c r="BQ149" i="1"/>
  <c r="BU145" i="1"/>
  <c r="BR237" i="1"/>
  <c r="BR198" i="1"/>
  <c r="BV231" i="1"/>
  <c r="BL221" i="1"/>
  <c r="BQ214" i="1"/>
  <c r="BU202" i="1"/>
  <c r="BV236" i="1"/>
  <c r="BR232" i="1"/>
  <c r="BN220" i="1"/>
  <c r="BU207" i="1"/>
  <c r="BQ203" i="1"/>
  <c r="BS234" i="1"/>
  <c r="BT231" i="1"/>
  <c r="BQ224" i="1"/>
  <c r="BO222" i="1"/>
  <c r="BV217" i="1"/>
  <c r="BL215" i="1"/>
  <c r="BS210" i="1"/>
  <c r="BT207" i="1"/>
  <c r="BR205" i="1"/>
  <c r="BV201" i="1"/>
  <c r="BR197" i="1"/>
  <c r="BS237" i="1"/>
  <c r="BQ237" i="1"/>
  <c r="BS232" i="1"/>
  <c r="BO220" i="1"/>
  <c r="BN215" i="1"/>
  <c r="BR203" i="1"/>
  <c r="BU231" i="1"/>
  <c r="BO225" i="1"/>
  <c r="BQ219" i="1"/>
  <c r="BP214" i="1"/>
  <c r="BT202" i="1"/>
  <c r="BU236" i="1"/>
  <c r="BQ232" i="1"/>
  <c r="BR229" i="1"/>
  <c r="BP227" i="1"/>
  <c r="BM220" i="1"/>
  <c r="BN217" i="1"/>
  <c r="BO214" i="1"/>
  <c r="BM212" i="1"/>
  <c r="BL207" i="1"/>
  <c r="BS202" i="1"/>
  <c r="BQ200" i="1"/>
  <c r="BS194" i="1"/>
  <c r="BP236" i="1"/>
  <c r="BS235" i="1"/>
  <c r="BV234" i="1"/>
  <c r="BN234" i="1"/>
  <c r="BQ233" i="1"/>
  <c r="BT232" i="1"/>
  <c r="BL232" i="1"/>
  <c r="BO231" i="1"/>
  <c r="BR230" i="1"/>
  <c r="BU229" i="1"/>
  <c r="BM229" i="1"/>
  <c r="BP228" i="1"/>
  <c r="BS227" i="1"/>
  <c r="BV226" i="1"/>
  <c r="BN226" i="1"/>
  <c r="BQ225" i="1"/>
  <c r="BT224" i="1"/>
  <c r="BL224" i="1"/>
  <c r="BO223" i="1"/>
  <c r="BR222" i="1"/>
  <c r="BU221" i="1"/>
  <c r="BM221" i="1"/>
  <c r="BP220" i="1"/>
  <c r="BS219" i="1"/>
  <c r="BV218" i="1"/>
  <c r="BN218" i="1"/>
  <c r="BQ217" i="1"/>
  <c r="BT216" i="1"/>
  <c r="BL216" i="1"/>
  <c r="BO215" i="1"/>
  <c r="BR214" i="1"/>
  <c r="BU213" i="1"/>
  <c r="BM213" i="1"/>
  <c r="BP212" i="1"/>
  <c r="BS211" i="1"/>
  <c r="BV210" i="1"/>
  <c r="BN210" i="1"/>
  <c r="BQ209" i="1"/>
  <c r="BT208" i="1"/>
  <c r="BL208" i="1"/>
  <c r="BO207" i="1"/>
  <c r="BR206" i="1"/>
  <c r="BU205" i="1"/>
  <c r="BM205" i="1"/>
  <c r="BP204" i="1"/>
  <c r="BS203" i="1"/>
  <c r="BV202" i="1"/>
  <c r="BN202" i="1"/>
  <c r="BQ201" i="1"/>
  <c r="BT200" i="1"/>
  <c r="BL200" i="1"/>
  <c r="BO199" i="1"/>
  <c r="BU197" i="1"/>
  <c r="BM197" i="1"/>
  <c r="BP196" i="1"/>
  <c r="BS195" i="1"/>
  <c r="BV194" i="1"/>
  <c r="BN194" i="1"/>
  <c r="BQ193" i="1"/>
  <c r="BT192" i="1"/>
  <c r="BL192" i="1"/>
  <c r="BO191" i="1"/>
  <c r="BR190" i="1"/>
  <c r="BU189" i="1"/>
  <c r="BM189" i="1"/>
  <c r="BP188" i="1"/>
  <c r="BS187" i="1"/>
  <c r="BV186" i="1"/>
  <c r="BN186" i="1"/>
  <c r="BQ185" i="1"/>
  <c r="BT184" i="1"/>
  <c r="BL184" i="1"/>
  <c r="BO183" i="1"/>
  <c r="BR182" i="1"/>
  <c r="BU181" i="1"/>
  <c r="BM181" i="1"/>
  <c r="BP180" i="1"/>
  <c r="BS179" i="1"/>
  <c r="BV178" i="1"/>
  <c r="BN178" i="1"/>
  <c r="BQ177" i="1"/>
  <c r="BT176" i="1"/>
  <c r="BL176" i="1"/>
  <c r="BO175" i="1"/>
  <c r="BR174" i="1"/>
  <c r="BU173" i="1"/>
  <c r="BM173" i="1"/>
  <c r="BP172" i="1"/>
  <c r="BS171" i="1"/>
  <c r="BV170" i="1"/>
  <c r="BN170" i="1"/>
  <c r="BQ169" i="1"/>
  <c r="BT168" i="1"/>
  <c r="BL168" i="1"/>
  <c r="BO167" i="1"/>
  <c r="BR166" i="1"/>
  <c r="BU165" i="1"/>
  <c r="BM165" i="1"/>
  <c r="BP164" i="1"/>
  <c r="BS163" i="1"/>
  <c r="BV162" i="1"/>
  <c r="BN162" i="1"/>
  <c r="BQ161" i="1"/>
  <c r="BT160" i="1"/>
  <c r="BL160" i="1"/>
  <c r="BO159" i="1"/>
  <c r="BR158" i="1"/>
  <c r="BU157" i="1"/>
  <c r="BM157" i="1"/>
  <c r="BP156" i="1"/>
  <c r="BS155" i="1"/>
  <c r="BV154" i="1"/>
  <c r="BN154" i="1"/>
  <c r="BQ153" i="1"/>
  <c r="BT152" i="1"/>
  <c r="BL152" i="1"/>
  <c r="BO151" i="1"/>
  <c r="BR150" i="1"/>
  <c r="BU149" i="1"/>
  <c r="BM149" i="1"/>
  <c r="BP148" i="1"/>
  <c r="BS147" i="1"/>
  <c r="BV146" i="1"/>
  <c r="BN146" i="1"/>
  <c r="BQ145" i="1"/>
  <c r="BT144" i="1"/>
  <c r="BL144" i="1"/>
  <c r="BO143" i="1"/>
  <c r="BR142" i="1"/>
  <c r="BU141" i="1"/>
  <c r="BM141" i="1"/>
  <c r="BP140" i="1"/>
  <c r="BS139" i="1"/>
  <c r="BS138" i="1"/>
  <c r="BT138" i="1"/>
  <c r="BR138" i="1"/>
  <c r="BQ138" i="1"/>
  <c r="V130" i="1"/>
  <c r="T127" i="1"/>
  <c r="U128" i="1"/>
  <c r="R127" i="1"/>
  <c r="R128" i="1"/>
  <c r="R129" i="1" s="1"/>
  <c r="U130" i="1"/>
  <c r="U132" i="1"/>
  <c r="U131" i="1"/>
  <c r="Q127" i="1"/>
  <c r="Q128" i="1" s="1"/>
  <c r="Q129" i="1" s="1"/>
  <c r="T131" i="1" l="1"/>
  <c r="U129" i="1"/>
  <c r="S128" i="1"/>
  <c r="S129" i="1" s="1"/>
  <c r="T132" i="1"/>
  <c r="Z128" i="1"/>
  <c r="Z127" i="1"/>
  <c r="S127" i="1"/>
  <c r="T129" i="1"/>
  <c r="V129" i="1" l="1"/>
  <c r="Y127" i="1"/>
  <c r="Y128" i="1"/>
  <c r="Z129" i="1"/>
  <c r="Z132" i="1"/>
  <c r="Z131" i="1"/>
  <c r="Z130" i="1"/>
  <c r="V132" i="1"/>
  <c r="V131" i="1"/>
  <c r="AA12" i="1" l="1"/>
  <c r="AA20" i="1"/>
  <c r="AA28" i="1"/>
  <c r="AA36" i="1"/>
  <c r="AA44" i="1"/>
  <c r="AA52" i="1"/>
  <c r="AA60" i="1"/>
  <c r="AA68" i="1"/>
  <c r="AA76" i="1"/>
  <c r="AA84" i="1"/>
  <c r="AA92" i="1"/>
  <c r="AA100" i="1"/>
  <c r="AA108" i="1"/>
  <c r="AA116" i="1"/>
  <c r="AA124" i="1"/>
  <c r="AA23" i="1"/>
  <c r="AA24" i="1"/>
  <c r="AA25" i="1"/>
  <c r="AA26" i="1"/>
  <c r="AA27" i="1"/>
  <c r="AA13" i="1"/>
  <c r="AA21" i="1"/>
  <c r="AA29" i="1"/>
  <c r="AA37" i="1"/>
  <c r="AA45" i="1"/>
  <c r="AA53" i="1"/>
  <c r="AA61" i="1"/>
  <c r="AA69" i="1"/>
  <c r="AA77" i="1"/>
  <c r="AA85" i="1"/>
  <c r="AA93" i="1"/>
  <c r="AA101" i="1"/>
  <c r="AA109" i="1"/>
  <c r="AA117" i="1"/>
  <c r="AA125" i="1"/>
  <c r="AA15" i="1"/>
  <c r="AA31" i="1"/>
  <c r="AA47" i="1"/>
  <c r="AA63" i="1"/>
  <c r="AA79" i="1"/>
  <c r="AA95" i="1"/>
  <c r="AA111" i="1"/>
  <c r="AA5" i="1"/>
  <c r="AA16" i="1"/>
  <c r="AA40" i="1"/>
  <c r="AA56" i="1"/>
  <c r="AA72" i="1"/>
  <c r="AA88" i="1"/>
  <c r="AA104" i="1"/>
  <c r="AA120" i="1"/>
  <c r="AA17" i="1"/>
  <c r="AA41" i="1"/>
  <c r="AA57" i="1"/>
  <c r="AA73" i="1"/>
  <c r="AA89" i="1"/>
  <c r="AA105" i="1"/>
  <c r="AA121" i="1"/>
  <c r="AA18" i="1"/>
  <c r="AA42" i="1"/>
  <c r="AA58" i="1"/>
  <c r="AA74" i="1"/>
  <c r="AA90" i="1"/>
  <c r="AA106" i="1"/>
  <c r="AA122" i="1"/>
  <c r="AA19" i="1"/>
  <c r="AA35" i="1"/>
  <c r="AA51" i="1"/>
  <c r="AA67" i="1"/>
  <c r="AA83" i="1"/>
  <c r="AA99" i="1"/>
  <c r="AA115" i="1"/>
  <c r="AA6" i="1"/>
  <c r="AA14" i="1"/>
  <c r="AA22" i="1"/>
  <c r="AA30" i="1"/>
  <c r="AA38" i="1"/>
  <c r="AA46" i="1"/>
  <c r="AA54" i="1"/>
  <c r="AA62" i="1"/>
  <c r="AA70" i="1"/>
  <c r="AA78" i="1"/>
  <c r="AA86" i="1"/>
  <c r="AA94" i="1"/>
  <c r="AA102" i="1"/>
  <c r="AA110" i="1"/>
  <c r="AA118" i="1"/>
  <c r="AA126" i="1"/>
  <c r="AA7" i="1"/>
  <c r="AA39" i="1"/>
  <c r="AA55" i="1"/>
  <c r="AA71" i="1"/>
  <c r="AA87" i="1"/>
  <c r="AA103" i="1"/>
  <c r="AA119" i="1"/>
  <c r="AA8" i="1"/>
  <c r="AA32" i="1"/>
  <c r="AA48" i="1"/>
  <c r="AA64" i="1"/>
  <c r="AA80" i="1"/>
  <c r="AA96" i="1"/>
  <c r="AA112" i="1"/>
  <c r="AA9" i="1"/>
  <c r="AA33" i="1"/>
  <c r="AA49" i="1"/>
  <c r="AA65" i="1"/>
  <c r="AA81" i="1"/>
  <c r="AA97" i="1"/>
  <c r="AA113" i="1"/>
  <c r="AA10" i="1"/>
  <c r="AA34" i="1"/>
  <c r="AA50" i="1"/>
  <c r="AA66" i="1"/>
  <c r="AA82" i="1"/>
  <c r="AA98" i="1"/>
  <c r="AA114" i="1"/>
  <c r="AA11" i="1"/>
  <c r="AA43" i="1"/>
  <c r="AA59" i="1"/>
  <c r="AA75" i="1"/>
  <c r="AA91" i="1"/>
  <c r="AA107" i="1"/>
  <c r="AA123" i="1"/>
  <c r="Y129" i="1"/>
  <c r="Y131" i="1"/>
  <c r="Y132" i="1"/>
  <c r="Y130" i="1"/>
  <c r="AA127" i="1" l="1"/>
  <c r="AA128" i="1"/>
  <c r="AA129" i="1" s="1"/>
  <c r="AA131" i="1" l="1"/>
  <c r="AA130" i="1"/>
  <c r="AA132" i="1"/>
</calcChain>
</file>

<file path=xl/sharedStrings.xml><?xml version="1.0" encoding="utf-8"?>
<sst xmlns="http://schemas.openxmlformats.org/spreadsheetml/2006/main" count="172" uniqueCount="164">
  <si>
    <t>BABA</t>
  </si>
  <si>
    <t>SE</t>
  </si>
  <si>
    <t>portfolio price</t>
  </si>
  <si>
    <t>Date</t>
  </si>
  <si>
    <t>Open</t>
  </si>
  <si>
    <t>High</t>
  </si>
  <si>
    <t>Low</t>
  </si>
  <si>
    <t>Close</t>
  </si>
  <si>
    <t>Adj Close</t>
  </si>
  <si>
    <t>Volume</t>
  </si>
  <si>
    <t>p</t>
  </si>
  <si>
    <t>(1-p)</t>
  </si>
  <si>
    <t>S1</t>
  </si>
  <si>
    <t>S2</t>
  </si>
  <si>
    <t>portfolio</t>
  </si>
  <si>
    <t>returns baba</t>
  </si>
  <si>
    <t>returns se</t>
  </si>
  <si>
    <t>returns portfolio</t>
  </si>
  <si>
    <t>2022-11-15</t>
  </si>
  <si>
    <t>2022-11-16</t>
  </si>
  <si>
    <t>2022-11-17</t>
  </si>
  <si>
    <t>2022-11-18</t>
  </si>
  <si>
    <t>2022-11-21</t>
  </si>
  <si>
    <t>2022-11-22</t>
  </si>
  <si>
    <t>2022-11-23</t>
  </si>
  <si>
    <t>2022-11-25</t>
  </si>
  <si>
    <t>2022-11-28</t>
  </si>
  <si>
    <t>2022-11-29</t>
  </si>
  <si>
    <t>2022-11-30</t>
  </si>
  <si>
    <t>2022-12-01</t>
  </si>
  <si>
    <t>2022-12-02</t>
  </si>
  <si>
    <t>2022-12-05</t>
  </si>
  <si>
    <t>2022-12-06</t>
  </si>
  <si>
    <t>2022-12-07</t>
  </si>
  <si>
    <t>2022-12-08</t>
  </si>
  <si>
    <t>2022-12-09</t>
  </si>
  <si>
    <t>2022-12-12</t>
  </si>
  <si>
    <t>2022-12-13</t>
  </si>
  <si>
    <t>2022-12-14</t>
  </si>
  <si>
    <t>2022-12-15</t>
  </si>
  <si>
    <t>2022-12-16</t>
  </si>
  <si>
    <t>2022-12-19</t>
  </si>
  <si>
    <t>2022-12-20</t>
  </si>
  <si>
    <t>2022-12-21</t>
  </si>
  <si>
    <t>2022-12-22</t>
  </si>
  <si>
    <t>2022-12-23</t>
  </si>
  <si>
    <t>2022-12-27</t>
  </si>
  <si>
    <t>2022-12-28</t>
  </si>
  <si>
    <t>2022-12-29</t>
  </si>
  <si>
    <t>2022-12-30</t>
  </si>
  <si>
    <t>2023-01-03</t>
  </si>
  <si>
    <t>2023-01-04</t>
  </si>
  <si>
    <t>2023-01-05</t>
  </si>
  <si>
    <t>2023-01-06</t>
  </si>
  <si>
    <t>2023-01-09</t>
  </si>
  <si>
    <t>2023-01-10</t>
  </si>
  <si>
    <t>2023-01-11</t>
  </si>
  <si>
    <t>2023-01-12</t>
  </si>
  <si>
    <t>2023-01-13</t>
  </si>
  <si>
    <t>2023-01-17</t>
  </si>
  <si>
    <t>2023-01-18</t>
  </si>
  <si>
    <t>2023-01-19</t>
  </si>
  <si>
    <t>2023-01-20</t>
  </si>
  <si>
    <t>2023-01-23</t>
  </si>
  <si>
    <t>2023-01-24</t>
  </si>
  <si>
    <t>2023-01-25</t>
  </si>
  <si>
    <t>2023-01-26</t>
  </si>
  <si>
    <t>2023-01-27</t>
  </si>
  <si>
    <t>2023-01-30</t>
  </si>
  <si>
    <t>2023-01-31</t>
  </si>
  <si>
    <t>2023-02-01</t>
  </si>
  <si>
    <t>2023-02-02</t>
  </si>
  <si>
    <t>2023-02-03</t>
  </si>
  <si>
    <t>2023-02-06</t>
  </si>
  <si>
    <t>2023-02-07</t>
  </si>
  <si>
    <t>2023-02-08</t>
  </si>
  <si>
    <t>2023-02-09</t>
  </si>
  <si>
    <t>2023-02-10</t>
  </si>
  <si>
    <t>2023-02-13</t>
  </si>
  <si>
    <t>2023-02-14</t>
  </si>
  <si>
    <t>2023-02-15</t>
  </si>
  <si>
    <t>2023-02-16</t>
  </si>
  <si>
    <t>2023-02-17</t>
  </si>
  <si>
    <t>2023-02-21</t>
  </si>
  <si>
    <t>2023-02-22</t>
  </si>
  <si>
    <t>2023-02-23</t>
  </si>
  <si>
    <t>2023-02-24</t>
  </si>
  <si>
    <t>2023-02-27</t>
  </si>
  <si>
    <t>2023-02-28</t>
  </si>
  <si>
    <t>2023-03-01</t>
  </si>
  <si>
    <t>2023-03-02</t>
  </si>
  <si>
    <t>2023-03-03</t>
  </si>
  <si>
    <t>2023-03-06</t>
  </si>
  <si>
    <t>2023-03-07</t>
  </si>
  <si>
    <t>2023-03-08</t>
  </si>
  <si>
    <t>2023-03-09</t>
  </si>
  <si>
    <t>2023-03-10</t>
  </si>
  <si>
    <t>2023-03-13</t>
  </si>
  <si>
    <t>2023-03-14</t>
  </si>
  <si>
    <t>2023-03-15</t>
  </si>
  <si>
    <t>2023-03-16</t>
  </si>
  <si>
    <t>2023-03-17</t>
  </si>
  <si>
    <t>2023-03-20</t>
  </si>
  <si>
    <t>2023-03-21</t>
  </si>
  <si>
    <t>2023-03-22</t>
  </si>
  <si>
    <t>2023-03-23</t>
  </si>
  <si>
    <t>2023-03-24</t>
  </si>
  <si>
    <t>2023-03-27</t>
  </si>
  <si>
    <t>2023-03-28</t>
  </si>
  <si>
    <t>2023-03-29</t>
  </si>
  <si>
    <t>2023-03-30</t>
  </si>
  <si>
    <t>2023-03-31</t>
  </si>
  <si>
    <t>2023-04-03</t>
  </si>
  <si>
    <t>2023-04-04</t>
  </si>
  <si>
    <t>2023-04-05</t>
  </si>
  <si>
    <t>2023-04-06</t>
  </si>
  <si>
    <t>2023-04-10</t>
  </si>
  <si>
    <t>2023-04-11</t>
  </si>
  <si>
    <t>2023-04-12</t>
  </si>
  <si>
    <t>2023-04-13</t>
  </si>
  <si>
    <t>2023-04-14</t>
  </si>
  <si>
    <t>2023-04-17</t>
  </si>
  <si>
    <t>2023-04-18</t>
  </si>
  <si>
    <t>2023-04-19</t>
  </si>
  <si>
    <t>2023-04-20</t>
  </si>
  <si>
    <t>2023-04-21</t>
  </si>
  <si>
    <t>2023-04-24</t>
  </si>
  <si>
    <t>2023-04-25</t>
  </si>
  <si>
    <t>2023-04-26</t>
  </si>
  <si>
    <t>2023-04-27</t>
  </si>
  <si>
    <t>2023-04-28</t>
  </si>
  <si>
    <t>2023-05-01</t>
  </si>
  <si>
    <t>2023-05-02</t>
  </si>
  <si>
    <t>2023-05-03</t>
  </si>
  <si>
    <t>2023-05-04</t>
  </si>
  <si>
    <t>2023-05-05</t>
  </si>
  <si>
    <t>2023-05-08</t>
  </si>
  <si>
    <t>2023-05-09</t>
  </si>
  <si>
    <t>2023-05-10</t>
  </si>
  <si>
    <t>2023-05-11</t>
  </si>
  <si>
    <t>2023-05-12</t>
  </si>
  <si>
    <t>mean</t>
  </si>
  <si>
    <t>std</t>
  </si>
  <si>
    <t>var = std^2</t>
  </si>
  <si>
    <t>VaR 95%</t>
  </si>
  <si>
    <t xml:space="preserve">one day </t>
  </si>
  <si>
    <t>VaR 99%</t>
  </si>
  <si>
    <t>VaR 99.5%</t>
  </si>
  <si>
    <t>indexes</t>
  </si>
  <si>
    <t>weights</t>
  </si>
  <si>
    <t>lambda</t>
  </si>
  <si>
    <t>w.r. baba ^2</t>
  </si>
  <si>
    <t>w.r. se ^2</t>
  </si>
  <si>
    <t>w.r. portfolio^2</t>
  </si>
  <si>
    <t>one day</t>
  </si>
  <si>
    <t>EWMA</t>
  </si>
  <si>
    <r>
      <t>N</t>
    </r>
    <r>
      <rPr>
        <sz val="8"/>
        <color rgb="FF000000"/>
        <rFont val="Liberation Sans"/>
      </rPr>
      <t>MC</t>
    </r>
    <r>
      <rPr>
        <sz val="11"/>
        <color rgb="FF000000"/>
        <rFont val="Liberation Sans"/>
      </rPr>
      <t xml:space="preserve"> steps</t>
    </r>
  </si>
  <si>
    <t>MONTE CARLO VAR (cambiando sigma cambio asset)</t>
  </si>
  <si>
    <t>Historical VaR (se cambio sigma cambia asset ora è BABA)</t>
  </si>
  <si>
    <r>
      <t xml:space="preserve">Var = </t>
    </r>
    <r>
      <rPr>
        <sz val="11"/>
        <color rgb="FF000000"/>
        <rFont val="Arial"/>
        <family val="2"/>
      </rPr>
      <t>σ</t>
    </r>
    <r>
      <rPr>
        <sz val="8"/>
        <color rgb="FF000000"/>
        <rFont val="Liberation Sans"/>
      </rPr>
      <t>daily</t>
    </r>
    <r>
      <rPr>
        <sz val="12"/>
        <color rgb="FF000000"/>
        <rFont val="Arial"/>
        <family val="2"/>
      </rPr>
      <t>√T N(-X)</t>
    </r>
  </si>
  <si>
    <t>BABA Normlal VAR</t>
  </si>
  <si>
    <t>SE normal VAR</t>
  </si>
  <si>
    <t>PORTFOLIO normal VaR</t>
  </si>
  <si>
    <t>NON-ADDITIVITY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</si>
</sst>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0">
    <font>
      <sz val="11"/>
      <color rgb="FF000000"/>
      <name val="Liberation Sans"/>
    </font>
    <font>
      <sz val="11"/>
      <color rgb="FF000000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sz val="11"/>
      <color rgb="FF000000"/>
      <name val="Liberation Sans"/>
    </font>
    <font>
      <u/>
      <sz val="11"/>
      <color rgb="FF000000"/>
      <name val="Liberation Sans"/>
    </font>
    <font>
      <sz val="8"/>
      <color rgb="FF000000"/>
      <name val="Liberation Sans"/>
    </font>
    <font>
      <sz val="11"/>
      <color theme="1"/>
      <name val="Liberation Sans"/>
    </font>
    <font>
      <sz val="11"/>
      <color rgb="FF000000"/>
      <name val="Arial"/>
      <family val="2"/>
    </font>
    <font>
      <sz val="12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EBCD"/>
        <bgColor rgb="FFFFEBCD"/>
      </patternFill>
    </fill>
    <fill>
      <patternFill patternType="solid">
        <fgColor rgb="FFE0FFFF"/>
        <bgColor rgb="FFE0FFFF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/>
    <xf numFmtId="0" fontId="2" fillId="0" borderId="0" applyNumberFormat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5" fillId="6" borderId="0" applyNumberFormat="0" applyBorder="0" applyProtection="0"/>
    <xf numFmtId="0" fontId="6" fillId="0" borderId="0" applyNumberFormat="0" applyBorder="0" applyProtection="0"/>
    <xf numFmtId="0" fontId="7" fillId="7" borderId="0" applyNumberFormat="0" applyBorder="0" applyProtection="0"/>
    <xf numFmtId="0" fontId="8" fillId="0" borderId="0" applyNumberFormat="0" applyBorder="0" applyProtection="0"/>
    <xf numFmtId="0" fontId="9" fillId="0" borderId="0" applyNumberFormat="0" applyBorder="0" applyProtection="0"/>
    <xf numFmtId="0" fontId="10" fillId="0" borderId="0" applyNumberFormat="0" applyBorder="0" applyProtection="0"/>
    <xf numFmtId="0" fontId="11" fillId="0" borderId="0" applyNumberFormat="0" applyBorder="0" applyProtection="0"/>
    <xf numFmtId="0" fontId="12" fillId="8" borderId="0" applyNumberFormat="0" applyBorder="0" applyProtection="0"/>
    <xf numFmtId="0" fontId="13" fillId="8" borderId="1" applyNumberForma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  <xf numFmtId="0" fontId="4" fillId="0" borderId="0" applyNumberFormat="0" applyBorder="0" applyProtection="0"/>
  </cellStyleXfs>
  <cellXfs count="19">
    <xf numFmtId="0" fontId="0" fillId="0" borderId="0" xfId="0"/>
    <xf numFmtId="0" fontId="0" fillId="9" borderId="0" xfId="0" applyFill="1"/>
    <xf numFmtId="0" fontId="0" fillId="10" borderId="0" xfId="0" applyFill="1"/>
    <xf numFmtId="49" fontId="0" fillId="9" borderId="0" xfId="0" applyNumberFormat="1" applyFill="1"/>
    <xf numFmtId="164" fontId="0" fillId="10" borderId="0" xfId="0" applyNumberFormat="1" applyFill="1"/>
    <xf numFmtId="0" fontId="0" fillId="11" borderId="0" xfId="0" applyFill="1"/>
    <xf numFmtId="0" fontId="15" fillId="0" borderId="0" xfId="0" applyFont="1"/>
    <xf numFmtId="0" fontId="0" fillId="12" borderId="0" xfId="0" applyFill="1"/>
    <xf numFmtId="0" fontId="0" fillId="13" borderId="0" xfId="0" applyFill="1"/>
    <xf numFmtId="0" fontId="17" fillId="14" borderId="0" xfId="0" applyFont="1" applyFill="1"/>
    <xf numFmtId="0" fontId="0" fillId="15" borderId="0" xfId="0" applyFill="1"/>
    <xf numFmtId="0" fontId="0" fillId="16" borderId="0" xfId="0" applyFill="1"/>
    <xf numFmtId="0" fontId="15" fillId="15" borderId="0" xfId="0" applyFont="1" applyFill="1"/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4" fillId="0" borderId="0" xfId="0" applyFont="1" applyAlignment="1">
      <alignment horizontal="center"/>
    </xf>
  </cellXfs>
  <cellStyles count="18">
    <cellStyle name="Accent" xfId="1" xr:uid="{00000000-0005-0000-0000-000000000000}"/>
    <cellStyle name="Accent 1" xfId="2" xr:uid="{00000000-0005-0000-0000-000001000000}"/>
    <cellStyle name="Accent 2" xfId="3" xr:uid="{00000000-0005-0000-0000-000002000000}"/>
    <cellStyle name="Accent 3" xfId="4" xr:uid="{00000000-0005-0000-0000-000003000000}"/>
    <cellStyle name="Bad" xfId="5" xr:uid="{00000000-0005-0000-0000-000004000000}"/>
    <cellStyle name="Error" xfId="6" xr:uid="{00000000-0005-0000-0000-000005000000}"/>
    <cellStyle name="Footnote" xfId="7" xr:uid="{00000000-0005-0000-0000-000006000000}"/>
    <cellStyle name="Good" xfId="8" xr:uid="{00000000-0005-0000-0000-000007000000}"/>
    <cellStyle name="Heading" xfId="9" xr:uid="{00000000-0005-0000-0000-000008000000}"/>
    <cellStyle name="Heading 1" xfId="10" xr:uid="{00000000-0005-0000-0000-000009000000}"/>
    <cellStyle name="Heading 2" xfId="11" xr:uid="{00000000-0005-0000-0000-00000A000000}"/>
    <cellStyle name="Hyperlink" xfId="12" xr:uid="{00000000-0005-0000-0000-00000B000000}"/>
    <cellStyle name="Neutral" xfId="13" xr:uid="{00000000-0005-0000-0000-00000C000000}"/>
    <cellStyle name="Normale" xfId="0" builtinId="0" customBuiltin="1"/>
    <cellStyle name="Note" xfId="14" xr:uid="{00000000-0005-0000-0000-00000E000000}"/>
    <cellStyle name="Status" xfId="15" xr:uid="{00000000-0005-0000-0000-00000F000000}"/>
    <cellStyle name="Text" xfId="16" xr:uid="{00000000-0005-0000-0000-000010000000}"/>
    <cellStyle name="Warning" xfId="17" xr:uid="{00000000-0005-0000-0000-00001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c:style val="2"/>
  <c:chart>
    <c:title>
      <c:tx>
        <c:rich>
          <a:bodyPr/>
          <a:lstStyle/>
          <a:p>
            <a:pPr>
              <a:defRPr/>
            </a:pPr>
            <a:r>
              <a:rPr lang="it-IT"/>
              <a:t>Equibalance</a:t>
            </a:r>
            <a:r>
              <a:rPr lang="it-IT" baseline="0"/>
              <a:t>d components of a portfolio</a:t>
            </a:r>
            <a:endParaRPr lang="it-IT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Baba</c:v>
          </c:tx>
          <c:spPr>
            <a:ln w="19046" cap="rnd">
              <a:solidFill>
                <a:srgbClr val="4472C4"/>
              </a:solidFill>
              <a:prstDash val="solid"/>
              <a:round/>
            </a:ln>
          </c:spPr>
          <c:marker>
            <c:symbol val="none"/>
          </c:marker>
          <c:xVal>
            <c:numRef>
              <c:f>Sheet1!$H$4:$H$126</c:f>
              <c:numCache>
                <c:formatCode>yyyy\-mm\-dd</c:formatCode>
                <c:ptCount val="123"/>
                <c:pt idx="0">
                  <c:v>44880</c:v>
                </c:pt>
                <c:pt idx="1">
                  <c:v>44881</c:v>
                </c:pt>
                <c:pt idx="2">
                  <c:v>44882</c:v>
                </c:pt>
                <c:pt idx="3">
                  <c:v>44883</c:v>
                </c:pt>
                <c:pt idx="4">
                  <c:v>44886</c:v>
                </c:pt>
                <c:pt idx="5">
                  <c:v>44887</c:v>
                </c:pt>
                <c:pt idx="6">
                  <c:v>44888</c:v>
                </c:pt>
                <c:pt idx="7">
                  <c:v>44890</c:v>
                </c:pt>
                <c:pt idx="8">
                  <c:v>44893</c:v>
                </c:pt>
                <c:pt idx="9">
                  <c:v>44894</c:v>
                </c:pt>
                <c:pt idx="10">
                  <c:v>44895</c:v>
                </c:pt>
                <c:pt idx="11">
                  <c:v>44896</c:v>
                </c:pt>
                <c:pt idx="12">
                  <c:v>44897</c:v>
                </c:pt>
                <c:pt idx="13">
                  <c:v>44900</c:v>
                </c:pt>
                <c:pt idx="14">
                  <c:v>44901</c:v>
                </c:pt>
                <c:pt idx="15">
                  <c:v>44902</c:v>
                </c:pt>
                <c:pt idx="16">
                  <c:v>44903</c:v>
                </c:pt>
                <c:pt idx="17">
                  <c:v>44904</c:v>
                </c:pt>
                <c:pt idx="18">
                  <c:v>44907</c:v>
                </c:pt>
                <c:pt idx="19">
                  <c:v>44908</c:v>
                </c:pt>
                <c:pt idx="20">
                  <c:v>44909</c:v>
                </c:pt>
                <c:pt idx="21">
                  <c:v>44910</c:v>
                </c:pt>
                <c:pt idx="22">
                  <c:v>44911</c:v>
                </c:pt>
                <c:pt idx="23">
                  <c:v>44914</c:v>
                </c:pt>
                <c:pt idx="24">
                  <c:v>44915</c:v>
                </c:pt>
                <c:pt idx="25">
                  <c:v>44916</c:v>
                </c:pt>
                <c:pt idx="26">
                  <c:v>44917</c:v>
                </c:pt>
                <c:pt idx="27">
                  <c:v>44918</c:v>
                </c:pt>
                <c:pt idx="28">
                  <c:v>44922</c:v>
                </c:pt>
                <c:pt idx="29">
                  <c:v>44923</c:v>
                </c:pt>
                <c:pt idx="30">
                  <c:v>44924</c:v>
                </c:pt>
                <c:pt idx="31">
                  <c:v>44925</c:v>
                </c:pt>
                <c:pt idx="32">
                  <c:v>44929</c:v>
                </c:pt>
                <c:pt idx="33">
                  <c:v>44930</c:v>
                </c:pt>
                <c:pt idx="34">
                  <c:v>44931</c:v>
                </c:pt>
                <c:pt idx="35">
                  <c:v>44932</c:v>
                </c:pt>
                <c:pt idx="36">
                  <c:v>44935</c:v>
                </c:pt>
                <c:pt idx="37">
                  <c:v>44936</c:v>
                </c:pt>
                <c:pt idx="38">
                  <c:v>44937</c:v>
                </c:pt>
                <c:pt idx="39">
                  <c:v>44938</c:v>
                </c:pt>
                <c:pt idx="40">
                  <c:v>44939</c:v>
                </c:pt>
                <c:pt idx="41">
                  <c:v>44943</c:v>
                </c:pt>
                <c:pt idx="42">
                  <c:v>44944</c:v>
                </c:pt>
                <c:pt idx="43">
                  <c:v>44945</c:v>
                </c:pt>
                <c:pt idx="44">
                  <c:v>44946</c:v>
                </c:pt>
                <c:pt idx="45">
                  <c:v>44949</c:v>
                </c:pt>
                <c:pt idx="46">
                  <c:v>44950</c:v>
                </c:pt>
                <c:pt idx="47">
                  <c:v>44951</c:v>
                </c:pt>
                <c:pt idx="48">
                  <c:v>44952</c:v>
                </c:pt>
                <c:pt idx="49">
                  <c:v>44953</c:v>
                </c:pt>
                <c:pt idx="50">
                  <c:v>44956</c:v>
                </c:pt>
                <c:pt idx="51">
                  <c:v>44957</c:v>
                </c:pt>
                <c:pt idx="52">
                  <c:v>44958</c:v>
                </c:pt>
                <c:pt idx="53">
                  <c:v>44959</c:v>
                </c:pt>
                <c:pt idx="54">
                  <c:v>44960</c:v>
                </c:pt>
                <c:pt idx="55">
                  <c:v>44963</c:v>
                </c:pt>
                <c:pt idx="56">
                  <c:v>44964</c:v>
                </c:pt>
                <c:pt idx="57">
                  <c:v>44965</c:v>
                </c:pt>
                <c:pt idx="58">
                  <c:v>44966</c:v>
                </c:pt>
                <c:pt idx="59">
                  <c:v>44967</c:v>
                </c:pt>
                <c:pt idx="60">
                  <c:v>44970</c:v>
                </c:pt>
                <c:pt idx="61">
                  <c:v>44971</c:v>
                </c:pt>
                <c:pt idx="62">
                  <c:v>44972</c:v>
                </c:pt>
                <c:pt idx="63">
                  <c:v>44973</c:v>
                </c:pt>
                <c:pt idx="64">
                  <c:v>44974</c:v>
                </c:pt>
                <c:pt idx="65">
                  <c:v>44978</c:v>
                </c:pt>
                <c:pt idx="66">
                  <c:v>44979</c:v>
                </c:pt>
                <c:pt idx="67">
                  <c:v>44980</c:v>
                </c:pt>
                <c:pt idx="68">
                  <c:v>44981</c:v>
                </c:pt>
                <c:pt idx="69">
                  <c:v>44984</c:v>
                </c:pt>
                <c:pt idx="70">
                  <c:v>44985</c:v>
                </c:pt>
                <c:pt idx="71">
                  <c:v>44986</c:v>
                </c:pt>
                <c:pt idx="72">
                  <c:v>44987</c:v>
                </c:pt>
                <c:pt idx="73">
                  <c:v>44988</c:v>
                </c:pt>
                <c:pt idx="74">
                  <c:v>44991</c:v>
                </c:pt>
                <c:pt idx="75">
                  <c:v>44992</c:v>
                </c:pt>
                <c:pt idx="76">
                  <c:v>44993</c:v>
                </c:pt>
                <c:pt idx="77">
                  <c:v>44994</c:v>
                </c:pt>
                <c:pt idx="78">
                  <c:v>44995</c:v>
                </c:pt>
                <c:pt idx="79">
                  <c:v>44998</c:v>
                </c:pt>
                <c:pt idx="80">
                  <c:v>44999</c:v>
                </c:pt>
                <c:pt idx="81">
                  <c:v>45000</c:v>
                </c:pt>
                <c:pt idx="82">
                  <c:v>45001</c:v>
                </c:pt>
                <c:pt idx="83">
                  <c:v>45002</c:v>
                </c:pt>
                <c:pt idx="84">
                  <c:v>45005</c:v>
                </c:pt>
                <c:pt idx="85">
                  <c:v>45006</c:v>
                </c:pt>
                <c:pt idx="86">
                  <c:v>45007</c:v>
                </c:pt>
                <c:pt idx="87">
                  <c:v>45008</c:v>
                </c:pt>
                <c:pt idx="88">
                  <c:v>45009</c:v>
                </c:pt>
                <c:pt idx="89">
                  <c:v>45012</c:v>
                </c:pt>
                <c:pt idx="90">
                  <c:v>45013</c:v>
                </c:pt>
                <c:pt idx="91">
                  <c:v>45014</c:v>
                </c:pt>
                <c:pt idx="92">
                  <c:v>45015</c:v>
                </c:pt>
                <c:pt idx="93">
                  <c:v>45016</c:v>
                </c:pt>
                <c:pt idx="94">
                  <c:v>45019</c:v>
                </c:pt>
                <c:pt idx="95">
                  <c:v>45020</c:v>
                </c:pt>
                <c:pt idx="96">
                  <c:v>45021</c:v>
                </c:pt>
                <c:pt idx="97">
                  <c:v>45022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45033</c:v>
                </c:pt>
                <c:pt idx="104">
                  <c:v>45034</c:v>
                </c:pt>
                <c:pt idx="105">
                  <c:v>45035</c:v>
                </c:pt>
                <c:pt idx="106">
                  <c:v>45036</c:v>
                </c:pt>
                <c:pt idx="107">
                  <c:v>45037</c:v>
                </c:pt>
                <c:pt idx="108">
                  <c:v>45040</c:v>
                </c:pt>
                <c:pt idx="109">
                  <c:v>45041</c:v>
                </c:pt>
                <c:pt idx="110">
                  <c:v>45042</c:v>
                </c:pt>
                <c:pt idx="111">
                  <c:v>45043</c:v>
                </c:pt>
                <c:pt idx="112">
                  <c:v>45044</c:v>
                </c:pt>
                <c:pt idx="113">
                  <c:v>45047</c:v>
                </c:pt>
                <c:pt idx="114">
                  <c:v>45048</c:v>
                </c:pt>
                <c:pt idx="115">
                  <c:v>45049</c:v>
                </c:pt>
                <c:pt idx="116">
                  <c:v>45050</c:v>
                </c:pt>
                <c:pt idx="117">
                  <c:v>45051</c:v>
                </c:pt>
                <c:pt idx="118">
                  <c:v>45054</c:v>
                </c:pt>
                <c:pt idx="119">
                  <c:v>45055</c:v>
                </c:pt>
                <c:pt idx="120">
                  <c:v>45056</c:v>
                </c:pt>
                <c:pt idx="121">
                  <c:v>45057</c:v>
                </c:pt>
                <c:pt idx="122">
                  <c:v>45058</c:v>
                </c:pt>
              </c:numCache>
            </c:numRef>
          </c:xVal>
          <c:yVal>
            <c:numRef>
              <c:f>Sheet1!$Q$4:$Q$126</c:f>
              <c:numCache>
                <c:formatCode>General</c:formatCode>
                <c:ptCount val="123"/>
                <c:pt idx="0">
                  <c:v>220.00564663496513</c:v>
                </c:pt>
                <c:pt idx="1">
                  <c:v>214.57784524426168</c:v>
                </c:pt>
                <c:pt idx="2">
                  <c:v>207.81607312828805</c:v>
                </c:pt>
                <c:pt idx="3">
                  <c:v>207.17507703136258</c:v>
                </c:pt>
                <c:pt idx="4">
                  <c:v>206.41886734849641</c:v>
                </c:pt>
                <c:pt idx="5">
                  <c:v>206.69291431278944</c:v>
                </c:pt>
                <c:pt idx="6">
                  <c:v>207.37344585571131</c:v>
                </c:pt>
                <c:pt idx="7">
                  <c:v>209.21275612386384</c:v>
                </c:pt>
                <c:pt idx="8">
                  <c:v>206.64193082257685</c:v>
                </c:pt>
                <c:pt idx="9">
                  <c:v>202.2815329725733</c:v>
                </c:pt>
                <c:pt idx="10">
                  <c:v>199.9931480845573</c:v>
                </c:pt>
                <c:pt idx="11">
                  <c:v>207.86593356813012</c:v>
                </c:pt>
                <c:pt idx="12">
                  <c:v>202.65452128007473</c:v>
                </c:pt>
                <c:pt idx="13">
                  <c:v>197.33850870680439</c:v>
                </c:pt>
                <c:pt idx="14">
                  <c:v>197.60597836141719</c:v>
                </c:pt>
                <c:pt idx="15">
                  <c:v>198.38830157754558</c:v>
                </c:pt>
                <c:pt idx="16">
                  <c:v>196.71498228663444</c:v>
                </c:pt>
                <c:pt idx="17">
                  <c:v>199.51971444857836</c:v>
                </c:pt>
                <c:pt idx="18">
                  <c:v>205.26766336319454</c:v>
                </c:pt>
                <c:pt idx="19">
                  <c:v>204.99579926429229</c:v>
                </c:pt>
                <c:pt idx="20">
                  <c:v>208.41619116740435</c:v>
                </c:pt>
                <c:pt idx="21">
                  <c:v>207.28643158069309</c:v>
                </c:pt>
                <c:pt idx="22">
                  <c:v>191.09481420842823</c:v>
                </c:pt>
                <c:pt idx="23">
                  <c:v>189.11399089416491</c:v>
                </c:pt>
                <c:pt idx="24">
                  <c:v>186.28596737674846</c:v>
                </c:pt>
                <c:pt idx="25">
                  <c:v>186.95187209166215</c:v>
                </c:pt>
                <c:pt idx="26">
                  <c:v>181.72937639848499</c:v>
                </c:pt>
                <c:pt idx="27">
                  <c:v>184.11152172309508</c:v>
                </c:pt>
                <c:pt idx="28">
                  <c:v>179.32338748609385</c:v>
                </c:pt>
                <c:pt idx="29">
                  <c:v>179.69438655944705</c:v>
                </c:pt>
                <c:pt idx="30">
                  <c:v>186.02931430223072</c:v>
                </c:pt>
                <c:pt idx="31">
                  <c:v>185.66229252291939</c:v>
                </c:pt>
                <c:pt idx="32">
                  <c:v>182.7400624432934</c:v>
                </c:pt>
                <c:pt idx="33">
                  <c:v>174.4156883116909</c:v>
                </c:pt>
                <c:pt idx="34">
                  <c:v>174.04313459614593</c:v>
                </c:pt>
                <c:pt idx="35">
                  <c:v>170.73394646677329</c:v>
                </c:pt>
                <c:pt idx="36">
                  <c:v>161.83560147979003</c:v>
                </c:pt>
                <c:pt idx="37">
                  <c:v>160.29924975573363</c:v>
                </c:pt>
                <c:pt idx="38">
                  <c:v>165.30874021193904</c:v>
                </c:pt>
                <c:pt idx="39">
                  <c:v>170.1743134698132</c:v>
                </c:pt>
                <c:pt idx="40">
                  <c:v>169.70586196744841</c:v>
                </c:pt>
                <c:pt idx="41">
                  <c:v>175.30160855056033</c:v>
                </c:pt>
                <c:pt idx="42">
                  <c:v>177.0126062646203</c:v>
                </c:pt>
                <c:pt idx="43">
                  <c:v>172.34401155318704</c:v>
                </c:pt>
                <c:pt idx="44">
                  <c:v>177.3099297080559</c:v>
                </c:pt>
                <c:pt idx="45">
                  <c:v>179.13132793802933</c:v>
                </c:pt>
                <c:pt idx="46">
                  <c:v>174.44395797597082</c:v>
                </c:pt>
                <c:pt idx="47">
                  <c:v>174.13690668108063</c:v>
                </c:pt>
                <c:pt idx="48">
                  <c:v>178.59998933731407</c:v>
                </c:pt>
                <c:pt idx="49">
                  <c:v>183.3574145402022</c:v>
                </c:pt>
                <c:pt idx="50">
                  <c:v>183.74950723792168</c:v>
                </c:pt>
                <c:pt idx="51">
                  <c:v>184.51187865485986</c:v>
                </c:pt>
                <c:pt idx="52">
                  <c:v>189.66275550964554</c:v>
                </c:pt>
                <c:pt idx="53">
                  <c:v>198.93004663923185</c:v>
                </c:pt>
                <c:pt idx="54">
                  <c:v>199.29298587172534</c:v>
                </c:pt>
                <c:pt idx="55">
                  <c:v>192.9415945078423</c:v>
                </c:pt>
                <c:pt idx="56">
                  <c:v>196.90875834917972</c:v>
                </c:pt>
                <c:pt idx="57">
                  <c:v>197.01948113120883</c:v>
                </c:pt>
                <c:pt idx="58">
                  <c:v>191.48936279149711</c:v>
                </c:pt>
                <c:pt idx="59">
                  <c:v>190.87384204146923</c:v>
                </c:pt>
                <c:pt idx="60">
                  <c:v>191.44926024909321</c:v>
                </c:pt>
                <c:pt idx="61">
                  <c:v>190.65004890115648</c:v>
                </c:pt>
                <c:pt idx="62">
                  <c:v>194.83094913849249</c:v>
                </c:pt>
                <c:pt idx="63">
                  <c:v>196.62822413860968</c:v>
                </c:pt>
                <c:pt idx="64">
                  <c:v>196.97612539144041</c:v>
                </c:pt>
                <c:pt idx="65">
                  <c:v>199.06968165394193</c:v>
                </c:pt>
                <c:pt idx="66">
                  <c:v>200.21508034179001</c:v>
                </c:pt>
                <c:pt idx="67">
                  <c:v>199.24619588455997</c:v>
                </c:pt>
                <c:pt idx="68">
                  <c:v>201.36232066790581</c:v>
                </c:pt>
                <c:pt idx="69">
                  <c:v>200.96495342759499</c:v>
                </c:pt>
                <c:pt idx="70">
                  <c:v>207.91190029454552</c:v>
                </c:pt>
                <c:pt idx="71">
                  <c:v>204.15077366433576</c:v>
                </c:pt>
                <c:pt idx="72">
                  <c:v>207.29241597226263</c:v>
                </c:pt>
                <c:pt idx="73">
                  <c:v>211.3342347729367</c:v>
                </c:pt>
                <c:pt idx="74">
                  <c:v>211.5174085943809</c:v>
                </c:pt>
                <c:pt idx="75">
                  <c:v>237.15859211352216</c:v>
                </c:pt>
                <c:pt idx="76">
                  <c:v>239.29599542144385</c:v>
                </c:pt>
                <c:pt idx="77">
                  <c:v>240.99042672442351</c:v>
                </c:pt>
                <c:pt idx="78">
                  <c:v>234.79956165972922</c:v>
                </c:pt>
                <c:pt idx="79">
                  <c:v>237.1424934274369</c:v>
                </c:pt>
                <c:pt idx="80">
                  <c:v>238.76877198770214</c:v>
                </c:pt>
                <c:pt idx="81">
                  <c:v>239.98341393443238</c:v>
                </c:pt>
                <c:pt idx="82">
                  <c:v>243.84696235088742</c:v>
                </c:pt>
                <c:pt idx="83">
                  <c:v>244.8928656212907</c:v>
                </c:pt>
                <c:pt idx="84">
                  <c:v>243.52479910012539</c:v>
                </c:pt>
                <c:pt idx="85">
                  <c:v>244.1306003195231</c:v>
                </c:pt>
                <c:pt idx="86">
                  <c:v>240.71663601574724</c:v>
                </c:pt>
                <c:pt idx="87">
                  <c:v>245.81350390191855</c:v>
                </c:pt>
                <c:pt idx="88">
                  <c:v>243.32466176349635</c:v>
                </c:pt>
                <c:pt idx="89">
                  <c:v>245.74869363634448</c:v>
                </c:pt>
                <c:pt idx="90">
                  <c:v>226.89425226872882</c:v>
                </c:pt>
                <c:pt idx="91">
                  <c:v>230.64481303956896</c:v>
                </c:pt>
                <c:pt idx="92">
                  <c:v>227.94737631578946</c:v>
                </c:pt>
                <c:pt idx="93">
                  <c:v>229.29582372761368</c:v>
                </c:pt>
                <c:pt idx="94">
                  <c:v>235.80903407877685</c:v>
                </c:pt>
                <c:pt idx="95">
                  <c:v>232.63962359311955</c:v>
                </c:pt>
                <c:pt idx="96">
                  <c:v>232.56444233378562</c:v>
                </c:pt>
                <c:pt idx="97">
                  <c:v>225.02944545551867</c:v>
                </c:pt>
                <c:pt idx="98">
                  <c:v>225.67136488896094</c:v>
                </c:pt>
                <c:pt idx="99">
                  <c:v>225.61746671644497</c:v>
                </c:pt>
                <c:pt idx="100">
                  <c:v>232.10004414811036</c:v>
                </c:pt>
                <c:pt idx="101">
                  <c:v>233.06872839496353</c:v>
                </c:pt>
                <c:pt idx="102">
                  <c:v>234.51450833941712</c:v>
                </c:pt>
                <c:pt idx="103">
                  <c:v>231.07603014617126</c:v>
                </c:pt>
                <c:pt idx="104">
                  <c:v>231.76966853932583</c:v>
                </c:pt>
                <c:pt idx="105">
                  <c:v>232.85518305761076</c:v>
                </c:pt>
                <c:pt idx="106">
                  <c:v>232.33038938053096</c:v>
                </c:pt>
                <c:pt idx="107">
                  <c:v>235.20499213324396</c:v>
                </c:pt>
                <c:pt idx="108">
                  <c:v>237.65096603443195</c:v>
                </c:pt>
                <c:pt idx="109">
                  <c:v>237.36222602305841</c:v>
                </c:pt>
                <c:pt idx="110">
                  <c:v>235.04383047511786</c:v>
                </c:pt>
                <c:pt idx="111">
                  <c:v>234.70477739435236</c:v>
                </c:pt>
                <c:pt idx="112">
                  <c:v>236.75866592067638</c:v>
                </c:pt>
                <c:pt idx="113">
                  <c:v>237.01642726059089</c:v>
                </c:pt>
                <c:pt idx="114">
                  <c:v>238.6523878356812</c:v>
                </c:pt>
                <c:pt idx="115">
                  <c:v>239.01345333708699</c:v>
                </c:pt>
                <c:pt idx="116">
                  <c:v>239.76276408306848</c:v>
                </c:pt>
                <c:pt idx="117">
                  <c:v>242.56017315596819</c:v>
                </c:pt>
                <c:pt idx="118">
                  <c:v>251.52112264376041</c:v>
                </c:pt>
                <c:pt idx="119">
                  <c:v>252.6771733084035</c:v>
                </c:pt>
                <c:pt idx="120">
                  <c:v>253.84296401973961</c:v>
                </c:pt>
                <c:pt idx="121">
                  <c:v>248.31042380653406</c:v>
                </c:pt>
                <c:pt idx="122">
                  <c:v>249.16230817786231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FE-4872-80D6-102DC0065749}"/>
            </c:ext>
          </c:extLst>
        </c:ser>
        <c:ser>
          <c:idx val="1"/>
          <c:order val="1"/>
          <c:tx>
            <c:v>SE</c:v>
          </c:tx>
          <c:spPr>
            <a:ln w="19046" cap="rnd">
              <a:solidFill>
                <a:srgbClr val="ED7D31"/>
              </a:solidFill>
              <a:prstDash val="solid"/>
              <a:round/>
            </a:ln>
          </c:spPr>
          <c:marker>
            <c:symbol val="none"/>
          </c:marker>
          <c:xVal>
            <c:numRef>
              <c:f>Sheet1!$H$4:$H$126</c:f>
              <c:numCache>
                <c:formatCode>yyyy\-mm\-dd</c:formatCode>
                <c:ptCount val="123"/>
                <c:pt idx="0">
                  <c:v>44880</c:v>
                </c:pt>
                <c:pt idx="1">
                  <c:v>44881</c:v>
                </c:pt>
                <c:pt idx="2">
                  <c:v>44882</c:v>
                </c:pt>
                <c:pt idx="3">
                  <c:v>44883</c:v>
                </c:pt>
                <c:pt idx="4">
                  <c:v>44886</c:v>
                </c:pt>
                <c:pt idx="5">
                  <c:v>44887</c:v>
                </c:pt>
                <c:pt idx="6">
                  <c:v>44888</c:v>
                </c:pt>
                <c:pt idx="7">
                  <c:v>44890</c:v>
                </c:pt>
                <c:pt idx="8">
                  <c:v>44893</c:v>
                </c:pt>
                <c:pt idx="9">
                  <c:v>44894</c:v>
                </c:pt>
                <c:pt idx="10">
                  <c:v>44895</c:v>
                </c:pt>
                <c:pt idx="11">
                  <c:v>44896</c:v>
                </c:pt>
                <c:pt idx="12">
                  <c:v>44897</c:v>
                </c:pt>
                <c:pt idx="13">
                  <c:v>44900</c:v>
                </c:pt>
                <c:pt idx="14">
                  <c:v>44901</c:v>
                </c:pt>
                <c:pt idx="15">
                  <c:v>44902</c:v>
                </c:pt>
                <c:pt idx="16">
                  <c:v>44903</c:v>
                </c:pt>
                <c:pt idx="17">
                  <c:v>44904</c:v>
                </c:pt>
                <c:pt idx="18">
                  <c:v>44907</c:v>
                </c:pt>
                <c:pt idx="19">
                  <c:v>44908</c:v>
                </c:pt>
                <c:pt idx="20">
                  <c:v>44909</c:v>
                </c:pt>
                <c:pt idx="21">
                  <c:v>44910</c:v>
                </c:pt>
                <c:pt idx="22">
                  <c:v>44911</c:v>
                </c:pt>
                <c:pt idx="23">
                  <c:v>44914</c:v>
                </c:pt>
                <c:pt idx="24">
                  <c:v>44915</c:v>
                </c:pt>
                <c:pt idx="25">
                  <c:v>44916</c:v>
                </c:pt>
                <c:pt idx="26">
                  <c:v>44917</c:v>
                </c:pt>
                <c:pt idx="27">
                  <c:v>44918</c:v>
                </c:pt>
                <c:pt idx="28">
                  <c:v>44922</c:v>
                </c:pt>
                <c:pt idx="29">
                  <c:v>44923</c:v>
                </c:pt>
                <c:pt idx="30">
                  <c:v>44924</c:v>
                </c:pt>
                <c:pt idx="31">
                  <c:v>44925</c:v>
                </c:pt>
                <c:pt idx="32">
                  <c:v>44929</c:v>
                </c:pt>
                <c:pt idx="33">
                  <c:v>44930</c:v>
                </c:pt>
                <c:pt idx="34">
                  <c:v>44931</c:v>
                </c:pt>
                <c:pt idx="35">
                  <c:v>44932</c:v>
                </c:pt>
                <c:pt idx="36">
                  <c:v>44935</c:v>
                </c:pt>
                <c:pt idx="37">
                  <c:v>44936</c:v>
                </c:pt>
                <c:pt idx="38">
                  <c:v>44937</c:v>
                </c:pt>
                <c:pt idx="39">
                  <c:v>44938</c:v>
                </c:pt>
                <c:pt idx="40">
                  <c:v>44939</c:v>
                </c:pt>
                <c:pt idx="41">
                  <c:v>44943</c:v>
                </c:pt>
                <c:pt idx="42">
                  <c:v>44944</c:v>
                </c:pt>
                <c:pt idx="43">
                  <c:v>44945</c:v>
                </c:pt>
                <c:pt idx="44">
                  <c:v>44946</c:v>
                </c:pt>
                <c:pt idx="45">
                  <c:v>44949</c:v>
                </c:pt>
                <c:pt idx="46">
                  <c:v>44950</c:v>
                </c:pt>
                <c:pt idx="47">
                  <c:v>44951</c:v>
                </c:pt>
                <c:pt idx="48">
                  <c:v>44952</c:v>
                </c:pt>
                <c:pt idx="49">
                  <c:v>44953</c:v>
                </c:pt>
                <c:pt idx="50">
                  <c:v>44956</c:v>
                </c:pt>
                <c:pt idx="51">
                  <c:v>44957</c:v>
                </c:pt>
                <c:pt idx="52">
                  <c:v>44958</c:v>
                </c:pt>
                <c:pt idx="53">
                  <c:v>44959</c:v>
                </c:pt>
                <c:pt idx="54">
                  <c:v>44960</c:v>
                </c:pt>
                <c:pt idx="55">
                  <c:v>44963</c:v>
                </c:pt>
                <c:pt idx="56">
                  <c:v>44964</c:v>
                </c:pt>
                <c:pt idx="57">
                  <c:v>44965</c:v>
                </c:pt>
                <c:pt idx="58">
                  <c:v>44966</c:v>
                </c:pt>
                <c:pt idx="59">
                  <c:v>44967</c:v>
                </c:pt>
                <c:pt idx="60">
                  <c:v>44970</c:v>
                </c:pt>
                <c:pt idx="61">
                  <c:v>44971</c:v>
                </c:pt>
                <c:pt idx="62">
                  <c:v>44972</c:v>
                </c:pt>
                <c:pt idx="63">
                  <c:v>44973</c:v>
                </c:pt>
                <c:pt idx="64">
                  <c:v>44974</c:v>
                </c:pt>
                <c:pt idx="65">
                  <c:v>44978</c:v>
                </c:pt>
                <c:pt idx="66">
                  <c:v>44979</c:v>
                </c:pt>
                <c:pt idx="67">
                  <c:v>44980</c:v>
                </c:pt>
                <c:pt idx="68">
                  <c:v>44981</c:v>
                </c:pt>
                <c:pt idx="69">
                  <c:v>44984</c:v>
                </c:pt>
                <c:pt idx="70">
                  <c:v>44985</c:v>
                </c:pt>
                <c:pt idx="71">
                  <c:v>44986</c:v>
                </c:pt>
                <c:pt idx="72">
                  <c:v>44987</c:v>
                </c:pt>
                <c:pt idx="73">
                  <c:v>44988</c:v>
                </c:pt>
                <c:pt idx="74">
                  <c:v>44991</c:v>
                </c:pt>
                <c:pt idx="75">
                  <c:v>44992</c:v>
                </c:pt>
                <c:pt idx="76">
                  <c:v>44993</c:v>
                </c:pt>
                <c:pt idx="77">
                  <c:v>44994</c:v>
                </c:pt>
                <c:pt idx="78">
                  <c:v>44995</c:v>
                </c:pt>
                <c:pt idx="79">
                  <c:v>44998</c:v>
                </c:pt>
                <c:pt idx="80">
                  <c:v>44999</c:v>
                </c:pt>
                <c:pt idx="81">
                  <c:v>45000</c:v>
                </c:pt>
                <c:pt idx="82">
                  <c:v>45001</c:v>
                </c:pt>
                <c:pt idx="83">
                  <c:v>45002</c:v>
                </c:pt>
                <c:pt idx="84">
                  <c:v>45005</c:v>
                </c:pt>
                <c:pt idx="85">
                  <c:v>45006</c:v>
                </c:pt>
                <c:pt idx="86">
                  <c:v>45007</c:v>
                </c:pt>
                <c:pt idx="87">
                  <c:v>45008</c:v>
                </c:pt>
                <c:pt idx="88">
                  <c:v>45009</c:v>
                </c:pt>
                <c:pt idx="89">
                  <c:v>45012</c:v>
                </c:pt>
                <c:pt idx="90">
                  <c:v>45013</c:v>
                </c:pt>
                <c:pt idx="91">
                  <c:v>45014</c:v>
                </c:pt>
                <c:pt idx="92">
                  <c:v>45015</c:v>
                </c:pt>
                <c:pt idx="93">
                  <c:v>45016</c:v>
                </c:pt>
                <c:pt idx="94">
                  <c:v>45019</c:v>
                </c:pt>
                <c:pt idx="95">
                  <c:v>45020</c:v>
                </c:pt>
                <c:pt idx="96">
                  <c:v>45021</c:v>
                </c:pt>
                <c:pt idx="97">
                  <c:v>45022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45033</c:v>
                </c:pt>
                <c:pt idx="104">
                  <c:v>45034</c:v>
                </c:pt>
                <c:pt idx="105">
                  <c:v>45035</c:v>
                </c:pt>
                <c:pt idx="106">
                  <c:v>45036</c:v>
                </c:pt>
                <c:pt idx="107">
                  <c:v>45037</c:v>
                </c:pt>
                <c:pt idx="108">
                  <c:v>45040</c:v>
                </c:pt>
                <c:pt idx="109">
                  <c:v>45041</c:v>
                </c:pt>
                <c:pt idx="110">
                  <c:v>45042</c:v>
                </c:pt>
                <c:pt idx="111">
                  <c:v>45043</c:v>
                </c:pt>
                <c:pt idx="112">
                  <c:v>45044</c:v>
                </c:pt>
                <c:pt idx="113">
                  <c:v>45047</c:v>
                </c:pt>
                <c:pt idx="114">
                  <c:v>45048</c:v>
                </c:pt>
                <c:pt idx="115">
                  <c:v>45049</c:v>
                </c:pt>
                <c:pt idx="116">
                  <c:v>45050</c:v>
                </c:pt>
                <c:pt idx="117">
                  <c:v>45051</c:v>
                </c:pt>
                <c:pt idx="118">
                  <c:v>45054</c:v>
                </c:pt>
                <c:pt idx="119">
                  <c:v>45055</c:v>
                </c:pt>
                <c:pt idx="120">
                  <c:v>45056</c:v>
                </c:pt>
                <c:pt idx="121">
                  <c:v>45057</c:v>
                </c:pt>
                <c:pt idx="122">
                  <c:v>45058</c:v>
                </c:pt>
              </c:numCache>
            </c:numRef>
          </c:xVal>
          <c:yVal>
            <c:numRef>
              <c:f>Sheet1!$R$4:$R$126</c:f>
              <c:numCache>
                <c:formatCode>General</c:formatCode>
                <c:ptCount val="123"/>
                <c:pt idx="0">
                  <c:v>279.99435336503484</c:v>
                </c:pt>
                <c:pt idx="1">
                  <c:v>285.42215475573829</c:v>
                </c:pt>
                <c:pt idx="2">
                  <c:v>292.18392687171195</c:v>
                </c:pt>
                <c:pt idx="3">
                  <c:v>292.8249229686374</c:v>
                </c:pt>
                <c:pt idx="4">
                  <c:v>293.58113265150359</c:v>
                </c:pt>
                <c:pt idx="5">
                  <c:v>293.30708568721059</c:v>
                </c:pt>
                <c:pt idx="6">
                  <c:v>292.62655414428872</c:v>
                </c:pt>
                <c:pt idx="7">
                  <c:v>290.78724387613619</c:v>
                </c:pt>
                <c:pt idx="8">
                  <c:v>293.3580691774232</c:v>
                </c:pt>
                <c:pt idx="9">
                  <c:v>297.71846702742664</c:v>
                </c:pt>
                <c:pt idx="10">
                  <c:v>300.00685191544272</c:v>
                </c:pt>
                <c:pt idx="11">
                  <c:v>292.13406643186983</c:v>
                </c:pt>
                <c:pt idx="12">
                  <c:v>297.34547871992521</c:v>
                </c:pt>
                <c:pt idx="13">
                  <c:v>302.66149129319564</c:v>
                </c:pt>
                <c:pt idx="14">
                  <c:v>302.39402163858279</c:v>
                </c:pt>
                <c:pt idx="15">
                  <c:v>301.61169842245437</c:v>
                </c:pt>
                <c:pt idx="16">
                  <c:v>303.28501771336556</c:v>
                </c:pt>
                <c:pt idx="17">
                  <c:v>300.48028555142162</c:v>
                </c:pt>
                <c:pt idx="18">
                  <c:v>294.73233663680548</c:v>
                </c:pt>
                <c:pt idx="19">
                  <c:v>295.00420073570768</c:v>
                </c:pt>
                <c:pt idx="20">
                  <c:v>291.58380883259565</c:v>
                </c:pt>
                <c:pt idx="21">
                  <c:v>292.71356841930691</c:v>
                </c:pt>
                <c:pt idx="22">
                  <c:v>308.90518579157174</c:v>
                </c:pt>
                <c:pt idx="23">
                  <c:v>310.88600910583506</c:v>
                </c:pt>
                <c:pt idx="24">
                  <c:v>313.71403262325151</c:v>
                </c:pt>
                <c:pt idx="25">
                  <c:v>313.04812790833779</c:v>
                </c:pt>
                <c:pt idx="26">
                  <c:v>318.27062360151501</c:v>
                </c:pt>
                <c:pt idx="27">
                  <c:v>315.88847827690489</c:v>
                </c:pt>
                <c:pt idx="28">
                  <c:v>320.67661251390609</c:v>
                </c:pt>
                <c:pt idx="29">
                  <c:v>320.30561344055297</c:v>
                </c:pt>
                <c:pt idx="30">
                  <c:v>313.97068569776928</c:v>
                </c:pt>
                <c:pt idx="31">
                  <c:v>314.3377074770807</c:v>
                </c:pt>
                <c:pt idx="32">
                  <c:v>317.25993755670657</c:v>
                </c:pt>
                <c:pt idx="33">
                  <c:v>325.58431168830907</c:v>
                </c:pt>
                <c:pt idx="34">
                  <c:v>325.95686540385407</c:v>
                </c:pt>
                <c:pt idx="35">
                  <c:v>329.26605353322674</c:v>
                </c:pt>
                <c:pt idx="36">
                  <c:v>338.16439852020989</c:v>
                </c:pt>
                <c:pt idx="37">
                  <c:v>339.70075024426637</c:v>
                </c:pt>
                <c:pt idx="38">
                  <c:v>334.69125978806102</c:v>
                </c:pt>
                <c:pt idx="39">
                  <c:v>329.82568653018677</c:v>
                </c:pt>
                <c:pt idx="40">
                  <c:v>330.29413803255159</c:v>
                </c:pt>
                <c:pt idx="41">
                  <c:v>324.69839144943967</c:v>
                </c:pt>
                <c:pt idx="42">
                  <c:v>322.98739373537973</c:v>
                </c:pt>
                <c:pt idx="43">
                  <c:v>327.65598844681296</c:v>
                </c:pt>
                <c:pt idx="44">
                  <c:v>322.69007029194415</c:v>
                </c:pt>
                <c:pt idx="45">
                  <c:v>320.8686720619707</c:v>
                </c:pt>
                <c:pt idx="46">
                  <c:v>325.55604202402924</c:v>
                </c:pt>
                <c:pt idx="47">
                  <c:v>325.86309331891937</c:v>
                </c:pt>
                <c:pt idx="48">
                  <c:v>321.40001066268593</c:v>
                </c:pt>
                <c:pt idx="49">
                  <c:v>316.64258545979777</c:v>
                </c:pt>
                <c:pt idx="50">
                  <c:v>316.2504927620783</c:v>
                </c:pt>
                <c:pt idx="51">
                  <c:v>315.48812134514014</c:v>
                </c:pt>
                <c:pt idx="52">
                  <c:v>310.33724449035446</c:v>
                </c:pt>
                <c:pt idx="53">
                  <c:v>301.06995336076818</c:v>
                </c:pt>
                <c:pt idx="54">
                  <c:v>300.70701412827464</c:v>
                </c:pt>
                <c:pt idx="55">
                  <c:v>307.05840549215776</c:v>
                </c:pt>
                <c:pt idx="56">
                  <c:v>303.09124165082022</c:v>
                </c:pt>
                <c:pt idx="57">
                  <c:v>302.98051886879119</c:v>
                </c:pt>
                <c:pt idx="58">
                  <c:v>308.51063720850289</c:v>
                </c:pt>
                <c:pt idx="59">
                  <c:v>309.12615795853077</c:v>
                </c:pt>
                <c:pt idx="60">
                  <c:v>308.55073975090681</c:v>
                </c:pt>
                <c:pt idx="61">
                  <c:v>309.34995109884358</c:v>
                </c:pt>
                <c:pt idx="62">
                  <c:v>305.16905086150746</c:v>
                </c:pt>
                <c:pt idx="63">
                  <c:v>303.37177586139035</c:v>
                </c:pt>
                <c:pt idx="64">
                  <c:v>303.02387460855954</c:v>
                </c:pt>
                <c:pt idx="65">
                  <c:v>300.93031834605813</c:v>
                </c:pt>
                <c:pt idx="66">
                  <c:v>299.78491965821001</c:v>
                </c:pt>
                <c:pt idx="67">
                  <c:v>300.75380411544</c:v>
                </c:pt>
                <c:pt idx="68">
                  <c:v>298.63767933209425</c:v>
                </c:pt>
                <c:pt idx="69">
                  <c:v>299.03504657240507</c:v>
                </c:pt>
                <c:pt idx="70">
                  <c:v>292.08809970545451</c:v>
                </c:pt>
                <c:pt idx="71">
                  <c:v>295.84922633566424</c:v>
                </c:pt>
                <c:pt idx="72">
                  <c:v>292.70758402773737</c:v>
                </c:pt>
                <c:pt idx="73">
                  <c:v>288.66576522706328</c:v>
                </c:pt>
                <c:pt idx="74">
                  <c:v>288.48259140561913</c:v>
                </c:pt>
                <c:pt idx="75">
                  <c:v>262.84140788647778</c:v>
                </c:pt>
                <c:pt idx="76">
                  <c:v>260.70400457855612</c:v>
                </c:pt>
                <c:pt idx="77">
                  <c:v>259.00957327557649</c:v>
                </c:pt>
                <c:pt idx="78">
                  <c:v>265.20043834027081</c:v>
                </c:pt>
                <c:pt idx="79">
                  <c:v>262.85750657256312</c:v>
                </c:pt>
                <c:pt idx="80">
                  <c:v>261.23122801229783</c:v>
                </c:pt>
                <c:pt idx="81">
                  <c:v>260.01658606556765</c:v>
                </c:pt>
                <c:pt idx="82">
                  <c:v>256.15303764911249</c:v>
                </c:pt>
                <c:pt idx="83">
                  <c:v>255.10713437870936</c:v>
                </c:pt>
                <c:pt idx="84">
                  <c:v>256.47520089987455</c:v>
                </c:pt>
                <c:pt idx="85">
                  <c:v>255.86939968047685</c:v>
                </c:pt>
                <c:pt idx="86">
                  <c:v>259.28336398425279</c:v>
                </c:pt>
                <c:pt idx="87">
                  <c:v>254.18649609808142</c:v>
                </c:pt>
                <c:pt idx="88">
                  <c:v>256.67533823650365</c:v>
                </c:pt>
                <c:pt idx="89">
                  <c:v>254.25130636365546</c:v>
                </c:pt>
                <c:pt idx="90">
                  <c:v>273.10574773127115</c:v>
                </c:pt>
                <c:pt idx="91">
                  <c:v>269.35518696043101</c:v>
                </c:pt>
                <c:pt idx="92">
                  <c:v>272.05262368421052</c:v>
                </c:pt>
                <c:pt idx="93">
                  <c:v>270.70417627238635</c:v>
                </c:pt>
                <c:pt idx="94">
                  <c:v>264.19096592122321</c:v>
                </c:pt>
                <c:pt idx="95">
                  <c:v>267.36037640688045</c:v>
                </c:pt>
                <c:pt idx="96">
                  <c:v>267.43555766621444</c:v>
                </c:pt>
                <c:pt idx="97">
                  <c:v>274.97055454448133</c:v>
                </c:pt>
                <c:pt idx="98">
                  <c:v>274.32863511103909</c:v>
                </c:pt>
                <c:pt idx="99">
                  <c:v>274.38253328355501</c:v>
                </c:pt>
                <c:pt idx="100">
                  <c:v>267.89995585188967</c:v>
                </c:pt>
                <c:pt idx="101">
                  <c:v>266.9312716050365</c:v>
                </c:pt>
                <c:pt idx="102">
                  <c:v>265.48549166058297</c:v>
                </c:pt>
                <c:pt idx="103">
                  <c:v>268.92396985382879</c:v>
                </c:pt>
                <c:pt idx="104">
                  <c:v>268.23033146067417</c:v>
                </c:pt>
                <c:pt idx="105">
                  <c:v>267.14481694238924</c:v>
                </c:pt>
                <c:pt idx="106">
                  <c:v>267.66961061946904</c:v>
                </c:pt>
                <c:pt idx="107">
                  <c:v>264.79500786675595</c:v>
                </c:pt>
                <c:pt idx="108">
                  <c:v>262.34903396556808</c:v>
                </c:pt>
                <c:pt idx="109">
                  <c:v>262.63777397694162</c:v>
                </c:pt>
                <c:pt idx="110">
                  <c:v>264.95616952488217</c:v>
                </c:pt>
                <c:pt idx="111">
                  <c:v>265.29522260564772</c:v>
                </c:pt>
                <c:pt idx="112">
                  <c:v>263.24133407932368</c:v>
                </c:pt>
                <c:pt idx="113">
                  <c:v>262.98357273940917</c:v>
                </c:pt>
                <c:pt idx="114">
                  <c:v>261.34761216431883</c:v>
                </c:pt>
                <c:pt idx="115">
                  <c:v>260.98654666291299</c:v>
                </c:pt>
                <c:pt idx="116">
                  <c:v>260.23723591693147</c:v>
                </c:pt>
                <c:pt idx="117">
                  <c:v>257.43982684403181</c:v>
                </c:pt>
                <c:pt idx="118">
                  <c:v>248.47887735623956</c:v>
                </c:pt>
                <c:pt idx="119">
                  <c:v>247.32282669159653</c:v>
                </c:pt>
                <c:pt idx="120">
                  <c:v>246.15703598026033</c:v>
                </c:pt>
                <c:pt idx="121">
                  <c:v>251.68957619346594</c:v>
                </c:pt>
                <c:pt idx="122">
                  <c:v>250.83769182213766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FE-4872-80D6-102DC0065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771264"/>
        <c:axId val="451772344"/>
      </c:scatterChart>
      <c:valAx>
        <c:axId val="451772344"/>
        <c:scaling>
          <c:orientation val="minMax"/>
        </c:scaling>
        <c:delete val="0"/>
        <c:axPos val="l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Assets</a:t>
                </a:r>
                <a:r>
                  <a:rPr lang="it-IT" baseline="0"/>
                  <a:t> price [$]</a:t>
                </a:r>
                <a:endParaRPr lang="it-IT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8" cap="flat">
            <a:solidFill>
              <a:srgbClr val="BFBFBF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it-IT"/>
          </a:p>
        </c:txPr>
        <c:crossAx val="451771264"/>
        <c:crosses val="autoZero"/>
        <c:crossBetween val="midCat"/>
      </c:valAx>
      <c:valAx>
        <c:axId val="451771264"/>
        <c:scaling>
          <c:orientation val="minMax"/>
        </c:scaling>
        <c:delete val="0"/>
        <c:axPos val="b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Time</a:t>
                </a:r>
                <a:r>
                  <a:rPr lang="it-IT" baseline="0"/>
                  <a:t> [d]</a:t>
                </a:r>
                <a:endParaRPr lang="it-IT"/>
              </a:p>
            </c:rich>
          </c:tx>
          <c:overlay val="0"/>
        </c:title>
        <c:numFmt formatCode="yyyy\-mm\-dd" sourceLinked="1"/>
        <c:majorTickMark val="none"/>
        <c:minorTickMark val="none"/>
        <c:tickLblPos val="nextTo"/>
        <c:spPr>
          <a:noFill/>
          <a:ln w="9528" cap="flat">
            <a:solidFill>
              <a:srgbClr val="BFBFBF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it-IT"/>
          </a:p>
        </c:txPr>
        <c:crossAx val="451772344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900" b="0" i="0" u="none" strike="noStrike" kern="1200" baseline="0">
              <a:solidFill>
                <a:srgbClr val="595959"/>
              </a:solidFill>
              <a:latin typeface="Calibri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it-IT" sz="1000" b="0" i="0" u="none" strike="noStrike" kern="1200" baseline="0">
          <a:solidFill>
            <a:srgbClr val="000000"/>
          </a:solidFill>
          <a:latin typeface="Calibri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400" b="0" i="0" u="none" strike="noStrike" kern="1200" spc="0" baseline="0">
                <a:solidFill>
                  <a:srgbClr val="595959"/>
                </a:solidFill>
                <a:latin typeface="Calibri"/>
              </a:defRPr>
            </a:pPr>
            <a:r>
              <a:rPr lang="it-IT" sz="1400" b="0" i="0" u="none" strike="noStrike" kern="1200" cap="none" spc="0" baseline="0">
                <a:solidFill>
                  <a:srgbClr val="595959"/>
                </a:solidFill>
                <a:uFillTx/>
                <a:latin typeface="Calibri"/>
              </a:rPr>
              <a:t>BAB VaR, </a:t>
            </a:r>
            <a:r>
              <a:rPr lang="el-GR" sz="1400" b="0" i="0" u="none" strike="noStrike" kern="1200" cap="none" spc="0" baseline="0">
                <a:solidFill>
                  <a:srgbClr val="595959"/>
                </a:solidFill>
                <a:uFillTx/>
                <a:latin typeface="Arial" panose="020B0604020202020204" pitchFamily="34" charset="0"/>
                <a:cs typeface="Arial" panose="020B0604020202020204" pitchFamily="34" charset="0"/>
              </a:rPr>
              <a:t>σ</a:t>
            </a:r>
            <a:r>
              <a:rPr lang="it-IT" sz="1400" b="0" i="0" u="none" strike="noStrike" kern="1200" cap="none" spc="0" baseline="0">
                <a:solidFill>
                  <a:srgbClr val="595959"/>
                </a:solidFill>
                <a:uFillTx/>
                <a:latin typeface="Arial" panose="020B0604020202020204" pitchFamily="34" charset="0"/>
                <a:cs typeface="Arial" panose="020B0604020202020204" pitchFamily="34" charset="0"/>
              </a:rPr>
              <a:t> EWMA</a:t>
            </a:r>
          </a:p>
        </c:rich>
      </c:tx>
      <c:overlay val="0"/>
      <c:spPr>
        <a:noFill/>
        <a:ln>
          <a:noFill/>
        </a:ln>
      </c:spPr>
    </c:title>
    <c:autoTitleDeleted val="0"/>
    <c:view3D>
      <c:rotX val="0"/>
      <c:rotY val="119"/>
      <c:depthPercent val="230"/>
      <c:rAngAx val="0"/>
    </c:view3D>
    <c:floor>
      <c:thickness val="0"/>
      <c:spPr>
        <a:noFill/>
        <a:ln>
          <a:noFill/>
        </a:ln>
      </c:spPr>
    </c:floor>
    <c:sideWall>
      <c:thickness val="0"/>
      <c:spPr>
        <a:noFill/>
        <a:ln>
          <a:noFill/>
        </a:ln>
      </c:spPr>
    </c:sideWall>
    <c:backWall>
      <c:thickness val="0"/>
      <c:spPr>
        <a:noFill/>
        <a:ln>
          <a:noFill/>
        </a:ln>
      </c:spPr>
    </c:backWall>
    <c:plotArea>
      <c:layout/>
      <c:surface3DChart>
        <c:wireframe val="0"/>
        <c:ser>
          <c:idx val="0"/>
          <c:order val="0"/>
          <c:tx>
            <c:strRef>
              <c:f>Sheet1!$Y$137:$Y$137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Sheet1!$X$138:$X$237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Sheet1!$Y$138:$Y$237</c:f>
              <c:numCache>
                <c:formatCode>General</c:formatCode>
                <c:ptCount val="100"/>
                <c:pt idx="0">
                  <c:v>-2.5322212096779767E-3</c:v>
                </c:pt>
                <c:pt idx="1">
                  <c:v>-3.5811015776553998E-3</c:v>
                </c:pt>
                <c:pt idx="2">
                  <c:v>-4.3859357911657784E-3</c:v>
                </c:pt>
                <c:pt idx="3">
                  <c:v>-5.0644424193559533E-3</c:v>
                </c:pt>
                <c:pt idx="4">
                  <c:v>-5.6622187589067041E-3</c:v>
                </c:pt>
                <c:pt idx="5">
                  <c:v>-6.202649879564215E-3</c:v>
                </c:pt>
                <c:pt idx="6">
                  <c:v>-6.6996275854110708E-3</c:v>
                </c:pt>
                <c:pt idx="7">
                  <c:v>-7.1622031553107996E-3</c:v>
                </c:pt>
                <c:pt idx="8">
                  <c:v>-7.59666362903393E-3</c:v>
                </c:pt>
                <c:pt idx="9">
                  <c:v>-8.0075865619692148E-3</c:v>
                </c:pt>
                <c:pt idx="10">
                  <c:v>-8.3984276386817169E-3</c:v>
                </c:pt>
                <c:pt idx="11">
                  <c:v>-8.7718715823315568E-3</c:v>
                </c:pt>
                <c:pt idx="12">
                  <c:v>-9.1300534123113942E-3</c:v>
                </c:pt>
                <c:pt idx="13">
                  <c:v>-9.4747041941372467E-3</c:v>
                </c:pt>
                <c:pt idx="14">
                  <c:v>-9.8072505739960035E-3</c:v>
                </c:pt>
                <c:pt idx="15">
                  <c:v>-1.0128884838711907E-2</c:v>
                </c:pt>
                <c:pt idx="16">
                  <c:v>-1.0440615514931624E-2</c:v>
                </c:pt>
                <c:pt idx="17">
                  <c:v>-1.0743304732966197E-2</c:v>
                </c:pt>
                <c:pt idx="18">
                  <c:v>-1.103769635567662E-2</c:v>
                </c:pt>
                <c:pt idx="19">
                  <c:v>-1.1324437517813408E-2</c:v>
                </c:pt>
                <c:pt idx="20">
                  <c:v>-1.1604095369721972E-2</c:v>
                </c:pt>
                <c:pt idx="21">
                  <c:v>-1.1877170269232731E-2</c:v>
                </c:pt>
                <c:pt idx="22">
                  <c:v>-1.2144106301374706E-2</c:v>
                </c:pt>
                <c:pt idx="23">
                  <c:v>-1.240529975912843E-2</c:v>
                </c:pt>
                <c:pt idx="24">
                  <c:v>-1.2661106048389884E-2</c:v>
                </c:pt>
                <c:pt idx="25">
                  <c:v>-1.2911845360881529E-2</c:v>
                </c:pt>
                <c:pt idx="26">
                  <c:v>-1.3157807373497338E-2</c:v>
                </c:pt>
                <c:pt idx="27">
                  <c:v>-1.3399255170822142E-2</c:v>
                </c:pt>
                <c:pt idx="28">
                  <c:v>-1.3636428542237402E-2</c:v>
                </c:pt>
                <c:pt idx="29">
                  <c:v>-1.3869546771336469E-2</c:v>
                </c:pt>
                <c:pt idx="30">
                  <c:v>-1.4098811010047367E-2</c:v>
                </c:pt>
                <c:pt idx="31">
                  <c:v>-1.4324406310621599E-2</c:v>
                </c:pt>
                <c:pt idx="32">
                  <c:v>-1.4546503373887446E-2</c:v>
                </c:pt>
                <c:pt idx="33">
                  <c:v>-1.4765260060739258E-2</c:v>
                </c:pt>
                <c:pt idx="34">
                  <c:v>-1.4980822704911932E-2</c:v>
                </c:pt>
                <c:pt idx="35">
                  <c:v>-1.519332725806786E-2</c:v>
                </c:pt>
                <c:pt idx="36">
                  <c:v>-1.5402900292655628E-2</c:v>
                </c:pt>
                <c:pt idx="37">
                  <c:v>-1.5609659883553959E-2</c:v>
                </c:pt>
                <c:pt idx="38">
                  <c:v>-1.5813716385940934E-2</c:v>
                </c:pt>
                <c:pt idx="39">
                  <c:v>-1.601517312393843E-2</c:v>
                </c:pt>
                <c:pt idx="40">
                  <c:v>-1.6214127002230579E-2</c:v>
                </c:pt>
                <c:pt idx="41">
                  <c:v>-1.6410669050931647E-2</c:v>
                </c:pt>
                <c:pt idx="42">
                  <c:v>-1.6604884912396978E-2</c:v>
                </c:pt>
                <c:pt idx="43">
                  <c:v>-1.6796855277363434E-2</c:v>
                </c:pt>
                <c:pt idx="44">
                  <c:v>-1.6986656276720115E-2</c:v>
                </c:pt>
                <c:pt idx="45">
                  <c:v>-1.7174359834304678E-2</c:v>
                </c:pt>
                <c:pt idx="46">
                  <c:v>-1.7360033985361917E-2</c:v>
                </c:pt>
                <c:pt idx="47">
                  <c:v>-1.7543743164663114E-2</c:v>
                </c:pt>
                <c:pt idx="48">
                  <c:v>-1.7725548467745836E-2</c:v>
                </c:pt>
                <c:pt idx="49">
                  <c:v>-1.7905507888276998E-2</c:v>
                </c:pt>
                <c:pt idx="50">
                  <c:v>-1.8083676534153468E-2</c:v>
                </c:pt>
                <c:pt idx="51">
                  <c:v>-1.8260106824622788E-2</c:v>
                </c:pt>
                <c:pt idx="52">
                  <c:v>-1.8434848670422513E-2</c:v>
                </c:pt>
                <c:pt idx="53">
                  <c:v>-1.8607949638692646E-2</c:v>
                </c:pt>
                <c:pt idx="54">
                  <c:v>-1.877945510420536E-2</c:v>
                </c:pt>
                <c:pt idx="55">
                  <c:v>-1.8949408388274493E-2</c:v>
                </c:pt>
                <c:pt idx="56">
                  <c:v>-1.9117850886549742E-2</c:v>
                </c:pt>
                <c:pt idx="57">
                  <c:v>-1.9284822186763709E-2</c:v>
                </c:pt>
                <c:pt idx="58">
                  <c:v>-1.9450360177380693E-2</c:v>
                </c:pt>
                <c:pt idx="59">
                  <c:v>-1.9614501147992007E-2</c:v>
                </c:pt>
                <c:pt idx="60">
                  <c:v>-1.9777279882211372E-2</c:v>
                </c:pt>
                <c:pt idx="61">
                  <c:v>-1.9938729743744103E-2</c:v>
                </c:pt>
                <c:pt idx="62">
                  <c:v>-2.0098882756233213E-2</c:v>
                </c:pt>
                <c:pt idx="63">
                  <c:v>-2.0257769677423813E-2</c:v>
                </c:pt>
                <c:pt idx="64">
                  <c:v>-2.0415420068132191E-2</c:v>
                </c:pt>
                <c:pt idx="65">
                  <c:v>-2.0571862356457613E-2</c:v>
                </c:pt>
                <c:pt idx="66">
                  <c:v>-2.0727123897631837E-2</c:v>
                </c:pt>
                <c:pt idx="67">
                  <c:v>-2.0881231029863247E-2</c:v>
                </c:pt>
                <c:pt idx="68">
                  <c:v>-2.1034209126498355E-2</c:v>
                </c:pt>
                <c:pt idx="69">
                  <c:v>-2.1186082644793248E-2</c:v>
                </c:pt>
                <c:pt idx="70">
                  <c:v>-2.1336875171560448E-2</c:v>
                </c:pt>
                <c:pt idx="71">
                  <c:v>-2.1486609465932394E-2</c:v>
                </c:pt>
                <c:pt idx="72">
                  <c:v>-2.1635307499461121E-2</c:v>
                </c:pt>
                <c:pt idx="73">
                  <c:v>-2.1782990493754102E-2</c:v>
                </c:pt>
                <c:pt idx="74">
                  <c:v>-2.1929678955828896E-2</c:v>
                </c:pt>
                <c:pt idx="75">
                  <c:v>-2.2075392711353239E-2</c:v>
                </c:pt>
                <c:pt idx="76">
                  <c:v>-2.2220150935923246E-2</c:v>
                </c:pt>
                <c:pt idx="77">
                  <c:v>-2.2363972184519319E-2</c:v>
                </c:pt>
                <c:pt idx="78">
                  <c:v>-2.2506874419267919E-2</c:v>
                </c:pt>
                <c:pt idx="79">
                  <c:v>-2.2648875035626816E-2</c:v>
                </c:pt>
                <c:pt idx="80">
                  <c:v>-2.2789990887101791E-2</c:v>
                </c:pt>
                <c:pt idx="81">
                  <c:v>-2.2930238308594302E-2</c:v>
                </c:pt>
                <c:pt idx="82">
                  <c:v>-2.3069633138471636E-2</c:v>
                </c:pt>
                <c:pt idx="83">
                  <c:v>-2.3208190739443944E-2</c:v>
                </c:pt>
                <c:pt idx="84">
                  <c:v>-2.334592601832608E-2</c:v>
                </c:pt>
                <c:pt idx="85">
                  <c:v>-2.3482853444756188E-2</c:v>
                </c:pt>
                <c:pt idx="86">
                  <c:v>-2.3618987068937582E-2</c:v>
                </c:pt>
                <c:pt idx="87">
                  <c:v>-2.3754340538465462E-2</c:v>
                </c:pt>
                <c:pt idx="88">
                  <c:v>-2.3888927114295581E-2</c:v>
                </c:pt>
                <c:pt idx="89">
                  <c:v>-2.4022759685907644E-2</c:v>
                </c:pt>
                <c:pt idx="90">
                  <c:v>-2.4155850785712609E-2</c:v>
                </c:pt>
                <c:pt idx="91">
                  <c:v>-2.4288212602749413E-2</c:v>
                </c:pt>
                <c:pt idx="92">
                  <c:v>-2.4419856995713522E-2</c:v>
                </c:pt>
                <c:pt idx="93">
                  <c:v>-2.4550795505356677E-2</c:v>
                </c:pt>
                <c:pt idx="94">
                  <c:v>-2.4681039366294615E-2</c:v>
                </c:pt>
                <c:pt idx="95">
                  <c:v>-2.481059951825686E-2</c:v>
                </c:pt>
                <c:pt idx="96">
                  <c:v>-2.4939486616810509E-2</c:v>
                </c:pt>
                <c:pt idx="97">
                  <c:v>-2.5067711043587796E-2</c:v>
                </c:pt>
                <c:pt idx="98">
                  <c:v>-2.5195282916045149E-2</c:v>
                </c:pt>
                <c:pt idx="99">
                  <c:v>-2.5322212096779768E-2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53-48E9-819B-5E97B30BCE8A}"/>
            </c:ext>
          </c:extLst>
        </c:ser>
        <c:ser>
          <c:idx val="1"/>
          <c:order val="1"/>
          <c:tx>
            <c:strRef>
              <c:f>Sheet1!$Z$137:$Z$137</c:f>
              <c:strCache>
                <c:ptCount val="1"/>
                <c:pt idx="0">
                  <c:v>0,91</c:v>
                </c:pt>
              </c:strCache>
            </c:strRef>
          </c:tx>
          <c:cat>
            <c:numRef>
              <c:f>Sheet1!$X$138:$X$237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Sheet1!$Z$138:$Z$237</c:f>
              <c:numCache>
                <c:formatCode>General</c:formatCode>
                <c:ptCount val="100"/>
                <c:pt idx="0">
                  <c:v>-2.7016027615641529E-3</c:v>
                </c:pt>
                <c:pt idx="1">
                  <c:v>-3.8206432655486324E-3</c:v>
                </c:pt>
                <c:pt idx="2">
                  <c:v>-4.6793132448974999E-3</c:v>
                </c:pt>
                <c:pt idx="3">
                  <c:v>-5.4032055231283058E-3</c:v>
                </c:pt>
                <c:pt idx="4">
                  <c:v>-6.0409674230586024E-3</c:v>
                </c:pt>
                <c:pt idx="5">
                  <c:v>-6.6175482535261003E-3</c:v>
                </c:pt>
                <c:pt idx="6">
                  <c:v>-7.1477690483840763E-3</c:v>
                </c:pt>
                <c:pt idx="7">
                  <c:v>-7.6412865310972649E-3</c:v>
                </c:pt>
                <c:pt idx="8">
                  <c:v>-8.1048082846924586E-3</c:v>
                </c:pt>
                <c:pt idx="9">
                  <c:v>-8.5432180595435211E-3</c:v>
                </c:pt>
                <c:pt idx="10">
                  <c:v>-8.9602026926962775E-3</c:v>
                </c:pt>
                <c:pt idx="11">
                  <c:v>-9.3586264897949998E-3</c:v>
                </c:pt>
                <c:pt idx="12">
                  <c:v>-9.740767282754666E-3</c:v>
                </c:pt>
                <c:pt idx="13">
                  <c:v>-1.0108471928935391E-2</c:v>
                </c:pt>
                <c:pt idx="14">
                  <c:v>-1.0463262503605932E-2</c:v>
                </c:pt>
                <c:pt idx="15">
                  <c:v>-1.0806411046256612E-2</c:v>
                </c:pt>
                <c:pt idx="16">
                  <c:v>-1.1138993544389367E-2</c:v>
                </c:pt>
                <c:pt idx="17">
                  <c:v>-1.1461929796645894E-2</c:v>
                </c:pt>
                <c:pt idx="18">
                  <c:v>-1.1776013423248553E-2</c:v>
                </c:pt>
                <c:pt idx="19">
                  <c:v>-1.2081934846117205E-2</c:v>
                </c:pt>
                <c:pt idx="20">
                  <c:v>-1.2380299152569463E-2</c:v>
                </c:pt>
                <c:pt idx="21">
                  <c:v>-1.2671640169623003E-2</c:v>
                </c:pt>
                <c:pt idx="22">
                  <c:v>-1.295643168737806E-2</c:v>
                </c:pt>
                <c:pt idx="23">
                  <c:v>-1.3235096507052201E-2</c:v>
                </c:pt>
                <c:pt idx="24">
                  <c:v>-1.3508013807820764E-2</c:v>
                </c:pt>
                <c:pt idx="25">
                  <c:v>-1.3775525199191771E-2</c:v>
                </c:pt>
                <c:pt idx="26">
                  <c:v>-1.4037939734692501E-2</c:v>
                </c:pt>
                <c:pt idx="27">
                  <c:v>-1.4295538096768153E-2</c:v>
                </c:pt>
                <c:pt idx="28">
                  <c:v>-1.4548576114432664E-2</c:v>
                </c:pt>
                <c:pt idx="29">
                  <c:v>-1.4797287739269372E-2</c:v>
                </c:pt>
                <c:pt idx="30">
                  <c:v>-1.5041887578360062E-2</c:v>
                </c:pt>
                <c:pt idx="31">
                  <c:v>-1.528257306219453E-2</c:v>
                </c:pt>
                <c:pt idx="32">
                  <c:v>-1.5519526309865417E-2</c:v>
                </c:pt>
                <c:pt idx="33">
                  <c:v>-1.5752915741661794E-2</c:v>
                </c:pt>
                <c:pt idx="34">
                  <c:v>-1.5982897479655776E-2</c:v>
                </c:pt>
                <c:pt idx="35">
                  <c:v>-1.6209616569384917E-2</c:v>
                </c:pt>
                <c:pt idx="36">
                  <c:v>-1.6433208049792623E-2</c:v>
                </c:pt>
                <c:pt idx="37">
                  <c:v>-1.6653797893845721E-2</c:v>
                </c:pt>
                <c:pt idx="38">
                  <c:v>-1.687150383843572E-2</c:v>
                </c:pt>
                <c:pt idx="39">
                  <c:v>-1.7086436119087042E-2</c:v>
                </c:pt>
                <c:pt idx="40">
                  <c:v>-1.7298698122486945E-2</c:v>
                </c:pt>
                <c:pt idx="41">
                  <c:v>-1.7508386967799872E-2</c:v>
                </c:pt>
                <c:pt idx="42">
                  <c:v>-1.7715594026041448E-2</c:v>
                </c:pt>
                <c:pt idx="43">
                  <c:v>-1.7920405385392555E-2</c:v>
                </c:pt>
                <c:pt idx="44">
                  <c:v>-1.8122902269175806E-2</c:v>
                </c:pt>
                <c:pt idx="45">
                  <c:v>-1.8323161412250578E-2</c:v>
                </c:pt>
                <c:pt idx="46">
                  <c:v>-1.852125540077345E-2</c:v>
                </c:pt>
                <c:pt idx="47">
                  <c:v>-1.871725297959E-2</c:v>
                </c:pt>
                <c:pt idx="48">
                  <c:v>-1.891121933094907E-2</c:v>
                </c:pt>
                <c:pt idx="49">
                  <c:v>-1.9103216327743162E-2</c:v>
                </c:pt>
                <c:pt idx="50">
                  <c:v>-1.9293302764064112E-2</c:v>
                </c:pt>
                <c:pt idx="51">
                  <c:v>-1.9481534565509332E-2</c:v>
                </c:pt>
                <c:pt idx="52">
                  <c:v>-1.9667964981370748E-2</c:v>
                </c:pt>
                <c:pt idx="53">
                  <c:v>-1.9852644760578301E-2</c:v>
                </c:pt>
                <c:pt idx="54">
                  <c:v>-2.0035622313045537E-2</c:v>
                </c:pt>
                <c:pt idx="55">
                  <c:v>-2.0216943857870782E-2</c:v>
                </c:pt>
                <c:pt idx="56">
                  <c:v>-2.0396653559679595E-2</c:v>
                </c:pt>
                <c:pt idx="57">
                  <c:v>-2.0574793654247941E-2</c:v>
                </c:pt>
                <c:pt idx="58">
                  <c:v>-2.0751404564418582E-2</c:v>
                </c:pt>
                <c:pt idx="59">
                  <c:v>-2.0926525007211864E-2</c:v>
                </c:pt>
                <c:pt idx="60">
                  <c:v>-2.1100192092934945E-2</c:v>
                </c:pt>
                <c:pt idx="61">
                  <c:v>-2.1272441417008195E-2</c:v>
                </c:pt>
                <c:pt idx="62">
                  <c:v>-2.1443307145152229E-2</c:v>
                </c:pt>
                <c:pt idx="63">
                  <c:v>-2.1612822092513223E-2</c:v>
                </c:pt>
                <c:pt idx="64">
                  <c:v>-2.1781017797245349E-2</c:v>
                </c:pt>
                <c:pt idx="65">
                  <c:v>-2.1947924589017748E-2</c:v>
                </c:pt>
                <c:pt idx="66">
                  <c:v>-2.2113571652867405E-2</c:v>
                </c:pt>
                <c:pt idx="67">
                  <c:v>-2.2277987088778733E-2</c:v>
                </c:pt>
                <c:pt idx="68">
                  <c:v>-2.2441197967334164E-2</c:v>
                </c:pt>
                <c:pt idx="69">
                  <c:v>-2.2603230381747958E-2</c:v>
                </c:pt>
                <c:pt idx="70">
                  <c:v>-2.2764109496566411E-2</c:v>
                </c:pt>
                <c:pt idx="71">
                  <c:v>-2.2923859593291789E-2</c:v>
                </c:pt>
                <c:pt idx="72">
                  <c:v>-2.3082504113164305E-2</c:v>
                </c:pt>
                <c:pt idx="73">
                  <c:v>-2.3240065697315449E-2</c:v>
                </c:pt>
                <c:pt idx="74">
                  <c:v>-2.3396566224487502E-2</c:v>
                </c:pt>
                <c:pt idx="75">
                  <c:v>-2.3552026846497105E-2</c:v>
                </c:pt>
                <c:pt idx="76">
                  <c:v>-2.3706468021605653E-2</c:v>
                </c:pt>
                <c:pt idx="77">
                  <c:v>-2.385990954594553E-2</c:v>
                </c:pt>
                <c:pt idx="78">
                  <c:v>-2.4012370583138883E-2</c:v>
                </c:pt>
                <c:pt idx="79">
                  <c:v>-2.416386969223441E-2</c:v>
                </c:pt>
                <c:pt idx="80">
                  <c:v>-2.4314424854077376E-2</c:v>
                </c:pt>
                <c:pt idx="81">
                  <c:v>-2.4464053496219034E-2</c:v>
                </c:pt>
                <c:pt idx="82">
                  <c:v>-2.4612772516463027E-2</c:v>
                </c:pt>
                <c:pt idx="83">
                  <c:v>-2.4760598305138926E-2</c:v>
                </c:pt>
                <c:pt idx="84">
                  <c:v>-2.4907546766185944E-2</c:v>
                </c:pt>
                <c:pt idx="85">
                  <c:v>-2.5053633337123599E-2</c:v>
                </c:pt>
                <c:pt idx="86">
                  <c:v>-2.5198873007980377E-2</c:v>
                </c:pt>
                <c:pt idx="87">
                  <c:v>-2.5343280339246006E-2</c:v>
                </c:pt>
                <c:pt idx="88">
                  <c:v>-2.5486869478908231E-2</c:v>
                </c:pt>
                <c:pt idx="89">
                  <c:v>-2.5629654178630563E-2</c:v>
                </c:pt>
                <c:pt idx="90">
                  <c:v>-2.5771647809123228E-2</c:v>
                </c:pt>
                <c:pt idx="91">
                  <c:v>-2.591286337475612E-2</c:v>
                </c:pt>
                <c:pt idx="92">
                  <c:v>-2.6053313527458811E-2</c:v>
                </c:pt>
                <c:pt idx="93">
                  <c:v>-2.6193010579949747E-2</c:v>
                </c:pt>
                <c:pt idx="94">
                  <c:v>-2.6331966518333763E-2</c:v>
                </c:pt>
                <c:pt idx="95">
                  <c:v>-2.6470193014104401E-2</c:v>
                </c:pt>
                <c:pt idx="96">
                  <c:v>-2.6607701435585007E-2</c:v>
                </c:pt>
                <c:pt idx="97">
                  <c:v>-2.6744502858840422E-2</c:v>
                </c:pt>
                <c:pt idx="98">
                  <c:v>-2.6880608078088834E-2</c:v>
                </c:pt>
                <c:pt idx="99">
                  <c:v>-2.7016027615641529E-2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53-48E9-819B-5E97B30BCE8A}"/>
            </c:ext>
          </c:extLst>
        </c:ser>
        <c:ser>
          <c:idx val="2"/>
          <c:order val="2"/>
          <c:tx>
            <c:strRef>
              <c:f>Sheet1!$AA$137:$AA$137</c:f>
              <c:strCache>
                <c:ptCount val="1"/>
                <c:pt idx="0">
                  <c:v>0,92</c:v>
                </c:pt>
              </c:strCache>
            </c:strRef>
          </c:tx>
          <c:cat>
            <c:numRef>
              <c:f>Sheet1!$X$138:$X$237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Sheet1!$AA$138:$AA$237</c:f>
              <c:numCache>
                <c:formatCode>General</c:formatCode>
                <c:ptCount val="100"/>
                <c:pt idx="0">
                  <c:v>-2.8856128108391494E-3</c:v>
                </c:pt>
                <c:pt idx="1">
                  <c:v>-4.0808727728462741E-3</c:v>
                </c:pt>
                <c:pt idx="2">
                  <c:v>-4.9980279993450463E-3</c:v>
                </c:pt>
                <c:pt idx="3">
                  <c:v>-5.7712256216782987E-3</c:v>
                </c:pt>
                <c:pt idx="4">
                  <c:v>-6.45242640178058E-3</c:v>
                </c:pt>
                <c:pt idx="5">
                  <c:v>-7.0682789817942309E-3</c:v>
                </c:pt>
                <c:pt idx="6">
                  <c:v>-7.634613877502458E-3</c:v>
                </c:pt>
                <c:pt idx="7">
                  <c:v>-8.1617455456925482E-3</c:v>
                </c:pt>
                <c:pt idx="8">
                  <c:v>-8.656838432517449E-3</c:v>
                </c:pt>
                <c:pt idx="9">
                  <c:v>-9.1251089276123253E-3</c:v>
                </c:pt>
                <c:pt idx="10">
                  <c:v>-9.5704949837962499E-3</c:v>
                </c:pt>
                <c:pt idx="11">
                  <c:v>-9.9960559986900926E-3</c:v>
                </c:pt>
                <c:pt idx="12">
                  <c:v>-1.0404224950616322E-2</c:v>
                </c:pt>
                <c:pt idx="13">
                  <c:v>-1.0796974489045819E-2</c:v>
                </c:pt>
                <c:pt idx="14">
                  <c:v>-1.1175930359982799E-2</c:v>
                </c:pt>
                <c:pt idx="15">
                  <c:v>-1.1542451243356597E-2</c:v>
                </c:pt>
                <c:pt idx="16">
                  <c:v>-1.1897686413725288E-2</c:v>
                </c:pt>
                <c:pt idx="17">
                  <c:v>-1.2242618318538819E-2</c:v>
                </c:pt>
                <c:pt idx="18">
                  <c:v>-1.2578094632634203E-2</c:v>
                </c:pt>
                <c:pt idx="19">
                  <c:v>-1.290485280356116E-2</c:v>
                </c:pt>
                <c:pt idx="20">
                  <c:v>-1.322353913200469E-2</c:v>
                </c:pt>
                <c:pt idx="21">
                  <c:v>-1.3534723804708331E-2</c:v>
                </c:pt>
                <c:pt idx="22">
                  <c:v>-1.3838912882297414E-2</c:v>
                </c:pt>
                <c:pt idx="23">
                  <c:v>-1.4136557963588462E-2</c:v>
                </c:pt>
                <c:pt idx="24">
                  <c:v>-1.4428064054195746E-2</c:v>
                </c:pt>
                <c:pt idx="25">
                  <c:v>-1.4713796031142147E-2</c:v>
                </c:pt>
                <c:pt idx="26">
                  <c:v>-1.4994083998035141E-2</c:v>
                </c:pt>
                <c:pt idx="27">
                  <c:v>-1.5269227755004916E-2</c:v>
                </c:pt>
                <c:pt idx="28">
                  <c:v>-1.5539500555947461E-2</c:v>
                </c:pt>
                <c:pt idx="29">
                  <c:v>-1.58051522872249E-2</c:v>
                </c:pt>
                <c:pt idx="30">
                  <c:v>-1.6066412173115985E-2</c:v>
                </c:pt>
                <c:pt idx="31">
                  <c:v>-1.6323491091385096E-2</c:v>
                </c:pt>
                <c:pt idx="32">
                  <c:v>-1.6576583565518183E-2</c:v>
                </c:pt>
                <c:pt idx="33">
                  <c:v>-1.6825869487152412E-2</c:v>
                </c:pt>
                <c:pt idx="34">
                  <c:v>-1.707151561205875E-2</c:v>
                </c:pt>
                <c:pt idx="35">
                  <c:v>-1.7313676865034898E-2</c:v>
                </c:pt>
                <c:pt idx="36">
                  <c:v>-1.7552497482720902E-2</c:v>
                </c:pt>
                <c:pt idx="37">
                  <c:v>-1.7788112018283519E-2</c:v>
                </c:pt>
                <c:pt idx="38">
                  <c:v>-1.8020646227843263E-2</c:v>
                </c:pt>
                <c:pt idx="39">
                  <c:v>-1.8250217855224651E-2</c:v>
                </c:pt>
                <c:pt idx="40">
                  <c:v>-1.8476937328930888E-2</c:v>
                </c:pt>
                <c:pt idx="41">
                  <c:v>-1.8700908383052377E-2</c:v>
                </c:pt>
                <c:pt idx="42">
                  <c:v>-1.892222861201602E-2</c:v>
                </c:pt>
                <c:pt idx="43">
                  <c:v>-1.91409899675925E-2</c:v>
                </c:pt>
                <c:pt idx="44">
                  <c:v>-1.9357279205341742E-2</c:v>
                </c:pt>
                <c:pt idx="45">
                  <c:v>-1.9571178286644744E-2</c:v>
                </c:pt>
                <c:pt idx="46">
                  <c:v>-1.9782764741605601E-2</c:v>
                </c:pt>
                <c:pt idx="47">
                  <c:v>-1.9992111997380185E-2</c:v>
                </c:pt>
                <c:pt idx="48">
                  <c:v>-2.0199289675874046E-2</c:v>
                </c:pt>
                <c:pt idx="49">
                  <c:v>-2.0404363864231369E-2</c:v>
                </c:pt>
                <c:pt idx="50">
                  <c:v>-2.0607397361094144E-2</c:v>
                </c:pt>
                <c:pt idx="51">
                  <c:v>-2.0808449901232644E-2</c:v>
                </c:pt>
                <c:pt idx="52">
                  <c:v>-2.1007578360824643E-2</c:v>
                </c:pt>
                <c:pt idx="53">
                  <c:v>-2.1204836945382697E-2</c:v>
                </c:pt>
                <c:pt idx="54">
                  <c:v>-2.1400277362089163E-2</c:v>
                </c:pt>
                <c:pt idx="55">
                  <c:v>-2.1593948978091637E-2</c:v>
                </c:pt>
                <c:pt idx="56">
                  <c:v>-2.1785898966131829E-2</c:v>
                </c:pt>
                <c:pt idx="57">
                  <c:v>-2.1976172438725152E-2</c:v>
                </c:pt>
                <c:pt idx="58">
                  <c:v>-2.2164812571972312E-2</c:v>
                </c:pt>
                <c:pt idx="59">
                  <c:v>-2.2351860719965599E-2</c:v>
                </c:pt>
                <c:pt idx="60">
                  <c:v>-2.2537356520648553E-2</c:v>
                </c:pt>
                <c:pt idx="61">
                  <c:v>-2.2721337993896817E-2</c:v>
                </c:pt>
                <c:pt idx="62">
                  <c:v>-2.2903841632507374E-2</c:v>
                </c:pt>
                <c:pt idx="63">
                  <c:v>-2.3084902486713195E-2</c:v>
                </c:pt>
                <c:pt idx="64">
                  <c:v>-2.3264554242777489E-2</c:v>
                </c:pt>
                <c:pt idx="65">
                  <c:v>-2.3442829296166773E-2</c:v>
                </c:pt>
                <c:pt idx="66">
                  <c:v>-2.3619758819752885E-2</c:v>
                </c:pt>
                <c:pt idx="67">
                  <c:v>-2.3795372827450575E-2</c:v>
                </c:pt>
                <c:pt idx="68">
                  <c:v>-2.3969700233658579E-2</c:v>
                </c:pt>
                <c:pt idx="69">
                  <c:v>-2.4142768908837511E-2</c:v>
                </c:pt>
                <c:pt idx="70">
                  <c:v>-2.4314605731527095E-2</c:v>
                </c:pt>
                <c:pt idx="71">
                  <c:v>-2.4485236637077638E-2</c:v>
                </c:pt>
                <c:pt idx="72">
                  <c:v>-2.4654686663345939E-2</c:v>
                </c:pt>
                <c:pt idx="73">
                  <c:v>-2.4822979993583509E-2</c:v>
                </c:pt>
                <c:pt idx="74">
                  <c:v>-2.4990139996725235E-2</c:v>
                </c:pt>
                <c:pt idx="75">
                  <c:v>-2.5156189265268407E-2</c:v>
                </c:pt>
                <c:pt idx="76">
                  <c:v>-2.5321149650916017E-2</c:v>
                </c:pt>
                <c:pt idx="77">
                  <c:v>-2.5485042298143502E-2</c:v>
                </c:pt>
                <c:pt idx="78">
                  <c:v>-2.5647887675834872E-2</c:v>
                </c:pt>
                <c:pt idx="79">
                  <c:v>-2.580970560712232E-2</c:v>
                </c:pt>
                <c:pt idx="80">
                  <c:v>-2.5970515297552343E-2</c:v>
                </c:pt>
                <c:pt idx="81">
                  <c:v>-2.6130335361691771E-2</c:v>
                </c:pt>
                <c:pt idx="82">
                  <c:v>-2.6289183848277952E-2</c:v>
                </c:pt>
                <c:pt idx="83">
                  <c:v>-2.6447078264009379E-2</c:v>
                </c:pt>
                <c:pt idx="84">
                  <c:v>-2.6604035596065428E-2</c:v>
                </c:pt>
                <c:pt idx="85">
                  <c:v>-2.6760072333437281E-2</c:v>
                </c:pt>
                <c:pt idx="86">
                  <c:v>-2.6915204487145822E-2</c:v>
                </c:pt>
                <c:pt idx="87">
                  <c:v>-2.7069447609416663E-2</c:v>
                </c:pt>
                <c:pt idx="88">
                  <c:v>-2.7222816811877354E-2</c:v>
                </c:pt>
                <c:pt idx="89">
                  <c:v>-2.7375326782836978E-2</c:v>
                </c:pt>
                <c:pt idx="90">
                  <c:v>-2.7526991803704059E-2</c:v>
                </c:pt>
                <c:pt idx="91">
                  <c:v>-2.7677825764594828E-2</c:v>
                </c:pt>
                <c:pt idx="92">
                  <c:v>-2.7827842179179982E-2</c:v>
                </c:pt>
                <c:pt idx="93">
                  <c:v>-2.7977054198814921E-2</c:v>
                </c:pt>
                <c:pt idx="94">
                  <c:v>-2.8125474625995316E-2</c:v>
                </c:pt>
                <c:pt idx="95">
                  <c:v>-2.8273115927176923E-2</c:v>
                </c:pt>
                <c:pt idx="96">
                  <c:v>-2.8419990244995943E-2</c:v>
                </c:pt>
                <c:pt idx="97">
                  <c:v>-2.8566109409923914E-2</c:v>
                </c:pt>
                <c:pt idx="98">
                  <c:v>-2.8711484951388748E-2</c:v>
                </c:pt>
                <c:pt idx="99">
                  <c:v>-2.8856128108391492E-2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53-48E9-819B-5E97B30BCE8A}"/>
            </c:ext>
          </c:extLst>
        </c:ser>
        <c:ser>
          <c:idx val="3"/>
          <c:order val="3"/>
          <c:tx>
            <c:strRef>
              <c:f>Sheet1!$AB$137:$AB$137</c:f>
              <c:strCache>
                <c:ptCount val="1"/>
                <c:pt idx="0">
                  <c:v>0,93</c:v>
                </c:pt>
              </c:strCache>
            </c:strRef>
          </c:tx>
          <c:cat>
            <c:numRef>
              <c:f>Sheet1!$X$138:$X$237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Sheet1!$AB$138:$AB$237</c:f>
              <c:numCache>
                <c:formatCode>General</c:formatCode>
                <c:ptCount val="100"/>
                <c:pt idx="0">
                  <c:v>-3.0879417214841262E-3</c:v>
                </c:pt>
                <c:pt idx="1">
                  <c:v>-4.3670090623405744E-3</c:v>
                </c:pt>
                <c:pt idx="2">
                  <c:v>-5.3484719524222093E-3</c:v>
                </c:pt>
                <c:pt idx="3">
                  <c:v>-6.1758834429682524E-3</c:v>
                </c:pt>
                <c:pt idx="4">
                  <c:v>-6.9048475997962296E-3</c:v>
                </c:pt>
                <c:pt idx="5">
                  <c:v>-7.5638815730875962E-3</c:v>
                </c:pt>
                <c:pt idx="6">
                  <c:v>-8.1699258581076767E-3</c:v>
                </c:pt>
                <c:pt idx="7">
                  <c:v>-8.7340181246811487E-3</c:v>
                </c:pt>
                <c:pt idx="8">
                  <c:v>-9.2638251644523786E-3</c:v>
                </c:pt>
                <c:pt idx="9">
                  <c:v>-9.7649291217511407E-3</c:v>
                </c:pt>
                <c:pt idx="10">
                  <c:v>-1.0241544064646982E-2</c:v>
                </c:pt>
                <c:pt idx="11">
                  <c:v>-1.0696943904844419E-2</c:v>
                </c:pt>
                <c:pt idx="12">
                  <c:v>-1.1133732212455557E-2</c:v>
                </c:pt>
                <c:pt idx="13">
                  <c:v>-1.1554019952118522E-2</c:v>
                </c:pt>
                <c:pt idx="14">
                  <c:v>-1.1959546861367083E-2</c:v>
                </c:pt>
                <c:pt idx="15">
                  <c:v>-1.2351766885936505E-2</c:v>
                </c:pt>
                <c:pt idx="16">
                  <c:v>-1.2731909883430684E-2</c:v>
                </c:pt>
                <c:pt idx="17">
                  <c:v>-1.310102718702172E-2</c:v>
                </c:pt>
                <c:pt idx="18">
                  <c:v>-1.3460025907492328E-2</c:v>
                </c:pt>
                <c:pt idx="19">
                  <c:v>-1.3809695199592459E-2</c:v>
                </c:pt>
                <c:pt idx="20">
                  <c:v>-1.4150726680313253E-2</c:v>
                </c:pt>
                <c:pt idx="21">
                  <c:v>-1.4483730515865437E-2</c:v>
                </c:pt>
                <c:pt idx="22">
                  <c:v>-1.4809248250046118E-2</c:v>
                </c:pt>
                <c:pt idx="23">
                  <c:v>-1.5127763146175192E-2</c:v>
                </c:pt>
                <c:pt idx="24">
                  <c:v>-1.5439708607420631E-2</c:v>
                </c:pt>
                <c:pt idx="25">
                  <c:v>-1.5745475094684856E-2</c:v>
                </c:pt>
                <c:pt idx="26">
                  <c:v>-1.604541585726663E-2</c:v>
                </c:pt>
                <c:pt idx="27">
                  <c:v>-1.6339851716215353E-2</c:v>
                </c:pt>
                <c:pt idx="28">
                  <c:v>-1.6629075085018652E-2</c:v>
                </c:pt>
                <c:pt idx="29">
                  <c:v>-1.6913353371181911E-2</c:v>
                </c:pt>
                <c:pt idx="30">
                  <c:v>-1.7192931871375307E-2</c:v>
                </c:pt>
                <c:pt idx="31">
                  <c:v>-1.7468036249362297E-2</c:v>
                </c:pt>
                <c:pt idx="32">
                  <c:v>-1.7738874667924048E-2</c:v>
                </c:pt>
                <c:pt idx="33">
                  <c:v>-1.8005639632059724E-2</c:v>
                </c:pt>
                <c:pt idx="34">
                  <c:v>-1.8268509589862064E-2</c:v>
                </c:pt>
                <c:pt idx="35">
                  <c:v>-1.8527650328904757E-2</c:v>
                </c:pt>
                <c:pt idx="36">
                  <c:v>-1.8783216199188223E-2</c:v>
                </c:pt>
                <c:pt idx="37">
                  <c:v>-1.9035351188268872E-2</c:v>
                </c:pt>
                <c:pt idx="38">
                  <c:v>-1.9284189869839274E-2</c:v>
                </c:pt>
                <c:pt idx="39">
                  <c:v>-1.9529858243502281E-2</c:v>
                </c:pt>
                <c:pt idx="40">
                  <c:v>-1.9772474480615122E-2</c:v>
                </c:pt>
                <c:pt idx="41">
                  <c:v>-2.0012149588733808E-2</c:v>
                </c:pt>
                <c:pt idx="42">
                  <c:v>-2.0248988005259448E-2</c:v>
                </c:pt>
                <c:pt idx="43">
                  <c:v>-2.0483088129293964E-2</c:v>
                </c:pt>
                <c:pt idx="44">
                  <c:v>-2.071454279938869E-2</c:v>
                </c:pt>
                <c:pt idx="45">
                  <c:v>-2.0943439723765247E-2</c:v>
                </c:pt>
                <c:pt idx="46">
                  <c:v>-2.116986186866297E-2</c:v>
                </c:pt>
                <c:pt idx="47">
                  <c:v>-2.1393887809688837E-2</c:v>
                </c:pt>
                <c:pt idx="48">
                  <c:v>-2.1615592050388883E-2</c:v>
                </c:pt>
                <c:pt idx="49">
                  <c:v>-2.1835045311702869E-2</c:v>
                </c:pt>
                <c:pt idx="50">
                  <c:v>-2.2052314795490288E-2</c:v>
                </c:pt>
                <c:pt idx="51">
                  <c:v>-2.2267464424911114E-2</c:v>
                </c:pt>
                <c:pt idx="52">
                  <c:v>-2.2480555064098493E-2</c:v>
                </c:pt>
                <c:pt idx="53">
                  <c:v>-2.2691644719262789E-2</c:v>
                </c:pt>
                <c:pt idx="54">
                  <c:v>-2.2900788723110153E-2</c:v>
                </c:pt>
                <c:pt idx="55">
                  <c:v>-2.3108039904237043E-2</c:v>
                </c:pt>
                <c:pt idx="56">
                  <c:v>-2.3313448742970096E-2</c:v>
                </c:pt>
                <c:pt idx="57">
                  <c:v>-2.3517063514953907E-2</c:v>
                </c:pt>
                <c:pt idx="58">
                  <c:v>-2.3718930423643866E-2</c:v>
                </c:pt>
                <c:pt idx="59">
                  <c:v>-2.3919093722734167E-2</c:v>
                </c:pt>
                <c:pt idx="60">
                  <c:v>-2.4117595829440033E-2</c:v>
                </c:pt>
                <c:pt idx="61">
                  <c:v>-2.4314477429455597E-2</c:v>
                </c:pt>
                <c:pt idx="62">
                  <c:v>-2.450977757432303E-2</c:v>
                </c:pt>
                <c:pt idx="63">
                  <c:v>-2.470353377187301E-2</c:v>
                </c:pt>
                <c:pt idx="64">
                  <c:v>-2.4895782070329758E-2</c:v>
                </c:pt>
                <c:pt idx="65">
                  <c:v>-2.5086557136614722E-2</c:v>
                </c:pt>
                <c:pt idx="66">
                  <c:v>-2.5275892329330679E-2</c:v>
                </c:pt>
                <c:pt idx="67">
                  <c:v>-2.5463819766861368E-2</c:v>
                </c:pt>
                <c:pt idx="68">
                  <c:v>-2.5650370390980361E-2</c:v>
                </c:pt>
                <c:pt idx="69">
                  <c:v>-2.5835574026325879E-2</c:v>
                </c:pt>
                <c:pt idx="70">
                  <c:v>-2.6019459436065286E-2</c:v>
                </c:pt>
                <c:pt idx="71">
                  <c:v>-2.6202054374043441E-2</c:v>
                </c:pt>
                <c:pt idx="72">
                  <c:v>-2.6383385633682636E-2</c:v>
                </c:pt>
                <c:pt idx="73">
                  <c:v>-2.6563479093878004E-2</c:v>
                </c:pt>
                <c:pt idx="74">
                  <c:v>-2.6742359762111052E-2</c:v>
                </c:pt>
                <c:pt idx="75">
                  <c:v>-2.6920051814984657E-2</c:v>
                </c:pt>
                <c:pt idx="76">
                  <c:v>-2.7096578636365533E-2</c:v>
                </c:pt>
                <c:pt idx="77">
                  <c:v>-2.7271962853304552E-2</c:v>
                </c:pt>
                <c:pt idx="78">
                  <c:v>-2.7446226369891098E-2</c:v>
                </c:pt>
                <c:pt idx="79">
                  <c:v>-2.7619390399184918E-2</c:v>
                </c:pt>
                <c:pt idx="80">
                  <c:v>-2.7791475493357136E-2</c:v>
                </c:pt>
                <c:pt idx="81">
                  <c:v>-2.7962501572161829E-2</c:v>
                </c:pt>
                <c:pt idx="82">
                  <c:v>-2.8132487949849638E-2</c:v>
                </c:pt>
                <c:pt idx="83">
                  <c:v>-2.8301453360626505E-2</c:v>
                </c:pt>
                <c:pt idx="84">
                  <c:v>-2.8469415982752433E-2</c:v>
                </c:pt>
                <c:pt idx="85">
                  <c:v>-2.8636393461368037E-2</c:v>
                </c:pt>
                <c:pt idx="86">
                  <c:v>-2.8802402930130058E-2</c:v>
                </c:pt>
                <c:pt idx="87">
                  <c:v>-2.8967461031730875E-2</c:v>
                </c:pt>
                <c:pt idx="88">
                  <c:v>-2.9131583937371634E-2</c:v>
                </c:pt>
                <c:pt idx="89">
                  <c:v>-2.929478736525342E-2</c:v>
                </c:pt>
                <c:pt idx="90">
                  <c:v>-2.9457086598146356E-2</c:v>
                </c:pt>
                <c:pt idx="91">
                  <c:v>-2.9618496500092236E-2</c:v>
                </c:pt>
                <c:pt idx="92">
                  <c:v>-2.9779031532292288E-2</c:v>
                </c:pt>
                <c:pt idx="93">
                  <c:v>-2.9938705768228206E-2</c:v>
                </c:pt>
                <c:pt idx="94">
                  <c:v>-3.0097532908061136E-2</c:v>
                </c:pt>
                <c:pt idx="95">
                  <c:v>-3.0255526292350385E-2</c:v>
                </c:pt>
                <c:pt idx="96">
                  <c:v>-3.0412698915130629E-2</c:v>
                </c:pt>
                <c:pt idx="97">
                  <c:v>-3.0569063436384016E-2</c:v>
                </c:pt>
                <c:pt idx="98">
                  <c:v>-3.0724632193940948E-2</c:v>
                </c:pt>
                <c:pt idx="99">
                  <c:v>-3.0879417214841262E-2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53-48E9-819B-5E97B30BCE8A}"/>
            </c:ext>
          </c:extLst>
        </c:ser>
        <c:ser>
          <c:idx val="4"/>
          <c:order val="4"/>
          <c:tx>
            <c:strRef>
              <c:f>Sheet1!$AC$137:$AC$137</c:f>
              <c:strCache>
                <c:ptCount val="1"/>
                <c:pt idx="0">
                  <c:v>0,94</c:v>
                </c:pt>
              </c:strCache>
            </c:strRef>
          </c:tx>
          <c:cat>
            <c:numRef>
              <c:f>Sheet1!$X$138:$X$237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Sheet1!$AC$138:$AC$237</c:f>
              <c:numCache>
                <c:formatCode>General</c:formatCode>
                <c:ptCount val="100"/>
                <c:pt idx="0">
                  <c:v>-3.3139114170241792E-3</c:v>
                </c:pt>
                <c:pt idx="1">
                  <c:v>-4.6865784704586359E-3</c:v>
                </c:pt>
                <c:pt idx="2">
                  <c:v>-5.739862946068452E-3</c:v>
                </c:pt>
                <c:pt idx="3">
                  <c:v>-6.6278228340483584E-3</c:v>
                </c:pt>
                <c:pt idx="4">
                  <c:v>-7.410131199878719E-3</c:v>
                </c:pt>
                <c:pt idx="5">
                  <c:v>-8.1173920244927925E-3</c:v>
                </c:pt>
                <c:pt idx="6">
                  <c:v>-8.7677854763436383E-3</c:v>
                </c:pt>
                <c:pt idx="7">
                  <c:v>-9.3731569409172717E-3</c:v>
                </c:pt>
                <c:pt idx="8">
                  <c:v>-9.9417342510725384E-3</c:v>
                </c:pt>
                <c:pt idx="9">
                  <c:v>-1.0479508041832499E-2</c:v>
                </c:pt>
                <c:pt idx="10">
                  <c:v>-1.0991000758744185E-2</c:v>
                </c:pt>
                <c:pt idx="11">
                  <c:v>-1.1479725892136904E-2</c:v>
                </c:pt>
                <c:pt idx="12">
                  <c:v>-1.1948477536426205E-2</c:v>
                </c:pt>
                <c:pt idx="13">
                  <c:v>-1.2399521132623019E-2</c:v>
                </c:pt>
                <c:pt idx="14">
                  <c:v>-1.2834723728941268E-2</c:v>
                </c:pt>
                <c:pt idx="15">
                  <c:v>-1.3255645668096717E-2</c:v>
                </c:pt>
                <c:pt idx="16">
                  <c:v>-1.3663606806330986E-2</c:v>
                </c:pt>
                <c:pt idx="17">
                  <c:v>-1.4059735411375906E-2</c:v>
                </c:pt>
                <c:pt idx="18">
                  <c:v>-1.4445004974654072E-2</c:v>
                </c:pt>
                <c:pt idx="19">
                  <c:v>-1.4820262399757438E-2</c:v>
                </c:pt>
                <c:pt idx="20">
                  <c:v>-1.518624991489167E-2</c:v>
                </c:pt>
                <c:pt idx="21">
                  <c:v>-1.5543622337069005E-2</c:v>
                </c:pt>
                <c:pt idx="22">
                  <c:v>-1.5892960839230481E-2</c:v>
                </c:pt>
                <c:pt idx="23">
                  <c:v>-1.6234784048985585E-2</c:v>
                </c:pt>
                <c:pt idx="24">
                  <c:v>-1.6569557085120895E-2</c:v>
                </c:pt>
                <c:pt idx="25">
                  <c:v>-1.6897698981724205E-2</c:v>
                </c:pt>
                <c:pt idx="26">
                  <c:v>-1.7219588838205357E-2</c:v>
                </c:pt>
                <c:pt idx="27">
                  <c:v>-1.7535570952687277E-2</c:v>
                </c:pt>
                <c:pt idx="28">
                  <c:v>-1.7845959136919845E-2</c:v>
                </c:pt>
                <c:pt idx="29">
                  <c:v>-1.8151040366780526E-2</c:v>
                </c:pt>
                <c:pt idx="30">
                  <c:v>-1.8451077889282762E-2</c:v>
                </c:pt>
                <c:pt idx="31">
                  <c:v>-1.8746313881834543E-2</c:v>
                </c:pt>
                <c:pt idx="32">
                  <c:v>-1.9036971740173006E-2</c:v>
                </c:pt>
                <c:pt idx="33">
                  <c:v>-1.9323258056446614E-2</c:v>
                </c:pt>
                <c:pt idx="34">
                  <c:v>-1.9605364337239747E-2</c:v>
                </c:pt>
                <c:pt idx="35">
                  <c:v>-1.9883468502145077E-2</c:v>
                </c:pt>
                <c:pt idx="36">
                  <c:v>-2.0157736196202154E-2</c:v>
                </c:pt>
                <c:pt idx="37">
                  <c:v>-2.0428321943702612E-2</c:v>
                </c:pt>
                <c:pt idx="38">
                  <c:v>-2.0695370166185598E-2</c:v>
                </c:pt>
                <c:pt idx="39">
                  <c:v>-2.0959016083664999E-2</c:v>
                </c:pt>
                <c:pt idx="40">
                  <c:v>-2.1219386515052958E-2</c:v>
                </c:pt>
                <c:pt idx="41">
                  <c:v>-2.1476600591227062E-2</c:v>
                </c:pt>
                <c:pt idx="42">
                  <c:v>-2.1730770392118584E-2</c:v>
                </c:pt>
                <c:pt idx="43">
                  <c:v>-2.1982001517488369E-2</c:v>
                </c:pt>
                <c:pt idx="44">
                  <c:v>-2.2230393599636158E-2</c:v>
                </c:pt>
                <c:pt idx="45">
                  <c:v>-2.2476040765104236E-2</c:v>
                </c:pt>
                <c:pt idx="46">
                  <c:v>-2.2719032051443357E-2</c:v>
                </c:pt>
                <c:pt idx="47">
                  <c:v>-2.2959451784273808E-2</c:v>
                </c:pt>
                <c:pt idx="48">
                  <c:v>-2.3197379919169255E-2</c:v>
                </c:pt>
                <c:pt idx="49">
                  <c:v>-2.3432892352293181E-2</c:v>
                </c:pt>
                <c:pt idx="50">
                  <c:v>-2.3666061203209195E-2</c:v>
                </c:pt>
                <c:pt idx="51">
                  <c:v>-2.3896955072852409E-2</c:v>
                </c:pt>
                <c:pt idx="52">
                  <c:v>-2.4125639279277342E-2</c:v>
                </c:pt>
                <c:pt idx="53">
                  <c:v>-2.4352176073478383E-2</c:v>
                </c:pt>
                <c:pt idx="54">
                  <c:v>-2.4576624837303763E-2</c:v>
                </c:pt>
                <c:pt idx="55">
                  <c:v>-2.4799042265246037E-2</c:v>
                </c:pt>
                <c:pt idx="56">
                  <c:v>-2.5019482531686035E-2</c:v>
                </c:pt>
                <c:pt idx="57">
                  <c:v>-2.52379974449881E-2</c:v>
                </c:pt>
                <c:pt idx="58">
                  <c:v>-2.5454636589688506E-2</c:v>
                </c:pt>
                <c:pt idx="59">
                  <c:v>-2.5669447457882535E-2</c:v>
                </c:pt>
                <c:pt idx="60">
                  <c:v>-2.5882475570796457E-2</c:v>
                </c:pt>
                <c:pt idx="61">
                  <c:v>-2.6093764591426025E-2</c:v>
                </c:pt>
                <c:pt idx="62">
                  <c:v>-2.6303356429030911E-2</c:v>
                </c:pt>
                <c:pt idx="63">
                  <c:v>-2.6511291336193434E-2</c:v>
                </c:pt>
                <c:pt idx="64">
                  <c:v>-2.6717607999078213E-2</c:v>
                </c:pt>
                <c:pt idx="65">
                  <c:v>-2.6922343621466008E-2</c:v>
                </c:pt>
                <c:pt idx="66">
                  <c:v>-2.7125534003078624E-2</c:v>
                </c:pt>
                <c:pt idx="67">
                  <c:v>-2.7327213612661973E-2</c:v>
                </c:pt>
                <c:pt idx="68">
                  <c:v>-2.75274156562497E-2</c:v>
                </c:pt>
                <c:pt idx="69">
                  <c:v>-2.7726172140990258E-2</c:v>
                </c:pt>
                <c:pt idx="70">
                  <c:v>-2.7923513934884833E-2</c:v>
                </c:pt>
                <c:pt idx="71">
                  <c:v>-2.8119470822751812E-2</c:v>
                </c:pt>
                <c:pt idx="72">
                  <c:v>-2.831407155870511E-2</c:v>
                </c:pt>
                <c:pt idx="73">
                  <c:v>-2.8507343915408132E-2</c:v>
                </c:pt>
                <c:pt idx="74">
                  <c:v>-2.8699314730342262E-2</c:v>
                </c:pt>
                <c:pt idx="75">
                  <c:v>-2.8890009949308144E-2</c:v>
                </c:pt>
                <c:pt idx="76">
                  <c:v>-2.9079454667359339E-2</c:v>
                </c:pt>
                <c:pt idx="77">
                  <c:v>-2.926767316735121E-2</c:v>
                </c:pt>
                <c:pt idx="78">
                  <c:v>-2.94546889562727E-2</c:v>
                </c:pt>
                <c:pt idx="79">
                  <c:v>-2.9640524799514876E-2</c:v>
                </c:pt>
                <c:pt idx="80">
                  <c:v>-2.9825202753217612E-2</c:v>
                </c:pt>
                <c:pt idx="81">
                  <c:v>-3.000874419482466E-2</c:v>
                </c:pt>
                <c:pt idx="82">
                  <c:v>-3.0191169851966747E-2</c:v>
                </c:pt>
                <c:pt idx="83">
                  <c:v>-3.037249982978334E-2</c:v>
                </c:pt>
                <c:pt idx="84">
                  <c:v>-3.0552753636784887E-2</c:v>
                </c:pt>
                <c:pt idx="85">
                  <c:v>-3.0731950209349806E-2</c:v>
                </c:pt>
                <c:pt idx="86">
                  <c:v>-3.0910107934943205E-2</c:v>
                </c:pt>
                <c:pt idx="87">
                  <c:v>-3.1087244674138009E-2</c:v>
                </c:pt>
                <c:pt idx="88">
                  <c:v>-3.1263377781513065E-2</c:v>
                </c:pt>
                <c:pt idx="89">
                  <c:v>-3.1438524125497497E-2</c:v>
                </c:pt>
                <c:pt idx="90">
                  <c:v>-3.1612700107225444E-2</c:v>
                </c:pt>
                <c:pt idx="91">
                  <c:v>-3.1785921678460963E-2</c:v>
                </c:pt>
                <c:pt idx="92">
                  <c:v>-3.1958204358648469E-2</c:v>
                </c:pt>
                <c:pt idx="93">
                  <c:v>-3.212956325114024E-2</c:v>
                </c:pt>
                <c:pt idx="94">
                  <c:v>-3.230001305864913E-2</c:v>
                </c:pt>
                <c:pt idx="95">
                  <c:v>-3.246956809797117E-2</c:v>
                </c:pt>
                <c:pt idx="96">
                  <c:v>-3.2638242314019766E-2</c:v>
                </c:pt>
                <c:pt idx="97">
                  <c:v>-3.2806049293210453E-2</c:v>
                </c:pt>
                <c:pt idx="98">
                  <c:v>-3.2973002276232552E-2</c:v>
                </c:pt>
                <c:pt idx="99">
                  <c:v>-3.313911417024179E-2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53-48E9-819B-5E97B30BCE8A}"/>
            </c:ext>
          </c:extLst>
        </c:ser>
        <c:ser>
          <c:idx val="5"/>
          <c:order val="5"/>
          <c:tx>
            <c:strRef>
              <c:f>Sheet1!$AD$137:$AD$137</c:f>
              <c:strCache>
                <c:ptCount val="1"/>
                <c:pt idx="0">
                  <c:v>0,95</c:v>
                </c:pt>
              </c:strCache>
            </c:strRef>
          </c:tx>
          <c:cat>
            <c:numRef>
              <c:f>Sheet1!$X$138:$X$237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Sheet1!$AD$138:$AD$237</c:f>
              <c:numCache>
                <c:formatCode>General</c:formatCode>
                <c:ptCount val="100"/>
                <c:pt idx="0">
                  <c:v>-3.5716310431220004E-3</c:v>
                </c:pt>
                <c:pt idx="1">
                  <c:v>-5.0510490609758981E-3</c:v>
                </c:pt>
                <c:pt idx="2">
                  <c:v>-6.1862464325775322E-3</c:v>
                </c:pt>
                <c:pt idx="3">
                  <c:v>-7.1432620862440007E-3</c:v>
                </c:pt>
                <c:pt idx="4">
                  <c:v>-7.986409802969276E-3</c:v>
                </c:pt>
                <c:pt idx="5">
                  <c:v>-8.7486736051333221E-3</c:v>
                </c:pt>
                <c:pt idx="6">
                  <c:v>-9.449647514979025E-3</c:v>
                </c:pt>
                <c:pt idx="7">
                  <c:v>-1.0102098121951796E-2</c:v>
                </c:pt>
                <c:pt idx="8">
                  <c:v>-1.0714893129366E-2</c:v>
                </c:pt>
                <c:pt idx="9">
                  <c:v>-1.1294489058028588E-2</c:v>
                </c:pt>
                <c:pt idx="10">
                  <c:v>-1.1845760059621343E-2</c:v>
                </c:pt>
                <c:pt idx="11">
                  <c:v>-1.2372492865155064E-2</c:v>
                </c:pt>
                <c:pt idx="12">
                  <c:v>-1.2877698863015307E-2</c:v>
                </c:pt>
                <c:pt idx="13">
                  <c:v>-1.3363819675328551E-2</c:v>
                </c:pt>
                <c:pt idx="14">
                  <c:v>-1.3832867548808933E-2</c:v>
                </c:pt>
                <c:pt idx="15">
                  <c:v>-1.4286524172488001E-2</c:v>
                </c:pt>
                <c:pt idx="16">
                  <c:v>-1.4726212046526993E-2</c:v>
                </c:pt>
                <c:pt idx="17">
                  <c:v>-1.5153147182927691E-2</c:v>
                </c:pt>
                <c:pt idx="18">
                  <c:v>-1.5568378780581562E-2</c:v>
                </c:pt>
                <c:pt idx="19">
                  <c:v>-1.5972819605938552E-2</c:v>
                </c:pt>
                <c:pt idx="20">
                  <c:v>-1.6367269609560652E-2</c:v>
                </c:pt>
                <c:pt idx="21">
                  <c:v>-1.6752434532934027E-2</c:v>
                </c:pt>
                <c:pt idx="22">
                  <c:v>-1.7128940746246778E-2</c:v>
                </c:pt>
                <c:pt idx="23">
                  <c:v>-1.7497347210266644E-2</c:v>
                </c:pt>
                <c:pt idx="24">
                  <c:v>-1.7858155215610003E-2</c:v>
                </c:pt>
                <c:pt idx="25">
                  <c:v>-1.8211816384232832E-2</c:v>
                </c:pt>
                <c:pt idx="26">
                  <c:v>-1.8558739297732597E-2</c:v>
                </c:pt>
                <c:pt idx="27">
                  <c:v>-1.889929502995805E-2</c:v>
                </c:pt>
                <c:pt idx="28">
                  <c:v>-1.9233821797489694E-2</c:v>
                </c:pt>
                <c:pt idx="29">
                  <c:v>-1.9562628894036264E-2</c:v>
                </c:pt>
                <c:pt idx="30">
                  <c:v>-1.988600003907209E-2</c:v>
                </c:pt>
                <c:pt idx="31">
                  <c:v>-2.0204196243903592E-2</c:v>
                </c:pt>
                <c:pt idx="32">
                  <c:v>-2.0517458277534296E-2</c:v>
                </c:pt>
                <c:pt idx="33">
                  <c:v>-2.0826008798580525E-2</c:v>
                </c:pt>
                <c:pt idx="34">
                  <c:v>-2.1130054206905058E-2</c:v>
                </c:pt>
                <c:pt idx="35">
                  <c:v>-2.1429786258732E-2</c:v>
                </c:pt>
                <c:pt idx="36">
                  <c:v>-2.1725383481152449E-2</c:v>
                </c:pt>
                <c:pt idx="37">
                  <c:v>-2.201701241565995E-2</c:v>
                </c:pt>
                <c:pt idx="38">
                  <c:v>-2.2304828715314477E-2</c:v>
                </c:pt>
                <c:pt idx="39">
                  <c:v>-2.2588978116057177E-2</c:v>
                </c:pt>
                <c:pt idx="40">
                  <c:v>-2.2869597299382049E-2</c:v>
                </c:pt>
                <c:pt idx="41">
                  <c:v>-2.3146814660857669E-2</c:v>
                </c:pt>
                <c:pt idx="42">
                  <c:v>-2.3420750996761143E-2</c:v>
                </c:pt>
                <c:pt idx="43">
                  <c:v>-2.3691520119242686E-2</c:v>
                </c:pt>
                <c:pt idx="44">
                  <c:v>-2.3959229408907826E-2</c:v>
                </c:pt>
                <c:pt idx="45">
                  <c:v>-2.4223980312427319E-2</c:v>
                </c:pt>
                <c:pt idx="46">
                  <c:v>-2.4485868791714521E-2</c:v>
                </c:pt>
                <c:pt idx="47">
                  <c:v>-2.4744985730310129E-2</c:v>
                </c:pt>
                <c:pt idx="48">
                  <c:v>-2.5001417301854002E-2</c:v>
                </c:pt>
                <c:pt idx="49">
                  <c:v>-2.5255245304879489E-2</c:v>
                </c:pt>
                <c:pt idx="50">
                  <c:v>-2.5506547467617609E-2</c:v>
                </c:pt>
                <c:pt idx="51">
                  <c:v>-2.5755397726030613E-2</c:v>
                </c:pt>
                <c:pt idx="52">
                  <c:v>-2.6001866477893768E-2</c:v>
                </c:pt>
                <c:pt idx="53">
                  <c:v>-2.6246020815399968E-2</c:v>
                </c:pt>
                <c:pt idx="54">
                  <c:v>-2.6487924738465285E-2</c:v>
                </c:pt>
                <c:pt idx="55">
                  <c:v>-2.6727639350657102E-2</c:v>
                </c:pt>
                <c:pt idx="56">
                  <c:v>-2.6965223039444465E-2</c:v>
                </c:pt>
                <c:pt idx="57">
                  <c:v>-2.7200731642277189E-2</c:v>
                </c:pt>
                <c:pt idx="58">
                  <c:v>-2.7434218599832073E-2</c:v>
                </c:pt>
                <c:pt idx="59">
                  <c:v>-2.7665735097617866E-2</c:v>
                </c:pt>
                <c:pt idx="60">
                  <c:v>-2.7895330197001748E-2</c:v>
                </c:pt>
                <c:pt idx="61">
                  <c:v>-2.8123050956607651E-2</c:v>
                </c:pt>
                <c:pt idx="62">
                  <c:v>-2.8348942544937073E-2</c:v>
                </c:pt>
                <c:pt idx="63">
                  <c:v>-2.8573048344976003E-2</c:v>
                </c:pt>
                <c:pt idx="64">
                  <c:v>-2.8795410051473978E-2</c:v>
                </c:pt>
                <c:pt idx="65">
                  <c:v>-2.901606776151313E-2</c:v>
                </c:pt>
                <c:pt idx="66">
                  <c:v>-2.9235060058924355E-2</c:v>
                </c:pt>
                <c:pt idx="67">
                  <c:v>-2.9452424093053986E-2</c:v>
                </c:pt>
                <c:pt idx="68">
                  <c:v>-2.9668195652336183E-2</c:v>
                </c:pt>
                <c:pt idx="69">
                  <c:v>-2.9882409233083808E-2</c:v>
                </c:pt>
                <c:pt idx="70">
                  <c:v>-3.0095098103872085E-2</c:v>
                </c:pt>
                <c:pt idx="71">
                  <c:v>-3.0306294365855382E-2</c:v>
                </c:pt>
                <c:pt idx="72">
                  <c:v>-3.051602900932673E-2</c:v>
                </c:pt>
                <c:pt idx="73">
                  <c:v>-3.0724331966802198E-2</c:v>
                </c:pt>
                <c:pt idx="74">
                  <c:v>-3.0931232162887665E-2</c:v>
                </c:pt>
                <c:pt idx="75">
                  <c:v>-3.1136757561163124E-2</c:v>
                </c:pt>
                <c:pt idx="76">
                  <c:v>-3.1340935208299732E-2</c:v>
                </c:pt>
                <c:pt idx="77">
                  <c:v>-3.1543791275606595E-2</c:v>
                </c:pt>
                <c:pt idx="78">
                  <c:v>-3.1745351098188018E-2</c:v>
                </c:pt>
                <c:pt idx="79">
                  <c:v>-3.1945639211877104E-2</c:v>
                </c:pt>
                <c:pt idx="80">
                  <c:v>-3.2144679388098001E-2</c:v>
                </c:pt>
                <c:pt idx="81">
                  <c:v>-3.23424946667972E-2</c:v>
                </c:pt>
                <c:pt idx="82">
                  <c:v>-3.2539107387572853E-2</c:v>
                </c:pt>
                <c:pt idx="83">
                  <c:v>-3.2734539219121304E-2</c:v>
                </c:pt>
                <c:pt idx="84">
                  <c:v>-3.2928811187110649E-2</c:v>
                </c:pt>
                <c:pt idx="85">
                  <c:v>-3.3121943700582794E-2</c:v>
                </c:pt>
                <c:pt idx="86">
                  <c:v>-3.3313956576977902E-2</c:v>
                </c:pt>
                <c:pt idx="87">
                  <c:v>-3.3504869065868054E-2</c:v>
                </c:pt>
                <c:pt idx="88">
                  <c:v>-3.3694699871480598E-2</c:v>
                </c:pt>
                <c:pt idx="89">
                  <c:v>-3.388346717408576E-2</c:v>
                </c:pt>
                <c:pt idx="90">
                  <c:v>-3.4071188650317732E-2</c:v>
                </c:pt>
                <c:pt idx="91">
                  <c:v>-3.4257881492493557E-2</c:v>
                </c:pt>
                <c:pt idx="92">
                  <c:v>-3.4443562426989538E-2</c:v>
                </c:pt>
                <c:pt idx="93">
                  <c:v>-3.4628247731730788E-2</c:v>
                </c:pt>
                <c:pt idx="94">
                  <c:v>-3.4811953252845654E-2</c:v>
                </c:pt>
                <c:pt idx="95">
                  <c:v>-3.4994694420533289E-2</c:v>
                </c:pt>
                <c:pt idx="96">
                  <c:v>-3.5176486264189268E-2</c:v>
                </c:pt>
                <c:pt idx="97">
                  <c:v>-3.5357343426831285E-2</c:v>
                </c:pt>
                <c:pt idx="98">
                  <c:v>-3.5537280178864025E-2</c:v>
                </c:pt>
                <c:pt idx="99">
                  <c:v>-3.5716310431220005E-2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53-48E9-819B-5E97B30BCE8A}"/>
            </c:ext>
          </c:extLst>
        </c:ser>
        <c:ser>
          <c:idx val="6"/>
          <c:order val="6"/>
          <c:tx>
            <c:strRef>
              <c:f>Sheet1!$AE$137:$AE$137</c:f>
              <c:strCache>
                <c:ptCount val="1"/>
                <c:pt idx="0">
                  <c:v>0,96</c:v>
                </c:pt>
              </c:strCache>
            </c:strRef>
          </c:tx>
          <c:cat>
            <c:numRef>
              <c:f>Sheet1!$X$138:$X$237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Sheet1!$AE$138:$AE$237</c:f>
              <c:numCache>
                <c:formatCode>General</c:formatCode>
                <c:ptCount val="100"/>
                <c:pt idx="0">
                  <c:v>-3.8744184340814124E-3</c:v>
                </c:pt>
                <c:pt idx="1">
                  <c:v>-5.4792550957862632E-3</c:v>
                </c:pt>
                <c:pt idx="2">
                  <c:v>-6.7106895776104548E-3</c:v>
                </c:pt>
                <c:pt idx="3">
                  <c:v>-7.7488368681628249E-3</c:v>
                </c:pt>
                <c:pt idx="4">
                  <c:v>-8.6634629918843267E-3</c:v>
                </c:pt>
                <c:pt idx="5">
                  <c:v>-9.4903482135324825E-3</c:v>
                </c:pt>
                <c:pt idx="6">
                  <c:v>-1.0250747651583715E-2</c:v>
                </c:pt>
                <c:pt idx="7">
                  <c:v>-1.0958510191572526E-2</c:v>
                </c:pt>
                <c:pt idx="8">
                  <c:v>-1.1623255302244237E-2</c:v>
                </c:pt>
                <c:pt idx="9">
                  <c:v>-1.2251986860240207E-2</c:v>
                </c:pt>
                <c:pt idx="10">
                  <c:v>-1.2849992226684362E-2</c:v>
                </c:pt>
                <c:pt idx="11">
                  <c:v>-1.342137915522091E-2</c:v>
                </c:pt>
                <c:pt idx="12">
                  <c:v>-1.3969414326683428E-2</c:v>
                </c:pt>
                <c:pt idx="13">
                  <c:v>-1.4496746353333843E-2</c:v>
                </c:pt>
                <c:pt idx="14">
                  <c:v>-1.500555807143633E-2</c:v>
                </c:pt>
                <c:pt idx="15">
                  <c:v>-1.549767373632565E-2</c:v>
                </c:pt>
                <c:pt idx="16">
                  <c:v>-1.5974636441557839E-2</c:v>
                </c:pt>
                <c:pt idx="17">
                  <c:v>-1.6437765287358786E-2</c:v>
                </c:pt>
                <c:pt idx="18">
                  <c:v>-1.6888198419151981E-2</c:v>
                </c:pt>
                <c:pt idx="19">
                  <c:v>-1.7326925983768653E-2</c:v>
                </c:pt>
                <c:pt idx="20">
                  <c:v>-1.7754815748110345E-2</c:v>
                </c:pt>
                <c:pt idx="21">
                  <c:v>-1.8172633283365869E-2</c:v>
                </c:pt>
                <c:pt idx="22">
                  <c:v>-1.8581058060671542E-2</c:v>
                </c:pt>
                <c:pt idx="23">
                  <c:v>-1.8980696427064965E-2</c:v>
                </c:pt>
                <c:pt idx="24">
                  <c:v>-1.9372092170407064E-2</c:v>
                </c:pt>
                <c:pt idx="25">
                  <c:v>-1.9755735199204722E-2</c:v>
                </c:pt>
                <c:pt idx="26">
                  <c:v>-2.0132068732831368E-2</c:v>
                </c:pt>
                <c:pt idx="27">
                  <c:v>-2.050149530316743E-2</c:v>
                </c:pt>
                <c:pt idx="28">
                  <c:v>-2.0864381799328396E-2</c:v>
                </c:pt>
                <c:pt idx="29">
                  <c:v>-2.122106373560232E-2</c:v>
                </c:pt>
                <c:pt idx="30">
                  <c:v>-2.1571848883970186E-2</c:v>
                </c:pt>
                <c:pt idx="31">
                  <c:v>-2.1917020383145053E-2</c:v>
                </c:pt>
                <c:pt idx="32">
                  <c:v>-2.2256839413482443E-2</c:v>
                </c:pt>
                <c:pt idx="33">
                  <c:v>-2.2591547509630574E-2</c:v>
                </c:pt>
                <c:pt idx="34">
                  <c:v>-2.2921368569137516E-2</c:v>
                </c:pt>
                <c:pt idx="35">
                  <c:v>-2.3246510604488475E-2</c:v>
                </c:pt>
                <c:pt idx="36">
                  <c:v>-2.3567167277527116E-2</c:v>
                </c:pt>
                <c:pt idx="37">
                  <c:v>-2.3883519248412591E-2</c:v>
                </c:pt>
                <c:pt idx="38">
                  <c:v>-2.4195735365796278E-2</c:v>
                </c:pt>
                <c:pt idx="39">
                  <c:v>-2.4503973720480413E-2</c:v>
                </c:pt>
                <c:pt idx="40">
                  <c:v>-2.4808382581223316E-2</c:v>
                </c:pt>
                <c:pt idx="41">
                  <c:v>-2.5109101228413061E-2</c:v>
                </c:pt>
                <c:pt idx="42">
                  <c:v>-2.5406260698911283E-2</c:v>
                </c:pt>
                <c:pt idx="43">
                  <c:v>-2.5699984453368723E-2</c:v>
                </c:pt>
                <c:pt idx="44">
                  <c:v>-2.5990388975652978E-2</c:v>
                </c:pt>
                <c:pt idx="45">
                  <c:v>-2.6277584312643616E-2</c:v>
                </c:pt>
                <c:pt idx="46">
                  <c:v>-2.6561674561488845E-2</c:v>
                </c:pt>
                <c:pt idx="47">
                  <c:v>-2.6842758310441819E-2</c:v>
                </c:pt>
                <c:pt idx="48">
                  <c:v>-2.7120929038569885E-2</c:v>
                </c:pt>
                <c:pt idx="49">
                  <c:v>-2.7396275478931316E-2</c:v>
                </c:pt>
                <c:pt idx="50">
                  <c:v>-2.7668881949219473E-2</c:v>
                </c:pt>
                <c:pt idx="51">
                  <c:v>-2.7938828653366856E-2</c:v>
                </c:pt>
                <c:pt idx="52">
                  <c:v>-2.820619195716683E-2</c:v>
                </c:pt>
                <c:pt idx="53">
                  <c:v>-2.8471044640597448E-2</c:v>
                </c:pt>
                <c:pt idx="54">
                  <c:v>-2.8733456129210119E-2</c:v>
                </c:pt>
                <c:pt idx="55">
                  <c:v>-2.8993492706667685E-2</c:v>
                </c:pt>
                <c:pt idx="56">
                  <c:v>-2.9251217710275623E-2</c:v>
                </c:pt>
                <c:pt idx="57">
                  <c:v>-2.9506691711140579E-2</c:v>
                </c:pt>
                <c:pt idx="58">
                  <c:v>-2.9759972680408191E-2</c:v>
                </c:pt>
                <c:pt idx="59">
                  <c:v>-3.0011116142872659E-2</c:v>
                </c:pt>
                <c:pt idx="60">
                  <c:v>-3.0260175319111116E-2</c:v>
                </c:pt>
                <c:pt idx="61">
                  <c:v>-3.0507201257173554E-2</c:v>
                </c:pt>
                <c:pt idx="62">
                  <c:v>-3.0752242954751145E-2</c:v>
                </c:pt>
                <c:pt idx="63">
                  <c:v>-3.09953474726513E-2</c:v>
                </c:pt>
                <c:pt idx="64">
                  <c:v>-3.1236560040323599E-2</c:v>
                </c:pt>
                <c:pt idx="65">
                  <c:v>-3.1475924154106917E-2</c:v>
                </c:pt>
                <c:pt idx="66">
                  <c:v>-3.1713481668802009E-2</c:v>
                </c:pt>
                <c:pt idx="67">
                  <c:v>-3.1949272883115679E-2</c:v>
                </c:pt>
                <c:pt idx="68">
                  <c:v>-3.2183336619470343E-2</c:v>
                </c:pt>
                <c:pt idx="69">
                  <c:v>-3.2415710298626658E-2</c:v>
                </c:pt>
                <c:pt idx="70">
                  <c:v>-3.2646430009525398E-2</c:v>
                </c:pt>
                <c:pt idx="71">
                  <c:v>-3.2875530574717572E-2</c:v>
                </c:pt>
                <c:pt idx="72">
                  <c:v>-3.3103045611718868E-2</c:v>
                </c:pt>
                <c:pt idx="73">
                  <c:v>-3.3329007590594262E-2</c:v>
                </c:pt>
                <c:pt idx="74">
                  <c:v>-3.3553447888052278E-2</c:v>
                </c:pt>
                <c:pt idx="75">
                  <c:v>-3.3776396838303961E-2</c:v>
                </c:pt>
                <c:pt idx="76">
                  <c:v>-3.3997883780919946E-2</c:v>
                </c:pt>
                <c:pt idx="77">
                  <c:v>-3.4217937105899439E-2</c:v>
                </c:pt>
                <c:pt idx="78">
                  <c:v>-3.4436584296147016E-2</c:v>
                </c:pt>
                <c:pt idx="79">
                  <c:v>-3.4653851967537307E-2</c:v>
                </c:pt>
                <c:pt idx="80">
                  <c:v>-3.4869765906732714E-2</c:v>
                </c:pt>
                <c:pt idx="81">
                  <c:v>-3.508435110690647E-2</c:v>
                </c:pt>
                <c:pt idx="82">
                  <c:v>-3.5297631801510972E-2</c:v>
                </c:pt>
                <c:pt idx="83">
                  <c:v>-3.5509631496220689E-2</c:v>
                </c:pt>
                <c:pt idx="84">
                  <c:v>-3.5720372999168672E-2</c:v>
                </c:pt>
                <c:pt idx="85">
                  <c:v>-3.5929878449586887E-2</c:v>
                </c:pt>
                <c:pt idx="86">
                  <c:v>-3.6138169344952134E-2</c:v>
                </c:pt>
                <c:pt idx="87">
                  <c:v>-3.6345266566731739E-2</c:v>
                </c:pt>
                <c:pt idx="88">
                  <c:v>-3.6551190404816337E-2</c:v>
                </c:pt>
                <c:pt idx="89">
                  <c:v>-3.6755960580720615E-2</c:v>
                </c:pt>
                <c:pt idx="90">
                  <c:v>-3.6959596269627158E-2</c:v>
                </c:pt>
                <c:pt idx="91">
                  <c:v>-3.7162116121343083E-2</c:v>
                </c:pt>
                <c:pt idx="92">
                  <c:v>-3.7363538280234344E-2</c:v>
                </c:pt>
                <c:pt idx="93">
                  <c:v>-3.7563880404197961E-2</c:v>
                </c:pt>
                <c:pt idx="94">
                  <c:v>-3.7763159682728309E-2</c:v>
                </c:pt>
                <c:pt idx="95">
                  <c:v>-3.796139285412993E-2</c:v>
                </c:pt>
                <c:pt idx="96">
                  <c:v>-3.8158596221925363E-2</c:v>
                </c:pt>
                <c:pt idx="97">
                  <c:v>-3.8354785670503842E-2</c:v>
                </c:pt>
                <c:pt idx="98">
                  <c:v>-3.8549976680053083E-2</c:v>
                </c:pt>
                <c:pt idx="99">
                  <c:v>-3.8744184340814128E-2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53-48E9-819B-5E97B30BCE8A}"/>
            </c:ext>
          </c:extLst>
        </c:ser>
        <c:ser>
          <c:idx val="7"/>
          <c:order val="7"/>
          <c:tx>
            <c:strRef>
              <c:f>Sheet1!$AF$137:$AF$137</c:f>
              <c:strCache>
                <c:ptCount val="1"/>
                <c:pt idx="0">
                  <c:v>0,97</c:v>
                </c:pt>
              </c:strCache>
            </c:strRef>
          </c:tx>
          <c:cat>
            <c:numRef>
              <c:f>Sheet1!$X$138:$X$237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Sheet1!$AF$138:$AF$237</c:f>
              <c:numCache>
                <c:formatCode>General</c:formatCode>
                <c:ptCount val="100"/>
                <c:pt idx="0">
                  <c:v>-4.2466570410807621E-3</c:v>
                </c:pt>
                <c:pt idx="1">
                  <c:v>-6.0056799822436118E-3</c:v>
                </c:pt>
                <c:pt idx="2">
                  <c:v>-7.3554257574719928E-3</c:v>
                </c:pt>
                <c:pt idx="3">
                  <c:v>-8.4933140821615242E-3</c:v>
                </c:pt>
                <c:pt idx="4">
                  <c:v>-9.4958138209847009E-3</c:v>
                </c:pt>
                <c:pt idx="5">
                  <c:v>-1.0402142863245287E-2</c:v>
                </c:pt>
                <c:pt idx="6">
                  <c:v>-1.1235598434081102E-2</c:v>
                </c:pt>
                <c:pt idx="7">
                  <c:v>-1.2011359964487224E-2</c:v>
                </c:pt>
                <c:pt idx="8">
                  <c:v>-1.2739971123242287E-2</c:v>
                </c:pt>
                <c:pt idx="9">
                  <c:v>-1.3429108691406446E-2</c:v>
                </c:pt>
                <c:pt idx="10">
                  <c:v>-1.4084568018585765E-2</c:v>
                </c:pt>
                <c:pt idx="11">
                  <c:v>-1.4710851514943986E-2</c:v>
                </c:pt>
                <c:pt idx="12">
                  <c:v>-1.5311539710926872E-2</c:v>
                </c:pt>
                <c:pt idx="13">
                  <c:v>-1.5889535686855402E-2</c:v>
                </c:pt>
                <c:pt idx="14">
                  <c:v>-1.6447231997160257E-2</c:v>
                </c:pt>
                <c:pt idx="15">
                  <c:v>-1.6986628164323048E-2</c:v>
                </c:pt>
                <c:pt idx="16">
                  <c:v>-1.7509415536148938E-2</c:v>
                </c:pt>
                <c:pt idx="17">
                  <c:v>-1.8017039946730835E-2</c:v>
                </c:pt>
                <c:pt idx="18">
                  <c:v>-1.8510748889946499E-2</c:v>
                </c:pt>
                <c:pt idx="19">
                  <c:v>-1.8991627641969402E-2</c:v>
                </c:pt>
                <c:pt idx="20">
                  <c:v>-1.9460627341269784E-2</c:v>
                </c:pt>
                <c:pt idx="21">
                  <c:v>-1.9918587112050339E-2</c:v>
                </c:pt>
                <c:pt idx="22">
                  <c:v>-2.0366251706313034E-2</c:v>
                </c:pt>
                <c:pt idx="23">
                  <c:v>-2.0804285726490575E-2</c:v>
                </c:pt>
                <c:pt idx="24">
                  <c:v>-2.123328520540381E-2</c:v>
                </c:pt>
                <c:pt idx="25">
                  <c:v>-2.1653787120007002E-2</c:v>
                </c:pt>
                <c:pt idx="26">
                  <c:v>-2.2066277272415981E-2</c:v>
                </c:pt>
                <c:pt idx="27">
                  <c:v>-2.2471196868162204E-2</c:v>
                </c:pt>
                <c:pt idx="28">
                  <c:v>-2.2868948045598064E-2</c:v>
                </c:pt>
                <c:pt idx="29">
                  <c:v>-2.3259898553880762E-2</c:v>
                </c:pt>
                <c:pt idx="30">
                  <c:v>-2.3644385734490653E-2</c:v>
                </c:pt>
                <c:pt idx="31">
                  <c:v>-2.4022719928974447E-2</c:v>
                </c:pt>
                <c:pt idx="32">
                  <c:v>-2.4395187410850255E-2</c:v>
                </c:pt>
                <c:pt idx="33">
                  <c:v>-2.4762052920448009E-2</c:v>
                </c:pt>
                <c:pt idx="34">
                  <c:v>-2.5123561866495534E-2</c:v>
                </c:pt>
                <c:pt idx="35">
                  <c:v>-2.5479942246484574E-2</c:v>
                </c:pt>
                <c:pt idx="36">
                  <c:v>-2.5831406328513166E-2</c:v>
                </c:pt>
                <c:pt idx="37">
                  <c:v>-2.6178152129845048E-2</c:v>
                </c:pt>
                <c:pt idx="38">
                  <c:v>-2.6520364721433824E-2</c:v>
                </c:pt>
                <c:pt idx="39">
                  <c:v>-2.6858217382812893E-2</c:v>
                </c:pt>
                <c:pt idx="40">
                  <c:v>-2.7191872627809092E-2</c:v>
                </c:pt>
                <c:pt idx="41">
                  <c:v>-2.7521483118312397E-2</c:v>
                </c:pt>
                <c:pt idx="42">
                  <c:v>-2.7847192480681331E-2</c:v>
                </c:pt>
                <c:pt idx="43">
                  <c:v>-2.8169136037171531E-2</c:v>
                </c:pt>
                <c:pt idx="44">
                  <c:v>-2.8487441462954104E-2</c:v>
                </c:pt>
                <c:pt idx="45">
                  <c:v>-2.8802229377772087E-2</c:v>
                </c:pt>
                <c:pt idx="46">
                  <c:v>-2.9113613880010811E-2</c:v>
                </c:pt>
                <c:pt idx="47">
                  <c:v>-2.9421703029887971E-2</c:v>
                </c:pt>
                <c:pt idx="48">
                  <c:v>-2.9726599287565336E-2</c:v>
                </c:pt>
                <c:pt idx="49">
                  <c:v>-3.002839991121806E-2</c:v>
                </c:pt>
                <c:pt idx="50">
                  <c:v>-3.0327197319445817E-2</c:v>
                </c:pt>
                <c:pt idx="51">
                  <c:v>-3.0623079421853744E-2</c:v>
                </c:pt>
                <c:pt idx="52">
                  <c:v>-3.0916129921154799E-2</c:v>
                </c:pt>
                <c:pt idx="53">
                  <c:v>-3.1206428589735866E-2</c:v>
                </c:pt>
                <c:pt idx="54">
                  <c:v>-3.1494051523277292E-2</c:v>
                </c:pt>
                <c:pt idx="55">
                  <c:v>-3.1779071373710804E-2</c:v>
                </c:pt>
                <c:pt idx="56">
                  <c:v>-3.2061557563536527E-2</c:v>
                </c:pt>
                <c:pt idx="57">
                  <c:v>-3.2341576483290474E-2</c:v>
                </c:pt>
                <c:pt idx="58">
                  <c:v>-3.2619191673753781E-2</c:v>
                </c:pt>
                <c:pt idx="59">
                  <c:v>-3.2894463994320514E-2</c:v>
                </c:pt>
                <c:pt idx="60">
                  <c:v>-3.3167451778787729E-2</c:v>
                </c:pt>
                <c:pt idx="61">
                  <c:v>-3.3438210979697618E-2</c:v>
                </c:pt>
                <c:pt idx="62">
                  <c:v>-3.3706795302243305E-2</c:v>
                </c:pt>
                <c:pt idx="63">
                  <c:v>-3.3973256328646097E-2</c:v>
                </c:pt>
                <c:pt idx="64">
                  <c:v>-3.4237643633819967E-2</c:v>
                </c:pt>
                <c:pt idx="65">
                  <c:v>-3.4500004893057823E-2</c:v>
                </c:pt>
                <c:pt idx="66">
                  <c:v>-3.4760385982402074E-2</c:v>
                </c:pt>
                <c:pt idx="67">
                  <c:v>-3.5018831072297876E-2</c:v>
                </c:pt>
                <c:pt idx="68">
                  <c:v>-3.5275382715070525E-2</c:v>
                </c:pt>
                <c:pt idx="69">
                  <c:v>-3.5530081926717492E-2</c:v>
                </c:pt>
                <c:pt idx="70">
                  <c:v>-3.5782968263460453E-2</c:v>
                </c:pt>
                <c:pt idx="71">
                  <c:v>-3.6034079893461669E-2</c:v>
                </c:pt>
                <c:pt idx="72">
                  <c:v>-3.6283453664073095E-2</c:v>
                </c:pt>
                <c:pt idx="73">
                  <c:v>-3.6531125164953521E-2</c:v>
                </c:pt>
                <c:pt idx="74">
                  <c:v>-3.6777128787359968E-2</c:v>
                </c:pt>
                <c:pt idx="75">
                  <c:v>-3.7021497779892998E-2</c:v>
                </c:pt>
                <c:pt idx="76">
                  <c:v>-3.7264264300951692E-2</c:v>
                </c:pt>
                <c:pt idx="77">
                  <c:v>-3.7505459468132683E-2</c:v>
                </c:pt>
                <c:pt idx="78">
                  <c:v>-3.7745113404787964E-2</c:v>
                </c:pt>
                <c:pt idx="79">
                  <c:v>-3.7983255283938804E-2</c:v>
                </c:pt>
                <c:pt idx="80">
                  <c:v>-3.8219913369726861E-2</c:v>
                </c:pt>
                <c:pt idx="81">
                  <c:v>-3.8455115056569351E-2</c:v>
                </c:pt>
                <c:pt idx="82">
                  <c:v>-3.8688886906171747E-2</c:v>
                </c:pt>
                <c:pt idx="83">
                  <c:v>-3.8921254682539569E-2</c:v>
                </c:pt>
                <c:pt idx="84">
                  <c:v>-3.9152243385119953E-2</c:v>
                </c:pt>
                <c:pt idx="85">
                  <c:v>-3.9381877280193614E-2</c:v>
                </c:pt>
                <c:pt idx="86">
                  <c:v>-3.9610179930628833E-2</c:v>
                </c:pt>
                <c:pt idx="87">
                  <c:v>-3.9837174224100678E-2</c:v>
                </c:pt>
                <c:pt idx="88">
                  <c:v>-4.0062882399871234E-2</c:v>
                </c:pt>
                <c:pt idx="89">
                  <c:v>-4.0287326074219337E-2</c:v>
                </c:pt>
                <c:pt idx="90">
                  <c:v>-4.0510526264602317E-2</c:v>
                </c:pt>
                <c:pt idx="91">
                  <c:v>-4.0732503412626068E-2</c:v>
                </c:pt>
                <c:pt idx="92">
                  <c:v>-4.0953277405894585E-2</c:v>
                </c:pt>
                <c:pt idx="93">
                  <c:v>-4.1172867598804883E-2</c:v>
                </c:pt>
                <c:pt idx="94">
                  <c:v>-4.1391292832349137E-2</c:v>
                </c:pt>
                <c:pt idx="95">
                  <c:v>-4.160857145298115E-2</c:v>
                </c:pt>
                <c:pt idx="96">
                  <c:v>-4.1824721330600619E-2</c:v>
                </c:pt>
                <c:pt idx="97">
                  <c:v>-4.2039759875705282E-2</c:v>
                </c:pt>
                <c:pt idx="98">
                  <c:v>-4.2253704055757298E-2</c:v>
                </c:pt>
                <c:pt idx="99">
                  <c:v>-4.2466570410807619E-2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53-48E9-819B-5E97B30BCE8A}"/>
            </c:ext>
          </c:extLst>
        </c:ser>
        <c:ser>
          <c:idx val="8"/>
          <c:order val="8"/>
          <c:tx>
            <c:strRef>
              <c:f>Sheet1!$AG$137:$AG$137</c:f>
              <c:strCache>
                <c:ptCount val="1"/>
                <c:pt idx="0">
                  <c:v>0,98</c:v>
                </c:pt>
              </c:strCache>
            </c:strRef>
          </c:tx>
          <c:cat>
            <c:numRef>
              <c:f>Sheet1!$X$138:$X$237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Sheet1!$AG$138:$AG$237</c:f>
              <c:numCache>
                <c:formatCode>General</c:formatCode>
                <c:ptCount val="100"/>
                <c:pt idx="0">
                  <c:v>-4.741483416269592E-3</c:v>
                </c:pt>
                <c:pt idx="1">
                  <c:v>-6.7054701530555733E-3</c:v>
                </c:pt>
                <c:pt idx="2">
                  <c:v>-8.2124901802241856E-3</c:v>
                </c:pt>
                <c:pt idx="3">
                  <c:v>-9.4829668325391841E-3</c:v>
                </c:pt>
                <c:pt idx="4">
                  <c:v>-1.0602279232966741E-2</c:v>
                </c:pt>
                <c:pt idx="5">
                  <c:v>-1.1614214993728906E-2</c:v>
                </c:pt>
                <c:pt idx="6">
                  <c:v>-1.2544785964986288E-2</c:v>
                </c:pt>
                <c:pt idx="7">
                  <c:v>-1.3410940306111147E-2</c:v>
                </c:pt>
                <c:pt idx="8">
                  <c:v>-1.4224450248808775E-2</c:v>
                </c:pt>
                <c:pt idx="9">
                  <c:v>-1.499388708332818E-2</c:v>
                </c:pt>
                <c:pt idx="10">
                  <c:v>-1.5725721441458739E-2</c:v>
                </c:pt>
                <c:pt idx="11">
                  <c:v>-1.6424980360448371E-2</c:v>
                </c:pt>
                <c:pt idx="12">
                  <c:v>-1.7095661579122179E-2</c:v>
                </c:pt>
                <c:pt idx="13">
                  <c:v>-1.7741006448751262E-2</c:v>
                </c:pt>
                <c:pt idx="14">
                  <c:v>-1.8363686307530779E-2</c:v>
                </c:pt>
                <c:pt idx="15">
                  <c:v>-1.8965933665078368E-2</c:v>
                </c:pt>
                <c:pt idx="16">
                  <c:v>-1.9549636947393999E-2</c:v>
                </c:pt>
                <c:pt idx="17">
                  <c:v>-2.0116410459166716E-2</c:v>
                </c:pt>
                <c:pt idx="18">
                  <c:v>-2.0667647053993151E-2</c:v>
                </c:pt>
                <c:pt idx="19">
                  <c:v>-2.1204558465933481E-2</c:v>
                </c:pt>
                <c:pt idx="20">
                  <c:v>-2.1728206661433214E-2</c:v>
                </c:pt>
                <c:pt idx="21">
                  <c:v>-2.2239528540612331E-2</c:v>
                </c:pt>
                <c:pt idx="22">
                  <c:v>-2.2739355635010193E-2</c:v>
                </c:pt>
                <c:pt idx="23">
                  <c:v>-2.3228429987457812E-2</c:v>
                </c:pt>
                <c:pt idx="24">
                  <c:v>-2.3707417081347961E-2</c:v>
                </c:pt>
                <c:pt idx="25">
                  <c:v>-2.4176916462935228E-2</c:v>
                </c:pt>
                <c:pt idx="26">
                  <c:v>-2.463747054067256E-2</c:v>
                </c:pt>
                <c:pt idx="27">
                  <c:v>-2.5089571929972576E-2</c:v>
                </c:pt>
                <c:pt idx="28">
                  <c:v>-2.5533669626906886E-2</c:v>
                </c:pt>
                <c:pt idx="29">
                  <c:v>-2.597017423127513E-2</c:v>
                </c:pt>
                <c:pt idx="30">
                  <c:v>-2.639946239205538E-2</c:v>
                </c:pt>
                <c:pt idx="31">
                  <c:v>-2.6821880612222293E-2</c:v>
                </c:pt>
                <c:pt idx="32">
                  <c:v>-2.7237748522281821E-2</c:v>
                </c:pt>
                <c:pt idx="33">
                  <c:v>-2.7647361710474747E-2</c:v>
                </c:pt>
                <c:pt idx="34">
                  <c:v>-2.8050994180894635E-2</c:v>
                </c:pt>
                <c:pt idx="35">
                  <c:v>-2.8448900497617551E-2</c:v>
                </c:pt>
                <c:pt idx="36">
                  <c:v>-2.8841317662515069E-2</c:v>
                </c:pt>
                <c:pt idx="37">
                  <c:v>-2.9228466766097451E-2</c:v>
                </c:pt>
                <c:pt idx="38">
                  <c:v>-2.9610554444042803E-2</c:v>
                </c:pt>
                <c:pt idx="39">
                  <c:v>-2.9987774166656361E-2</c:v>
                </c:pt>
                <c:pt idx="40">
                  <c:v>-3.0360307384101729E-2</c:v>
                </c:pt>
                <c:pt idx="41">
                  <c:v>-3.0728324546644283E-2</c:v>
                </c:pt>
                <c:pt idx="42">
                  <c:v>-3.1091986016185281E-2</c:v>
                </c:pt>
                <c:pt idx="43">
                  <c:v>-3.1451442882917478E-2</c:v>
                </c:pt>
                <c:pt idx="44">
                  <c:v>-3.180683769890022E-2</c:v>
                </c:pt>
                <c:pt idx="45">
                  <c:v>-3.215830513865648E-2</c:v>
                </c:pt>
                <c:pt idx="46">
                  <c:v>-3.2505972595473887E-2</c:v>
                </c:pt>
                <c:pt idx="47">
                  <c:v>-3.2849960720896743E-2</c:v>
                </c:pt>
                <c:pt idx="48">
                  <c:v>-3.3190383913887143E-2</c:v>
                </c:pt>
                <c:pt idx="49">
                  <c:v>-3.3527350765277866E-2</c:v>
                </c:pt>
                <c:pt idx="50">
                  <c:v>-3.3860964462412137E-2</c:v>
                </c:pt>
                <c:pt idx="51">
                  <c:v>-3.4191323158244358E-2</c:v>
                </c:pt>
                <c:pt idx="52">
                  <c:v>-3.451852030864383E-2</c:v>
                </c:pt>
                <c:pt idx="53">
                  <c:v>-3.4842644981186721E-2</c:v>
                </c:pt>
                <c:pt idx="54">
                  <c:v>-3.5163782138327722E-2</c:v>
                </c:pt>
                <c:pt idx="55">
                  <c:v>-3.5482012897502524E-2</c:v>
                </c:pt>
                <c:pt idx="56">
                  <c:v>-3.5797414770417361E-2</c:v>
                </c:pt>
                <c:pt idx="57">
                  <c:v>-3.6110061883525689E-2</c:v>
                </c:pt>
                <c:pt idx="58">
                  <c:v>-3.6420025181468696E-2</c:v>
                </c:pt>
                <c:pt idx="59">
                  <c:v>-3.6727372615061558E-2</c:v>
                </c:pt>
                <c:pt idx="60">
                  <c:v>-3.7032169315236355E-2</c:v>
                </c:pt>
                <c:pt idx="61">
                  <c:v>-3.7334477754203191E-2</c:v>
                </c:pt>
                <c:pt idx="62">
                  <c:v>-3.7634357894958864E-2</c:v>
                </c:pt>
                <c:pt idx="63">
                  <c:v>-3.7931867330156736E-2</c:v>
                </c:pt>
                <c:pt idx="64">
                  <c:v>-3.822706141124859E-2</c:v>
                </c:pt>
                <c:pt idx="65">
                  <c:v>-3.8519993368718683E-2</c:v>
                </c:pt>
                <c:pt idx="66">
                  <c:v>-3.8810714424149559E-2</c:v>
                </c:pt>
                <c:pt idx="67">
                  <c:v>-3.9099273894787998E-2</c:v>
                </c:pt>
                <c:pt idx="68">
                  <c:v>-3.9385719291215308E-2</c:v>
                </c:pt>
                <c:pt idx="69">
                  <c:v>-3.9670096408669961E-2</c:v>
                </c:pt>
                <c:pt idx="70">
                  <c:v>-3.9952449412519492E-2</c:v>
                </c:pt>
                <c:pt idx="71">
                  <c:v>-4.0232820918333433E-2</c:v>
                </c:pt>
                <c:pt idx="72">
                  <c:v>-4.0511252066968352E-2</c:v>
                </c:pt>
                <c:pt idx="73">
                  <c:v>-4.0787782595039505E-2</c:v>
                </c:pt>
                <c:pt idx="74">
                  <c:v>-4.1062450901120935E-2</c:v>
                </c:pt>
                <c:pt idx="75">
                  <c:v>-4.1335294107986302E-2</c:v>
                </c:pt>
                <c:pt idx="76">
                  <c:v>-4.1606348121176008E-2</c:v>
                </c:pt>
                <c:pt idx="77">
                  <c:v>-4.1875647684152258E-2</c:v>
                </c:pt>
                <c:pt idx="78">
                  <c:v>-4.2143226430281837E-2</c:v>
                </c:pt>
                <c:pt idx="79">
                  <c:v>-4.2409116931866962E-2</c:v>
                </c:pt>
                <c:pt idx="80">
                  <c:v>-4.2673350746426329E-2</c:v>
                </c:pt>
                <c:pt idx="81">
                  <c:v>-4.293595846041269E-2</c:v>
                </c:pt>
                <c:pt idx="82">
                  <c:v>-4.3196969730538319E-2</c:v>
                </c:pt>
                <c:pt idx="83">
                  <c:v>-4.3456413322866427E-2</c:v>
                </c:pt>
                <c:pt idx="84">
                  <c:v>-4.3714317149814462E-2</c:v>
                </c:pt>
                <c:pt idx="85">
                  <c:v>-4.3970708305203846E-2</c:v>
                </c:pt>
                <c:pt idx="86">
                  <c:v>-4.4225613097480992E-2</c:v>
                </c:pt>
                <c:pt idx="87">
                  <c:v>-4.4479057081224661E-2</c:v>
                </c:pt>
                <c:pt idx="88">
                  <c:v>-4.4731065087046613E-2</c:v>
                </c:pt>
                <c:pt idx="89">
                  <c:v>-4.4981661249984539E-2</c:v>
                </c:pt>
                <c:pt idx="90">
                  <c:v>-4.5230869036479056E-2</c:v>
                </c:pt>
                <c:pt idx="91">
                  <c:v>-4.5478711270020386E-2</c:v>
                </c:pt>
                <c:pt idx="92">
                  <c:v>-4.5725210155543726E-2</c:v>
                </c:pt>
                <c:pt idx="93">
                  <c:v>-4.5970387302647332E-2</c:v>
                </c:pt>
                <c:pt idx="94">
                  <c:v>-4.6214263747701941E-2</c:v>
                </c:pt>
                <c:pt idx="95">
                  <c:v>-4.6456859974915624E-2</c:v>
                </c:pt>
                <c:pt idx="96">
                  <c:v>-4.6698195936413618E-2</c:v>
                </c:pt>
                <c:pt idx="97">
                  <c:v>-4.6938291071389006E-2</c:v>
                </c:pt>
                <c:pt idx="98">
                  <c:v>-4.7177164324376221E-2</c:v>
                </c:pt>
                <c:pt idx="99">
                  <c:v>-4.7414834162695922E-2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53-48E9-819B-5E97B30BCE8A}"/>
            </c:ext>
          </c:extLst>
        </c:ser>
        <c:ser>
          <c:idx val="9"/>
          <c:order val="9"/>
          <c:tx>
            <c:strRef>
              <c:f>Sheet1!$AH$137:$AH$137</c:f>
              <c:strCache>
                <c:ptCount val="1"/>
                <c:pt idx="0">
                  <c:v>0,99</c:v>
                </c:pt>
              </c:strCache>
            </c:strRef>
          </c:tx>
          <c:cat>
            <c:numRef>
              <c:f>Sheet1!$X$138:$X$237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Sheet1!$AH$138:$AH$237</c:f>
              <c:numCache>
                <c:formatCode>General</c:formatCode>
                <c:ptCount val="100"/>
                <c:pt idx="0">
                  <c:v>-5.521391028290158E-3</c:v>
                </c:pt>
                <c:pt idx="1">
                  <c:v>-7.8084260753730718E-3</c:v>
                </c:pt>
                <c:pt idx="2">
                  <c:v>-9.5633297894535223E-3</c:v>
                </c:pt>
                <c:pt idx="3">
                  <c:v>-1.1042782056580316E-2</c:v>
                </c:pt>
                <c:pt idx="4">
                  <c:v>-1.2346205669614259E-2</c:v>
                </c:pt>
                <c:pt idx="5">
                  <c:v>-1.3524590689691805E-2</c:v>
                </c:pt>
                <c:pt idx="6">
                  <c:v>-1.4608227551998955E-2</c:v>
                </c:pt>
                <c:pt idx="7">
                  <c:v>-1.5616852150746144E-2</c:v>
                </c:pt>
                <c:pt idx="8">
                  <c:v>-1.6564173084870473E-2</c:v>
                </c:pt>
                <c:pt idx="9">
                  <c:v>-1.7460171501816085E-2</c:v>
                </c:pt>
                <c:pt idx="10">
                  <c:v>-1.831238236167303E-2</c:v>
                </c:pt>
                <c:pt idx="11">
                  <c:v>-1.9126659578907045E-2</c:v>
                </c:pt>
                <c:pt idx="12">
                  <c:v>-1.9907658464387006E-2</c:v>
                </c:pt>
                <c:pt idx="13">
                  <c:v>-2.0659153526269236E-2</c:v>
                </c:pt>
                <c:pt idx="14">
                  <c:v>-2.1384255500466829E-2</c:v>
                </c:pt>
                <c:pt idx="15">
                  <c:v>-2.2085564113160632E-2</c:v>
                </c:pt>
                <c:pt idx="16">
                  <c:v>-2.2765278409978031E-2</c:v>
                </c:pt>
                <c:pt idx="17">
                  <c:v>-2.3425278226119211E-2</c:v>
                </c:pt>
                <c:pt idx="18">
                  <c:v>-2.4067185520088925E-2</c:v>
                </c:pt>
                <c:pt idx="19">
                  <c:v>-2.4692411339228518E-2</c:v>
                </c:pt>
                <c:pt idx="20">
                  <c:v>-2.5302192328589709E-2</c:v>
                </c:pt>
                <c:pt idx="21">
                  <c:v>-2.5897619495239849E-2</c:v>
                </c:pt>
                <c:pt idx="22">
                  <c:v>-2.647966114600997E-2</c:v>
                </c:pt>
                <c:pt idx="23">
                  <c:v>-2.704918137938361E-2</c:v>
                </c:pt>
                <c:pt idx="24">
                  <c:v>-2.7606955141450791E-2</c:v>
                </c:pt>
                <c:pt idx="25">
                  <c:v>-2.8153680595427645E-2</c:v>
                </c:pt>
                <c:pt idx="26">
                  <c:v>-2.8689989368360567E-2</c:v>
                </c:pt>
                <c:pt idx="27">
                  <c:v>-2.921645510399791E-2</c:v>
                </c:pt>
                <c:pt idx="28">
                  <c:v>-2.9733600651976347E-2</c:v>
                </c:pt>
                <c:pt idx="29">
                  <c:v>-3.0241904150011642E-2</c:v>
                </c:pt>
                <c:pt idx="30">
                  <c:v>-3.0741804200563348E-2</c:v>
                </c:pt>
                <c:pt idx="31">
                  <c:v>-3.1233704301492287E-2</c:v>
                </c:pt>
                <c:pt idx="32">
                  <c:v>-3.1717976658045835E-2</c:v>
                </c:pt>
                <c:pt idx="33">
                  <c:v>-3.219496547859034E-2</c:v>
                </c:pt>
                <c:pt idx="34">
                  <c:v>-3.2664989837055007E-2</c:v>
                </c:pt>
                <c:pt idx="35">
                  <c:v>-3.3128346169740946E-2</c:v>
                </c:pt>
                <c:pt idx="36">
                  <c:v>-3.3585310462008126E-2</c:v>
                </c:pt>
                <c:pt idx="37">
                  <c:v>-3.4036140170659125E-2</c:v>
                </c:pt>
                <c:pt idx="38">
                  <c:v>-3.4481075920046914E-2</c:v>
                </c:pt>
                <c:pt idx="39">
                  <c:v>-3.492034300363217E-2</c:v>
                </c:pt>
                <c:pt idx="40">
                  <c:v>-3.5354152717588988E-2</c:v>
                </c:pt>
                <c:pt idx="41">
                  <c:v>-3.578270354886405E-2</c:v>
                </c:pt>
                <c:pt idx="42">
                  <c:v>-3.6206182236645318E-2</c:v>
                </c:pt>
                <c:pt idx="43">
                  <c:v>-3.6624764723346061E-2</c:v>
                </c:pt>
                <c:pt idx="44">
                  <c:v>-3.7038617008842777E-2</c:v>
                </c:pt>
                <c:pt idx="45">
                  <c:v>-3.7447895919731196E-2</c:v>
                </c:pt>
                <c:pt idx="46">
                  <c:v>-3.7852749803710471E-2</c:v>
                </c:pt>
                <c:pt idx="47">
                  <c:v>-3.8253319157814089E-2</c:v>
                </c:pt>
                <c:pt idx="48">
                  <c:v>-3.8649737198031109E-2</c:v>
                </c:pt>
                <c:pt idx="49">
                  <c:v>-3.9042130376865353E-2</c:v>
                </c:pt>
                <c:pt idx="50">
                  <c:v>-3.9430618854532778E-2</c:v>
                </c:pt>
                <c:pt idx="51">
                  <c:v>-3.9815316928774012E-2</c:v>
                </c:pt>
                <c:pt idx="52">
                  <c:v>-4.019633342763991E-2</c:v>
                </c:pt>
                <c:pt idx="53">
                  <c:v>-4.057377206907542E-2</c:v>
                </c:pt>
                <c:pt idx="54">
                  <c:v>-4.0947731790669038E-2</c:v>
                </c:pt>
                <c:pt idx="55">
                  <c:v>-4.1318307052538472E-2</c:v>
                </c:pt>
                <c:pt idx="56">
                  <c:v>-4.1685588115980013E-2</c:v>
                </c:pt>
                <c:pt idx="57">
                  <c:v>-4.2049661300210456E-2</c:v>
                </c:pt>
                <c:pt idx="58">
                  <c:v>-4.2410609219270826E-2</c:v>
                </c:pt>
                <c:pt idx="59">
                  <c:v>-4.2768511000933658E-2</c:v>
                </c:pt>
                <c:pt idx="60">
                  <c:v>-4.3123442489257112E-2</c:v>
                </c:pt>
                <c:pt idx="61">
                  <c:v>-4.3475476432254877E-2</c:v>
                </c:pt>
                <c:pt idx="62">
                  <c:v>-4.3824682655996865E-2</c:v>
                </c:pt>
                <c:pt idx="63">
                  <c:v>-4.4171128226321264E-2</c:v>
                </c:pt>
                <c:pt idx="64">
                  <c:v>-4.4514877599218419E-2</c:v>
                </c:pt>
                <c:pt idx="65">
                  <c:v>-4.4855992760841686E-2</c:v>
                </c:pt>
                <c:pt idx="66">
                  <c:v>-4.5194533358006522E-2</c:v>
                </c:pt>
                <c:pt idx="67">
                  <c:v>-4.5530556819956061E-2</c:v>
                </c:pt>
                <c:pt idx="68">
                  <c:v>-4.5864118472096795E-2</c:v>
                </c:pt>
                <c:pt idx="69">
                  <c:v>-4.6195271642342502E-2</c:v>
                </c:pt>
                <c:pt idx="70">
                  <c:v>-4.6524067760645098E-2</c:v>
                </c:pt>
                <c:pt idx="71">
                  <c:v>-4.6850556452238422E-2</c:v>
                </c:pt>
                <c:pt idx="72">
                  <c:v>-4.7174785625073719E-2</c:v>
                </c:pt>
                <c:pt idx="73">
                  <c:v>-4.7496801551882899E-2</c:v>
                </c:pt>
                <c:pt idx="74">
                  <c:v>-4.7816648947267615E-2</c:v>
                </c:pt>
                <c:pt idx="75">
                  <c:v>-4.8134371040177849E-2</c:v>
                </c:pt>
                <c:pt idx="76">
                  <c:v>-4.8450009642112511E-2</c:v>
                </c:pt>
                <c:pt idx="77">
                  <c:v>-4.8763605211346692E-2</c:v>
                </c:pt>
                <c:pt idx="78">
                  <c:v>-4.9075196913464958E-2</c:v>
                </c:pt>
                <c:pt idx="79">
                  <c:v>-4.9384822678457035E-2</c:v>
                </c:pt>
                <c:pt idx="80">
                  <c:v>-4.969251925461142E-2</c:v>
                </c:pt>
                <c:pt idx="81">
                  <c:v>-4.9998322259423966E-2</c:v>
                </c:pt>
                <c:pt idx="82">
                  <c:v>-5.0302266227720729E-2</c:v>
                </c:pt>
                <c:pt idx="83">
                  <c:v>-5.0604384657179417E-2</c:v>
                </c:pt>
                <c:pt idx="84">
                  <c:v>-5.0904710051419201E-2</c:v>
                </c:pt>
                <c:pt idx="85">
                  <c:v>-5.120327396081565E-2</c:v>
                </c:pt>
                <c:pt idx="86">
                  <c:v>-5.1500107021186139E-2</c:v>
                </c:pt>
                <c:pt idx="87">
                  <c:v>-5.1795238990479699E-2</c:v>
                </c:pt>
                <c:pt idx="88">
                  <c:v>-5.2088698783595955E-2</c:v>
                </c:pt>
                <c:pt idx="89">
                  <c:v>-5.2380514505448249E-2</c:v>
                </c:pt>
                <c:pt idx="90">
                  <c:v>-5.2670713482378013E-2</c:v>
                </c:pt>
                <c:pt idx="91">
                  <c:v>-5.2959322292019939E-2</c:v>
                </c:pt>
                <c:pt idx="92">
                  <c:v>-5.3246366791710055E-2</c:v>
                </c:pt>
                <c:pt idx="93">
                  <c:v>-5.3531872145522866E-2</c:v>
                </c:pt>
                <c:pt idx="94">
                  <c:v>-5.3815862850017458E-2</c:v>
                </c:pt>
                <c:pt idx="95">
                  <c:v>-5.409836275876722E-2</c:v>
                </c:pt>
                <c:pt idx="96">
                  <c:v>-5.4379395105742537E-2</c:v>
                </c:pt>
                <c:pt idx="97">
                  <c:v>-5.4658982527611498E-2</c:v>
                </c:pt>
                <c:pt idx="98">
                  <c:v>-5.4937147085019095E-2</c:v>
                </c:pt>
                <c:pt idx="99">
                  <c:v>-5.5213910282901582E-2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53-48E9-819B-5E97B30BCE8A}"/>
            </c:ext>
          </c:extLst>
        </c:ser>
        <c:ser>
          <c:idx val="10"/>
          <c:order val="10"/>
          <c:tx>
            <c:strRef>
              <c:f>Sheet1!$AI$137:$AI$137</c:f>
              <c:strCache>
                <c:ptCount val="1"/>
                <c:pt idx="0">
                  <c:v>0,995</c:v>
                </c:pt>
              </c:strCache>
            </c:strRef>
          </c:tx>
          <c:cat>
            <c:numRef>
              <c:f>Sheet1!$X$138:$X$237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Sheet1!$AI$138:$AI$237</c:f>
              <c:numCache>
                <c:formatCode>General</c:formatCode>
                <c:ptCount val="100"/>
                <c:pt idx="0">
                  <c:v>-6.2351592081022105E-3</c:v>
                </c:pt>
                <c:pt idx="1">
                  <c:v>-8.8178467156536343E-3</c:v>
                </c:pt>
                <c:pt idx="2">
                  <c:v>-1.0799612541713955E-2</c:v>
                </c:pt>
                <c:pt idx="3">
                  <c:v>-1.2470318416204421E-2</c:v>
                </c:pt>
                <c:pt idx="4">
                  <c:v>-1.3942239839850301E-2</c:v>
                </c:pt>
                <c:pt idx="5">
                  <c:v>-1.5272958524866447E-2</c:v>
                </c:pt>
                <c:pt idx="6">
                  <c:v>-1.6496680649532879E-2</c:v>
                </c:pt>
                <c:pt idx="7">
                  <c:v>-1.7635693431307269E-2</c:v>
                </c:pt>
                <c:pt idx="8">
                  <c:v>-1.8705477624306632E-2</c:v>
                </c:pt>
                <c:pt idx="9">
                  <c:v>-1.9717304671374784E-2</c:v>
                </c:pt>
                <c:pt idx="10">
                  <c:v>-2.0679683601404535E-2</c:v>
                </c:pt>
                <c:pt idx="11">
                  <c:v>-2.159922508342791E-2</c:v>
                </c:pt>
                <c:pt idx="12">
                  <c:v>-2.2481186235493961E-2</c:v>
                </c:pt>
                <c:pt idx="13">
                  <c:v>-2.3329829508707194E-2</c:v>
                </c:pt>
                <c:pt idx="14">
                  <c:v>-2.4148667773931688E-2</c:v>
                </c:pt>
                <c:pt idx="15">
                  <c:v>-2.4940636832408842E-2</c:v>
                </c:pt>
                <c:pt idx="16">
                  <c:v>-2.570822000754798E-2</c:v>
                </c:pt>
                <c:pt idx="17">
                  <c:v>-2.6453540146960899E-2</c:v>
                </c:pt>
                <c:pt idx="18">
                  <c:v>-2.717842888500463E-2</c:v>
                </c:pt>
                <c:pt idx="19">
                  <c:v>-2.7884479679700602E-2</c:v>
                </c:pt>
                <c:pt idx="20">
                  <c:v>-2.857308904122929E-2</c:v>
                </c:pt>
                <c:pt idx="21">
                  <c:v>-2.9245489014690783E-2</c:v>
                </c:pt>
                <c:pt idx="22">
                  <c:v>-2.990277308309015E-2</c:v>
                </c:pt>
                <c:pt idx="23">
                  <c:v>-3.0545917049732894E-2</c:v>
                </c:pt>
                <c:pt idx="24">
                  <c:v>-3.1175796040511052E-2</c:v>
                </c:pt>
                <c:pt idx="25">
                  <c:v>-3.1793198472470904E-2</c:v>
                </c:pt>
                <c:pt idx="26">
                  <c:v>-3.2398837625141869E-2</c:v>
                </c:pt>
                <c:pt idx="27">
                  <c:v>-3.2993361299065757E-2</c:v>
                </c:pt>
                <c:pt idx="28">
                  <c:v>-3.3577359934352666E-2</c:v>
                </c:pt>
                <c:pt idx="29">
                  <c:v>-3.4151373479136292E-2</c:v>
                </c:pt>
                <c:pt idx="30">
                  <c:v>-3.4715897235442945E-2</c:v>
                </c:pt>
                <c:pt idx="31">
                  <c:v>-3.5271386862614537E-2</c:v>
                </c:pt>
                <c:pt idx="32">
                  <c:v>-3.5818262682081596E-2</c:v>
                </c:pt>
                <c:pt idx="33">
                  <c:v>-3.6356913399145707E-2</c:v>
                </c:pt>
                <c:pt idx="34">
                  <c:v>-3.6887699335460898E-2</c:v>
                </c:pt>
                <c:pt idx="35">
                  <c:v>-3.7410955248613265E-2</c:v>
                </c:pt>
                <c:pt idx="36">
                  <c:v>-3.7926992801488042E-2</c:v>
                </c:pt>
                <c:pt idx="37">
                  <c:v>-3.8436102733166215E-2</c:v>
                </c:pt>
                <c:pt idx="38">
                  <c:v>-3.8938556774293649E-2</c:v>
                </c:pt>
                <c:pt idx="39">
                  <c:v>-3.9434609342749567E-2</c:v>
                </c:pt>
                <c:pt idx="40">
                  <c:v>-3.9924499049651868E-2</c:v>
                </c:pt>
                <c:pt idx="41">
                  <c:v>-4.0408450041000521E-2</c:v>
                </c:pt>
                <c:pt idx="42">
                  <c:v>-4.088667319636579E-2</c:v>
                </c:pt>
                <c:pt idx="43">
                  <c:v>-4.1359367202809069E-2</c:v>
                </c:pt>
                <c:pt idx="44">
                  <c:v>-4.1826719519550901E-2</c:v>
                </c:pt>
                <c:pt idx="45">
                  <c:v>-4.2288907246671226E-2</c:v>
                </c:pt>
                <c:pt idx="46">
                  <c:v>-4.2746097909258852E-2</c:v>
                </c:pt>
                <c:pt idx="47">
                  <c:v>-4.319845016685582E-2</c:v>
                </c:pt>
                <c:pt idx="48">
                  <c:v>-4.3646114456715471E-2</c:v>
                </c:pt>
                <c:pt idx="49">
                  <c:v>-4.4089233578268168E-2</c:v>
                </c:pt>
                <c:pt idx="50">
                  <c:v>-4.4527943225231854E-2</c:v>
                </c:pt>
                <c:pt idx="51">
                  <c:v>-4.4962372470987923E-2</c:v>
                </c:pt>
                <c:pt idx="52">
                  <c:v>-4.5392644212143389E-2</c:v>
                </c:pt>
                <c:pt idx="53">
                  <c:v>-4.5818875574599342E-2</c:v>
                </c:pt>
                <c:pt idx="54">
                  <c:v>-4.6241178285928206E-2</c:v>
                </c:pt>
                <c:pt idx="55">
                  <c:v>-4.6659659017414389E-2</c:v>
                </c:pt>
                <c:pt idx="56">
                  <c:v>-4.707441969872557E-2</c:v>
                </c:pt>
                <c:pt idx="57">
                  <c:v>-4.7485557807844518E-2</c:v>
                </c:pt>
                <c:pt idx="58">
                  <c:v>-4.7893166638598092E-2</c:v>
                </c:pt>
                <c:pt idx="59">
                  <c:v>-4.8297335547863376E-2</c:v>
                </c:pt>
                <c:pt idx="60">
                  <c:v>-4.8698150184306677E-2</c:v>
                </c:pt>
                <c:pt idx="61">
                  <c:v>-4.9095692700314053E-2</c:v>
                </c:pt>
                <c:pt idx="62">
                  <c:v>-4.9490041948598636E-2</c:v>
                </c:pt>
                <c:pt idx="63">
                  <c:v>-4.9881273664817684E-2</c:v>
                </c:pt>
                <c:pt idx="64">
                  <c:v>-5.0269460637397095E-2</c:v>
                </c:pt>
                <c:pt idx="65">
                  <c:v>-5.0654672865641903E-2</c:v>
                </c:pt>
                <c:pt idx="66">
                  <c:v>-5.1036977707105462E-2</c:v>
                </c:pt>
                <c:pt idx="67">
                  <c:v>-5.141644001509596E-2</c:v>
                </c:pt>
                <c:pt idx="68">
                  <c:v>-5.1793122267115188E-2</c:v>
                </c:pt>
                <c:pt idx="69">
                  <c:v>-5.2167084684949808E-2</c:v>
                </c:pt>
                <c:pt idx="70">
                  <c:v>-5.2538385347068929E-2</c:v>
                </c:pt>
                <c:pt idx="71">
                  <c:v>-5.2907080293921799E-2</c:v>
                </c:pt>
                <c:pt idx="72">
                  <c:v>-5.3273223626676372E-2</c:v>
                </c:pt>
                <c:pt idx="73">
                  <c:v>-5.3636867599891142E-2</c:v>
                </c:pt>
                <c:pt idx="74">
                  <c:v>-5.3998062708569779E-2</c:v>
                </c:pt>
                <c:pt idx="75">
                  <c:v>-5.4356857770009259E-2</c:v>
                </c:pt>
                <c:pt idx="76">
                  <c:v>-5.4713300000816964E-2</c:v>
                </c:pt>
                <c:pt idx="77">
                  <c:v>-5.5067435089440835E-2</c:v>
                </c:pt>
                <c:pt idx="78">
                  <c:v>-5.5419307264527956E-2</c:v>
                </c:pt>
                <c:pt idx="79">
                  <c:v>-5.5768959359401203E-2</c:v>
                </c:pt>
                <c:pt idx="80">
                  <c:v>-5.6116432872919897E-2</c:v>
                </c:pt>
                <c:pt idx="81">
                  <c:v>-5.6461768026969422E-2</c:v>
                </c:pt>
                <c:pt idx="82">
                  <c:v>-5.6805003820805153E-2</c:v>
                </c:pt>
                <c:pt idx="83">
                  <c:v>-5.714617808245858E-2</c:v>
                </c:pt>
                <c:pt idx="84">
                  <c:v>-5.748532751739744E-2</c:v>
                </c:pt>
                <c:pt idx="85">
                  <c:v>-5.7822487754617007E-2</c:v>
                </c:pt>
                <c:pt idx="86">
                  <c:v>-5.8157693390326407E-2</c:v>
                </c:pt>
                <c:pt idx="87">
                  <c:v>-5.8490978029381566E-2</c:v>
                </c:pt>
                <c:pt idx="88">
                  <c:v>-5.8822374324605242E-2</c:v>
                </c:pt>
                <c:pt idx="89">
                  <c:v>-5.9151914014124347E-2</c:v>
                </c:pt>
                <c:pt idx="90">
                  <c:v>-5.9479627956845374E-2</c:v>
                </c:pt>
                <c:pt idx="91">
                  <c:v>-5.98055461661803E-2</c:v>
                </c:pt>
                <c:pt idx="92">
                  <c:v>-6.0129697842127114E-2</c:v>
                </c:pt>
                <c:pt idx="93">
                  <c:v>-6.0452111401802074E-2</c:v>
                </c:pt>
                <c:pt idx="94">
                  <c:v>-6.0772814508514156E-2</c:v>
                </c:pt>
                <c:pt idx="95">
                  <c:v>-6.1091834099465787E-2</c:v>
                </c:pt>
                <c:pt idx="96">
                  <c:v>-6.1409196412158272E-2</c:v>
                </c:pt>
                <c:pt idx="97">
                  <c:v>-6.1724927009575437E-2</c:v>
                </c:pt>
                <c:pt idx="98">
                  <c:v>-6.2039050804213604E-2</c:v>
                </c:pt>
                <c:pt idx="99">
                  <c:v>-6.2351592081022103E-2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53-48E9-819B-5E97B30BCE8A}"/>
            </c:ext>
          </c:extLst>
        </c:ser>
        <c:bandFmts/>
        <c:axId val="451774144"/>
        <c:axId val="451775944"/>
        <c:axId val="456008888"/>
      </c:surface3DChart>
      <c:valAx>
        <c:axId val="451775944"/>
        <c:scaling>
          <c:orientation val="minMax"/>
        </c:scaling>
        <c:delete val="0"/>
        <c:axPos val="r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it-IT"/>
          </a:p>
        </c:txPr>
        <c:crossAx val="451774144"/>
        <c:crosses val="autoZero"/>
        <c:crossBetween val="midCat"/>
      </c:valAx>
      <c:catAx>
        <c:axId val="451774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8" cap="flat">
            <a:solidFill>
              <a:srgbClr val="D9D9D9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it-IT"/>
          </a:p>
        </c:txPr>
        <c:crossAx val="451775944"/>
        <c:crosses val="autoZero"/>
        <c:auto val="1"/>
        <c:lblAlgn val="ctr"/>
        <c:lblOffset val="100"/>
        <c:noMultiLvlLbl val="0"/>
      </c:catAx>
      <c:serAx>
        <c:axId val="456008888"/>
        <c:scaling>
          <c:orientation val="minMax"/>
        </c:scaling>
        <c:delete val="0"/>
        <c:axPos val="b"/>
        <c:numFmt formatCode="#.##000" sourceLinked="0"/>
        <c:majorTickMark val="out"/>
        <c:minorTickMark val="none"/>
        <c:tickLblPos val="low"/>
        <c:spPr>
          <a:noFill/>
          <a:ln w="9528" cap="flat">
            <a:solidFill>
              <a:srgbClr val="D9D9D9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it-IT"/>
          </a:p>
        </c:txPr>
        <c:crossAx val="451775944"/>
        <c:crosses val="autoZero"/>
      </c:serAx>
      <c:spPr>
        <a:noFill/>
        <a:ln>
          <a:noFill/>
        </a:ln>
      </c:spPr>
    </c:plotArea>
    <c:plotVisOnly val="1"/>
    <c:dispBlanksAs val="zero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it-IT" sz="1000" b="0" i="0" u="none" strike="noStrike" kern="1200" baseline="0">
          <a:solidFill>
            <a:srgbClr val="000000"/>
          </a:solidFill>
          <a:latin typeface="Calibri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400" b="0" i="0" u="none" strike="noStrike" kern="1200" spc="0" baseline="0">
                <a:solidFill>
                  <a:srgbClr val="595959"/>
                </a:solidFill>
                <a:latin typeface="Calibri"/>
              </a:defRPr>
            </a:pPr>
            <a:r>
              <a:rPr lang="it-IT" sz="1400" b="0" i="0" u="none" strike="noStrike" kern="1200" cap="none" spc="0" baseline="0">
                <a:solidFill>
                  <a:srgbClr val="595959"/>
                </a:solidFill>
                <a:uFillTx/>
                <a:latin typeface="Calibri"/>
              </a:rPr>
              <a:t>SE VaR, </a:t>
            </a:r>
            <a:r>
              <a:rPr lang="el-GR" sz="1400" b="0" i="0" u="none" strike="noStrike" kern="1200" cap="none" spc="0" baseline="0">
                <a:solidFill>
                  <a:srgbClr val="595959"/>
                </a:solidFill>
                <a:uFillTx/>
                <a:latin typeface="Arial" panose="020B0604020202020204" pitchFamily="34" charset="0"/>
                <a:cs typeface="Arial" panose="020B0604020202020204" pitchFamily="34" charset="0"/>
              </a:rPr>
              <a:t>σ</a:t>
            </a:r>
            <a:r>
              <a:rPr lang="it-IT" sz="1400" b="0" i="0" u="none" strike="noStrike" kern="1200" cap="none" spc="0" baseline="0">
                <a:solidFill>
                  <a:srgbClr val="595959"/>
                </a:solidFill>
                <a:uFillTx/>
                <a:latin typeface="Arial" panose="020B0604020202020204" pitchFamily="34" charset="0"/>
                <a:cs typeface="Arial" panose="020B0604020202020204" pitchFamily="34" charset="0"/>
              </a:rPr>
              <a:t> EWMA</a:t>
            </a:r>
          </a:p>
        </c:rich>
      </c:tx>
      <c:overlay val="0"/>
      <c:spPr>
        <a:noFill/>
        <a:ln>
          <a:noFill/>
        </a:ln>
      </c:spPr>
    </c:title>
    <c:autoTitleDeleted val="0"/>
    <c:view3D>
      <c:rotX val="0"/>
      <c:rotY val="119"/>
      <c:depthPercent val="230"/>
      <c:rAngAx val="0"/>
    </c:view3D>
    <c:floor>
      <c:thickness val="0"/>
      <c:spPr>
        <a:noFill/>
        <a:ln>
          <a:noFill/>
        </a:ln>
      </c:spPr>
    </c:floor>
    <c:sideWall>
      <c:thickness val="0"/>
      <c:spPr>
        <a:noFill/>
        <a:ln>
          <a:noFill/>
        </a:ln>
      </c:spPr>
    </c:sideWall>
    <c:backWall>
      <c:thickness val="0"/>
      <c:spPr>
        <a:noFill/>
        <a:ln>
          <a:noFill/>
        </a:ln>
      </c:spPr>
    </c:backWall>
    <c:plotArea>
      <c:layout>
        <c:manualLayout>
          <c:layoutTarget val="inner"/>
          <c:xMode val="edge"/>
          <c:yMode val="edge"/>
          <c:x val="8.8803149606299217E-2"/>
          <c:y val="0.16708333333333336"/>
          <c:w val="0.88897462817147854"/>
          <c:h val="0.69903944298629339"/>
        </c:manualLayout>
      </c:layout>
      <c:surface3DChart>
        <c:wireframe val="0"/>
        <c:ser>
          <c:idx val="0"/>
          <c:order val="0"/>
          <c:tx>
            <c:strRef>
              <c:f>Sheet1!$AL$137:$AL$137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Sheet1!$AK$138:$AK$237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Sheet1!$AL$138:$AL$237</c:f>
              <c:numCache>
                <c:formatCode>General</c:formatCode>
                <c:ptCount val="100"/>
                <c:pt idx="0">
                  <c:v>-1.9020400179310748E-3</c:v>
                </c:pt>
                <c:pt idx="1">
                  <c:v>-2.6898907895344911E-3</c:v>
                </c:pt>
                <c:pt idx="2">
                  <c:v>-3.2944299490858396E-3</c:v>
                </c:pt>
                <c:pt idx="3">
                  <c:v>-3.8040800358621497E-3</c:v>
                </c:pt>
                <c:pt idx="4">
                  <c:v>-4.2530907760188023E-3</c:v>
                </c:pt>
                <c:pt idx="5">
                  <c:v>-4.6590275142852997E-3</c:v>
                </c:pt>
                <c:pt idx="6">
                  <c:v>-5.0323248711384586E-3</c:v>
                </c:pt>
                <c:pt idx="7">
                  <c:v>-5.3797815790689821E-3</c:v>
                </c:pt>
                <c:pt idx="8">
                  <c:v>-5.7061200537932245E-3</c:v>
                </c:pt>
                <c:pt idx="9">
                  <c:v>-6.0147786574497016E-3</c:v>
                </c:pt>
                <c:pt idx="10">
                  <c:v>-6.3083530757182321E-3</c:v>
                </c:pt>
                <c:pt idx="11">
                  <c:v>-6.5888598981716793E-3</c:v>
                </c:pt>
                <c:pt idx="12">
                  <c:v>-6.8579028126349358E-3</c:v>
                </c:pt>
                <c:pt idx="13">
                  <c:v>-7.1167820830314458E-3</c:v>
                </c:pt>
                <c:pt idx="14">
                  <c:v>-7.3665693132671101E-3</c:v>
                </c:pt>
                <c:pt idx="15">
                  <c:v>-7.6081600717242993E-3</c:v>
                </c:pt>
                <c:pt idx="16">
                  <c:v>-7.8423118980815304E-3</c:v>
                </c:pt>
                <c:pt idx="17">
                  <c:v>-8.0696723686034724E-3</c:v>
                </c:pt>
                <c:pt idx="18">
                  <c:v>-8.2908002247318469E-3</c:v>
                </c:pt>
                <c:pt idx="19">
                  <c:v>-8.5061815520376047E-3</c:v>
                </c:pt>
                <c:pt idx="20">
                  <c:v>-8.716242357004314E-3</c:v>
                </c:pt>
                <c:pt idx="21">
                  <c:v>-8.9213584759187531E-3</c:v>
                </c:pt>
                <c:pt idx="22">
                  <c:v>-9.1218634765961384E-3</c:v>
                </c:pt>
                <c:pt idx="23">
                  <c:v>-9.3180550285705994E-3</c:v>
                </c:pt>
                <c:pt idx="24">
                  <c:v>-9.5102000896553733E-3</c:v>
                </c:pt>
                <c:pt idx="25">
                  <c:v>-9.69853916706492E-3</c:v>
                </c:pt>
                <c:pt idx="26">
                  <c:v>-9.883289847257521E-3</c:v>
                </c:pt>
                <c:pt idx="27">
                  <c:v>-1.0064649742276917E-2</c:v>
                </c:pt>
                <c:pt idx="28">
                  <c:v>-1.0242798966323905E-2</c:v>
                </c:pt>
                <c:pt idx="29">
                  <c:v>-1.0417902230983803E-2</c:v>
                </c:pt>
                <c:pt idx="30">
                  <c:v>-1.0590110628513213E-2</c:v>
                </c:pt>
                <c:pt idx="31">
                  <c:v>-1.0759563158137964E-2</c:v>
                </c:pt>
                <c:pt idx="32">
                  <c:v>-1.0926388039227375E-2</c:v>
                </c:pt>
                <c:pt idx="33">
                  <c:v>-1.109070384662679E-2</c:v>
                </c:pt>
                <c:pt idx="34">
                  <c:v>-1.1252620496728464E-2</c:v>
                </c:pt>
                <c:pt idx="35">
                  <c:v>-1.1412240107586449E-2</c:v>
                </c:pt>
                <c:pt idx="36">
                  <c:v>-1.1569657752198896E-2</c:v>
                </c:pt>
                <c:pt idx="37">
                  <c:v>-1.1724962120741681E-2</c:v>
                </c:pt>
                <c:pt idx="38">
                  <c:v>-1.1878236104853217E-2</c:v>
                </c:pt>
                <c:pt idx="39">
                  <c:v>-1.2029557314899403E-2</c:v>
                </c:pt>
                <c:pt idx="40">
                  <c:v>-1.2178998539381675E-2</c:v>
                </c:pt>
                <c:pt idx="41">
                  <c:v>-1.2326628154206333E-2</c:v>
                </c:pt>
                <c:pt idx="42">
                  <c:v>-1.2472510488345297E-2</c:v>
                </c:pt>
                <c:pt idx="43">
                  <c:v>-1.2616706151436464E-2</c:v>
                </c:pt>
                <c:pt idx="44">
                  <c:v>-1.2759272328056407E-2</c:v>
                </c:pt>
                <c:pt idx="45">
                  <c:v>-1.2900263042718052E-2</c:v>
                </c:pt>
                <c:pt idx="46">
                  <c:v>-1.3039729399076057E-2</c:v>
                </c:pt>
                <c:pt idx="47">
                  <c:v>-1.3177719796343359E-2</c:v>
                </c:pt>
                <c:pt idx="48">
                  <c:v>-1.3314280125517525E-2</c:v>
                </c:pt>
                <c:pt idx="49">
                  <c:v>-1.3449453947672455E-2</c:v>
                </c:pt>
                <c:pt idx="50">
                  <c:v>-1.358328265627913E-2</c:v>
                </c:pt>
                <c:pt idx="51">
                  <c:v>-1.3715805625269872E-2</c:v>
                </c:pt>
                <c:pt idx="52">
                  <c:v>-1.3847060344347312E-2</c:v>
                </c:pt>
                <c:pt idx="53">
                  <c:v>-1.3977082542855901E-2</c:v>
                </c:pt>
                <c:pt idx="54">
                  <c:v>-1.4105906303375845E-2</c:v>
                </c:pt>
                <c:pt idx="55">
                  <c:v>-1.4233564166062892E-2</c:v>
                </c:pt>
                <c:pt idx="56">
                  <c:v>-1.4360087224639023E-2</c:v>
                </c:pt>
                <c:pt idx="57">
                  <c:v>-1.4485505214836386E-2</c:v>
                </c:pt>
                <c:pt idx="58">
                  <c:v>-1.4609846596007206E-2</c:v>
                </c:pt>
                <c:pt idx="59">
                  <c:v>-1.473313862653422E-2</c:v>
                </c:pt>
                <c:pt idx="60">
                  <c:v>-1.4855407433607663E-2</c:v>
                </c:pt>
                <c:pt idx="61">
                  <c:v>-1.4976678077874849E-2</c:v>
                </c:pt>
                <c:pt idx="62">
                  <c:v>-1.5096974613415377E-2</c:v>
                </c:pt>
                <c:pt idx="63">
                  <c:v>-1.5216320143448599E-2</c:v>
                </c:pt>
                <c:pt idx="64">
                  <c:v>-1.5334736872138719E-2</c:v>
                </c:pt>
                <c:pt idx="65">
                  <c:v>-1.5452246152826523E-2</c:v>
                </c:pt>
                <c:pt idx="66">
                  <c:v>-1.5568868532984448E-2</c:v>
                </c:pt>
                <c:pt idx="67">
                  <c:v>-1.5684623796163061E-2</c:v>
                </c:pt>
                <c:pt idx="68">
                  <c:v>-1.5799531001171388E-2</c:v>
                </c:pt>
                <c:pt idx="69">
                  <c:v>-1.5913608518710865E-2</c:v>
                </c:pt>
                <c:pt idx="70">
                  <c:v>-1.6026874065662285E-2</c:v>
                </c:pt>
                <c:pt idx="71">
                  <c:v>-1.6139344737206945E-2</c:v>
                </c:pt>
                <c:pt idx="72">
                  <c:v>-1.6251037036946928E-2</c:v>
                </c:pt>
                <c:pt idx="73">
                  <c:v>-1.6361966905174694E-2</c:v>
                </c:pt>
                <c:pt idx="74">
                  <c:v>-1.6472149745429203E-2</c:v>
                </c:pt>
                <c:pt idx="75">
                  <c:v>-1.6581600449463694E-2</c:v>
                </c:pt>
                <c:pt idx="76">
                  <c:v>-1.6690333420739854E-2</c:v>
                </c:pt>
                <c:pt idx="77">
                  <c:v>-1.6798362596553186E-2</c:v>
                </c:pt>
                <c:pt idx="78">
                  <c:v>-1.6905701468885821E-2</c:v>
                </c:pt>
                <c:pt idx="79">
                  <c:v>-1.7012363104075209E-2</c:v>
                </c:pt>
                <c:pt idx="80">
                  <c:v>-1.7118360161379673E-2</c:v>
                </c:pt>
                <c:pt idx="81">
                  <c:v>-1.7223704910515683E-2</c:v>
                </c:pt>
                <c:pt idx="82">
                  <c:v>-1.7328409248235491E-2</c:v>
                </c:pt>
                <c:pt idx="83">
                  <c:v>-1.7432484714008628E-2</c:v>
                </c:pt>
                <c:pt idx="84">
                  <c:v>-1.7535942504865704E-2</c:v>
                </c:pt>
                <c:pt idx="85">
                  <c:v>-1.7638793489458595E-2</c:v>
                </c:pt>
                <c:pt idx="86">
                  <c:v>-1.7741048221386984E-2</c:v>
                </c:pt>
                <c:pt idx="87">
                  <c:v>-1.7842716951837506E-2</c:v>
                </c:pt>
                <c:pt idx="88">
                  <c:v>-1.7943809641578361E-2</c:v>
                </c:pt>
                <c:pt idx="89">
                  <c:v>-1.8044335972349106E-2</c:v>
                </c:pt>
                <c:pt idx="90">
                  <c:v>-1.8144305357682425E-2</c:v>
                </c:pt>
                <c:pt idx="91">
                  <c:v>-1.8243726953192277E-2</c:v>
                </c:pt>
                <c:pt idx="92">
                  <c:v>-1.8342609666360064E-2</c:v>
                </c:pt>
                <c:pt idx="93">
                  <c:v>-1.8440962165848531E-2</c:v>
                </c:pt>
                <c:pt idx="94">
                  <c:v>-1.8538792890370939E-2</c:v>
                </c:pt>
                <c:pt idx="95">
                  <c:v>-1.8636110057141199E-2</c:v>
                </c:pt>
                <c:pt idx="96">
                  <c:v>-1.8732921669928869E-2</c:v>
                </c:pt>
                <c:pt idx="97">
                  <c:v>-1.8829235526741435E-2</c:v>
                </c:pt>
                <c:pt idx="98">
                  <c:v>-1.8925059227154695E-2</c:v>
                </c:pt>
                <c:pt idx="99">
                  <c:v>-1.9020400179310747E-2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7-401E-8D84-AFE1832BCE62}"/>
            </c:ext>
          </c:extLst>
        </c:ser>
        <c:ser>
          <c:idx val="1"/>
          <c:order val="1"/>
          <c:tx>
            <c:strRef>
              <c:f>Sheet1!$AM$137:$AM$137</c:f>
              <c:strCache>
                <c:ptCount val="1"/>
                <c:pt idx="0">
                  <c:v>0,91</c:v>
                </c:pt>
              </c:strCache>
            </c:strRef>
          </c:tx>
          <c:cat>
            <c:numRef>
              <c:f>Sheet1!$AK$138:$AK$237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Sheet1!$AM$138:$AM$237</c:f>
              <c:numCache>
                <c:formatCode>General</c:formatCode>
                <c:ptCount val="100"/>
                <c:pt idx="0">
                  <c:v>-2.1404442244765259E-3</c:v>
                </c:pt>
                <c:pt idx="1">
                  <c:v>-3.0270452517578645E-3</c:v>
                </c:pt>
                <c:pt idx="2">
                  <c:v>-3.7073581475607058E-3</c:v>
                </c:pt>
                <c:pt idx="3">
                  <c:v>-4.2808884489530519E-3</c:v>
                </c:pt>
                <c:pt idx="4">
                  <c:v>-4.7861787879763312E-3</c:v>
                </c:pt>
                <c:pt idx="5">
                  <c:v>-5.2429961728547442E-3</c:v>
                </c:pt>
                <c:pt idx="6">
                  <c:v>-5.6630831131693994E-3</c:v>
                </c:pt>
                <c:pt idx="7">
                  <c:v>-6.0540905035157289E-3</c:v>
                </c:pt>
                <c:pt idx="8">
                  <c:v>-6.4213326734295778E-3</c:v>
                </c:pt>
                <c:pt idx="9">
                  <c:v>-6.7686789538985498E-3</c:v>
                </c:pt>
                <c:pt idx="10">
                  <c:v>-7.0990503772718839E-3</c:v>
                </c:pt>
                <c:pt idx="11">
                  <c:v>-7.4147162951214117E-3</c:v>
                </c:pt>
                <c:pt idx="12">
                  <c:v>-7.7174814036208668E-3</c:v>
                </c:pt>
                <c:pt idx="13">
                  <c:v>-8.008808943490214E-3</c:v>
                </c:pt>
                <c:pt idx="14">
                  <c:v>-8.2899048348834357E-3</c:v>
                </c:pt>
                <c:pt idx="15">
                  <c:v>-8.5617768979061037E-3</c:v>
                </c:pt>
                <c:pt idx="16">
                  <c:v>-8.8252776232599951E-3</c:v>
                </c:pt>
                <c:pt idx="17">
                  <c:v>-9.0811357552735925E-3</c:v>
                </c:pt>
                <c:pt idx="18">
                  <c:v>-9.3299800687784654E-3</c:v>
                </c:pt>
                <c:pt idx="19">
                  <c:v>-9.5723575759526624E-3</c:v>
                </c:pt>
                <c:pt idx="20">
                  <c:v>-9.8087476794947292E-3</c:v>
                </c:pt>
                <c:pt idx="21">
                  <c:v>-1.0039573323507736E-2</c:v>
                </c:pt>
                <c:pt idx="22">
                  <c:v>-1.0265209885637169E-2</c:v>
                </c:pt>
                <c:pt idx="23">
                  <c:v>-1.0485992345709488E-2</c:v>
                </c:pt>
                <c:pt idx="24">
                  <c:v>-1.070222112238263E-2</c:v>
                </c:pt>
                <c:pt idx="25">
                  <c:v>-1.091416686836278E-2</c:v>
                </c:pt>
                <c:pt idx="26">
                  <c:v>-1.1122074442682118E-2</c:v>
                </c:pt>
                <c:pt idx="27">
                  <c:v>-1.1326166226338799E-2</c:v>
                </c:pt>
                <c:pt idx="28">
                  <c:v>-1.1526644909285294E-2</c:v>
                </c:pt>
                <c:pt idx="29">
                  <c:v>-1.1723695848274446E-2</c:v>
                </c:pt>
                <c:pt idx="30">
                  <c:v>-1.1917489073665744E-2</c:v>
                </c:pt>
                <c:pt idx="31">
                  <c:v>-1.2108181007031458E-2</c:v>
                </c:pt>
                <c:pt idx="32">
                  <c:v>-1.229591593892591E-2</c:v>
                </c:pt>
                <c:pt idx="33">
                  <c:v>-1.2480827306522078E-2</c:v>
                </c:pt>
                <c:pt idx="34">
                  <c:v>-1.2663038803277911E-2</c:v>
                </c:pt>
                <c:pt idx="35">
                  <c:v>-1.2842665346859156E-2</c:v>
                </c:pt>
                <c:pt idx="36">
                  <c:v>-1.3019813926839043E-2</c:v>
                </c:pt>
                <c:pt idx="37">
                  <c:v>-1.3194584349937167E-2</c:v>
                </c:pt>
                <c:pt idx="38">
                  <c:v>-1.3367069897539316E-2</c:v>
                </c:pt>
                <c:pt idx="39">
                  <c:v>-1.35373579077971E-2</c:v>
                </c:pt>
                <c:pt idx="40">
                  <c:v>-1.3705530292618799E-2</c:v>
                </c:pt>
                <c:pt idx="41">
                  <c:v>-1.3871663998237072E-2</c:v>
                </c:pt>
                <c:pt idx="42">
                  <c:v>-1.403583141670209E-2</c:v>
                </c:pt>
                <c:pt idx="43">
                  <c:v>-1.4198100754543768E-2</c:v>
                </c:pt>
                <c:pt idx="44">
                  <c:v>-1.4358536363928994E-2</c:v>
                </c:pt>
                <c:pt idx="45">
                  <c:v>-1.4517199040874455E-2</c:v>
                </c:pt>
                <c:pt idx="46">
                  <c:v>-1.4674146294434341E-2</c:v>
                </c:pt>
                <c:pt idx="47">
                  <c:v>-1.4829432590242823E-2</c:v>
                </c:pt>
                <c:pt idx="48">
                  <c:v>-1.4983109571335682E-2</c:v>
                </c:pt>
                <c:pt idx="49">
                  <c:v>-1.5135226258789323E-2</c:v>
                </c:pt>
                <c:pt idx="50">
                  <c:v>-1.5285829234387018E-2</c:v>
                </c:pt>
                <c:pt idx="51">
                  <c:v>-1.5434962807241734E-2</c:v>
                </c:pt>
                <c:pt idx="52">
                  <c:v>-1.5582669166064926E-2</c:v>
                </c:pt>
                <c:pt idx="53">
                  <c:v>-1.5728988518564236E-2</c:v>
                </c:pt>
                <c:pt idx="54">
                  <c:v>-1.5873959219275462E-2</c:v>
                </c:pt>
                <c:pt idx="55">
                  <c:v>-1.6017617886980428E-2</c:v>
                </c:pt>
                <c:pt idx="56">
                  <c:v>-1.615999951272927E-2</c:v>
                </c:pt>
                <c:pt idx="57">
                  <c:v>-1.6301137559370057E-2</c:v>
                </c:pt>
                <c:pt idx="58">
                  <c:v>-1.6441064053387786E-2</c:v>
                </c:pt>
                <c:pt idx="59">
                  <c:v>-1.6579809669766871E-2</c:v>
                </c:pt>
                <c:pt idx="60">
                  <c:v>-1.6717403810514057E-2</c:v>
                </c:pt>
                <c:pt idx="61">
                  <c:v>-1.6853874677411271E-2</c:v>
                </c:pt>
                <c:pt idx="62">
                  <c:v>-1.6989249339508197E-2</c:v>
                </c:pt>
                <c:pt idx="63">
                  <c:v>-1.7123553795812207E-2</c:v>
                </c:pt>
                <c:pt idx="64">
                  <c:v>-1.7256813033586751E-2</c:v>
                </c:pt>
                <c:pt idx="65">
                  <c:v>-1.7389051082628532E-2</c:v>
                </c:pt>
                <c:pt idx="66">
                  <c:v>-1.752029106585731E-2</c:v>
                </c:pt>
                <c:pt idx="67">
                  <c:v>-1.765055524651999E-2</c:v>
                </c:pt>
                <c:pt idx="68">
                  <c:v>-1.7779865072281884E-2</c:v>
                </c:pt>
                <c:pt idx="69">
                  <c:v>-1.7908241216452389E-2</c:v>
                </c:pt>
                <c:pt idx="70">
                  <c:v>-1.8035703616569528E-2</c:v>
                </c:pt>
                <c:pt idx="71">
                  <c:v>-1.8162271510547185E-2</c:v>
                </c:pt>
                <c:pt idx="72">
                  <c:v>-1.8287963470570715E-2</c:v>
                </c:pt>
                <c:pt idx="73">
                  <c:v>-1.8412797434909881E-2</c:v>
                </c:pt>
                <c:pt idx="74">
                  <c:v>-1.8536790737803531E-2</c:v>
                </c:pt>
                <c:pt idx="75">
                  <c:v>-1.8659960137556931E-2</c:v>
                </c:pt>
                <c:pt idx="76">
                  <c:v>-1.8782321842980666E-2</c:v>
                </c:pt>
                <c:pt idx="77">
                  <c:v>-1.8903891538289242E-2</c:v>
                </c:pt>
                <c:pt idx="78">
                  <c:v>-1.9024684406567651E-2</c:v>
                </c:pt>
                <c:pt idx="79">
                  <c:v>-1.9144715151905325E-2</c:v>
                </c:pt>
                <c:pt idx="80">
                  <c:v>-1.9263998020288733E-2</c:v>
                </c:pt>
                <c:pt idx="81">
                  <c:v>-1.9382546819336804E-2</c:v>
                </c:pt>
                <c:pt idx="82">
                  <c:v>-1.950037493695642E-2</c:v>
                </c:pt>
                <c:pt idx="83">
                  <c:v>-1.9617495358989458E-2</c:v>
                </c:pt>
                <c:pt idx="84">
                  <c:v>-1.9733920685917127E-2</c:v>
                </c:pt>
                <c:pt idx="85">
                  <c:v>-1.9849663148682469E-2</c:v>
                </c:pt>
                <c:pt idx="86">
                  <c:v>-1.9964734623687284E-2</c:v>
                </c:pt>
                <c:pt idx="87">
                  <c:v>-2.0079146647015472E-2</c:v>
                </c:pt>
                <c:pt idx="88">
                  <c:v>-2.0192910427931074E-2</c:v>
                </c:pt>
                <c:pt idx="89">
                  <c:v>-2.0306036861695648E-2</c:v>
                </c:pt>
                <c:pt idx="90">
                  <c:v>-2.0418536541746506E-2</c:v>
                </c:pt>
                <c:pt idx="91">
                  <c:v>-2.0530419771274337E-2</c:v>
                </c:pt>
                <c:pt idx="92">
                  <c:v>-2.0641696574236024E-2</c:v>
                </c:pt>
                <c:pt idx="93">
                  <c:v>-2.0752376705835941E-2</c:v>
                </c:pt>
                <c:pt idx="94">
                  <c:v>-2.0862469662506811E-2</c:v>
                </c:pt>
                <c:pt idx="95">
                  <c:v>-2.0971984691418977E-2</c:v>
                </c:pt>
                <c:pt idx="96">
                  <c:v>-2.1080930799545042E-2</c:v>
                </c:pt>
                <c:pt idx="97">
                  <c:v>-2.1189316762305052E-2</c:v>
                </c:pt>
                <c:pt idx="98">
                  <c:v>-2.1297151131815652E-2</c:v>
                </c:pt>
                <c:pt idx="99">
                  <c:v>-2.1404442244765259E-2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7-401E-8D84-AFE1832BCE62}"/>
            </c:ext>
          </c:extLst>
        </c:ser>
        <c:ser>
          <c:idx val="2"/>
          <c:order val="2"/>
          <c:tx>
            <c:strRef>
              <c:f>Sheet1!$AN$137:$AN$137</c:f>
              <c:strCache>
                <c:ptCount val="1"/>
                <c:pt idx="0">
                  <c:v>0,92</c:v>
                </c:pt>
              </c:strCache>
            </c:strRef>
          </c:tx>
          <c:cat>
            <c:numRef>
              <c:f>Sheet1!$AK$138:$AK$237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Sheet1!$AN$138:$AN$237</c:f>
              <c:numCache>
                <c:formatCode>General</c:formatCode>
                <c:ptCount val="100"/>
                <c:pt idx="0">
                  <c:v>-2.3994380127922363E-3</c:v>
                </c:pt>
                <c:pt idx="1">
                  <c:v>-3.3933177797643289E-3</c:v>
                </c:pt>
                <c:pt idx="2">
                  <c:v>-4.1559485477682548E-3</c:v>
                </c:pt>
                <c:pt idx="3">
                  <c:v>-4.7988760255844726E-3</c:v>
                </c:pt>
                <c:pt idx="4">
                  <c:v>-5.3653065044004505E-3</c:v>
                </c:pt>
                <c:pt idx="5">
                  <c:v>-5.8773988007786342E-3</c:v>
                </c:pt>
                <c:pt idx="6">
                  <c:v>-6.3483162681632751E-3</c:v>
                </c:pt>
                <c:pt idx="7">
                  <c:v>-6.7866355595286578E-3</c:v>
                </c:pt>
                <c:pt idx="8">
                  <c:v>-7.1983140383767089E-3</c:v>
                </c:pt>
                <c:pt idx="9">
                  <c:v>-7.5876892248116995E-3</c:v>
                </c:pt>
                <c:pt idx="10">
                  <c:v>-7.9580355961478277E-3</c:v>
                </c:pt>
                <c:pt idx="11">
                  <c:v>-8.3118970955365096E-3</c:v>
                </c:pt>
                <c:pt idx="12">
                  <c:v>-8.6512967874198266E-3</c:v>
                </c:pt>
                <c:pt idx="13">
                  <c:v>-8.9778749646702571E-3</c:v>
                </c:pt>
                <c:pt idx="14">
                  <c:v>-9.2929834638013509E-3</c:v>
                </c:pt>
                <c:pt idx="15">
                  <c:v>-9.5977520511689451E-3</c:v>
                </c:pt>
                <c:pt idx="16">
                  <c:v>-9.8931363688645295E-3</c:v>
                </c:pt>
                <c:pt idx="17">
                  <c:v>-1.0179953339292985E-2</c:v>
                </c:pt>
                <c:pt idx="18">
                  <c:v>-1.0458907819051413E-2</c:v>
                </c:pt>
                <c:pt idx="19">
                  <c:v>-1.0730613008800901E-2</c:v>
                </c:pt>
                <c:pt idx="20">
                  <c:v>-1.0995606318974841E-2</c:v>
                </c:pt>
                <c:pt idx="21">
                  <c:v>-1.1254361869920118E-2</c:v>
                </c:pt>
                <c:pt idx="22">
                  <c:v>-1.1507300459983834E-2</c:v>
                </c:pt>
                <c:pt idx="23">
                  <c:v>-1.1754797601557268E-2</c:v>
                </c:pt>
                <c:pt idx="24">
                  <c:v>-1.1997190063961181E-2</c:v>
                </c:pt>
                <c:pt idx="25">
                  <c:v>-1.2234781248883907E-2</c:v>
                </c:pt>
                <c:pt idx="26">
                  <c:v>-1.2467845643304765E-2</c:v>
                </c:pt>
                <c:pt idx="27">
                  <c:v>-1.269663253632655E-2</c:v>
                </c:pt>
                <c:pt idx="28">
                  <c:v>-1.29213691433895E-2</c:v>
                </c:pt>
                <c:pt idx="29">
                  <c:v>-1.3142263249416771E-2</c:v>
                </c:pt>
                <c:pt idx="30">
                  <c:v>-1.3359505458444299E-2</c:v>
                </c:pt>
                <c:pt idx="31">
                  <c:v>-1.3573271119057316E-2</c:v>
                </c:pt>
                <c:pt idx="32">
                  <c:v>-1.3783721980969717E-2</c:v>
                </c:pt>
                <c:pt idx="33">
                  <c:v>-1.3991007627254732E-2</c:v>
                </c:pt>
                <c:pt idx="34">
                  <c:v>-1.4195266718280867E-2</c:v>
                </c:pt>
                <c:pt idx="35">
                  <c:v>-1.4396628076753418E-2</c:v>
                </c:pt>
                <c:pt idx="36">
                  <c:v>-1.4595211637985835E-2</c:v>
                </c:pt>
                <c:pt idx="37">
                  <c:v>-1.4791129285312515E-2</c:v>
                </c:pt>
                <c:pt idx="38">
                  <c:v>-1.4984485587168545E-2</c:v>
                </c:pt>
                <c:pt idx="39">
                  <c:v>-1.5175378449623399E-2</c:v>
                </c:pt>
                <c:pt idx="40">
                  <c:v>-1.5363899695927677E-2</c:v>
                </c:pt>
                <c:pt idx="41">
                  <c:v>-1.5550135582809526E-2</c:v>
                </c:pt>
                <c:pt idx="42">
                  <c:v>-1.5734167261758445E-2</c:v>
                </c:pt>
                <c:pt idx="43">
                  <c:v>-1.5916071192295655E-2</c:v>
                </c:pt>
                <c:pt idx="44">
                  <c:v>-1.6095919513201353E-2</c:v>
                </c:pt>
                <c:pt idx="45">
                  <c:v>-1.6273780376811296E-2</c:v>
                </c:pt>
                <c:pt idx="46">
                  <c:v>-1.6449718250776235E-2</c:v>
                </c:pt>
                <c:pt idx="47">
                  <c:v>-1.6623794191073019E-2</c:v>
                </c:pt>
                <c:pt idx="48">
                  <c:v>-1.6796066089545654E-2</c:v>
                </c:pt>
                <c:pt idx="49">
                  <c:v>-1.6966588898821643E-2</c:v>
                </c:pt>
                <c:pt idx="50">
                  <c:v>-1.713541483708084E-2</c:v>
                </c:pt>
                <c:pt idx="51">
                  <c:v>-1.7302593574839653E-2</c:v>
                </c:pt>
                <c:pt idx="52">
                  <c:v>-1.7468172405644352E-2</c:v>
                </c:pt>
                <c:pt idx="53">
                  <c:v>-1.7632196402335903E-2</c:v>
                </c:pt>
                <c:pt idx="54">
                  <c:v>-1.7794708560349606E-2</c:v>
                </c:pt>
                <c:pt idx="55">
                  <c:v>-1.7955749929340514E-2</c:v>
                </c:pt>
                <c:pt idx="56">
                  <c:v>-1.8115359734276443E-2</c:v>
                </c:pt>
                <c:pt idx="57">
                  <c:v>-1.8273575487010654E-2</c:v>
                </c:pt>
                <c:pt idx="58">
                  <c:v>-1.8430433089233388E-2</c:v>
                </c:pt>
                <c:pt idx="59">
                  <c:v>-1.8585966927602702E-2</c:v>
                </c:pt>
                <c:pt idx="60">
                  <c:v>-1.8740209961768669E-2</c:v>
                </c:pt>
                <c:pt idx="61">
                  <c:v>-1.8893193805929322E-2</c:v>
                </c:pt>
                <c:pt idx="62">
                  <c:v>-1.9044948804489824E-2</c:v>
                </c:pt>
                <c:pt idx="63">
                  <c:v>-1.919550410233789E-2</c:v>
                </c:pt>
                <c:pt idx="64">
                  <c:v>-1.9344887710196282E-2</c:v>
                </c:pt>
                <c:pt idx="65">
                  <c:v>-1.949312656546752E-2</c:v>
                </c:pt>
                <c:pt idx="66">
                  <c:v>-1.9640246588945056E-2</c:v>
                </c:pt>
                <c:pt idx="67">
                  <c:v>-1.9786272737729059E-2</c:v>
                </c:pt>
                <c:pt idx="68">
                  <c:v>-1.9931229054652715E-2</c:v>
                </c:pt>
                <c:pt idx="69">
                  <c:v>-2.0075138714496218E-2</c:v>
                </c:pt>
                <c:pt idx="70">
                  <c:v>-2.0218024067240034E-2</c:v>
                </c:pt>
                <c:pt idx="71">
                  <c:v>-2.0359906678585969E-2</c:v>
                </c:pt>
                <c:pt idx="72">
                  <c:v>-2.0500807367954118E-2</c:v>
                </c:pt>
                <c:pt idx="73">
                  <c:v>-2.0640746244145202E-2</c:v>
                </c:pt>
                <c:pt idx="74">
                  <c:v>-2.0779742738841277E-2</c:v>
                </c:pt>
                <c:pt idx="75">
                  <c:v>-2.0917815638102827E-2</c:v>
                </c:pt>
                <c:pt idx="76">
                  <c:v>-2.1054983112006799E-2</c:v>
                </c:pt>
                <c:pt idx="77">
                  <c:v>-2.1191262742557931E-2</c:v>
                </c:pt>
                <c:pt idx="78">
                  <c:v>-2.1326671549994763E-2</c:v>
                </c:pt>
                <c:pt idx="79">
                  <c:v>-2.1461226017601802E-2</c:v>
                </c:pt>
                <c:pt idx="80">
                  <c:v>-2.1594942115130127E-2</c:v>
                </c:pt>
                <c:pt idx="81">
                  <c:v>-2.1727835320920794E-2</c:v>
                </c:pt>
                <c:pt idx="82">
                  <c:v>-2.1859920642817658E-2</c:v>
                </c:pt>
                <c:pt idx="83">
                  <c:v>-2.1991212637949682E-2</c:v>
                </c:pt>
                <c:pt idx="84">
                  <c:v>-2.2121725431456522E-2</c:v>
                </c:pt>
                <c:pt idx="85">
                  <c:v>-2.2251472734225539E-2</c:v>
                </c:pt>
                <c:pt idx="86">
                  <c:v>-2.2380467859703358E-2</c:v>
                </c:pt>
                <c:pt idx="87">
                  <c:v>-2.2508723739840236E-2</c:v>
                </c:pt>
                <c:pt idx="88">
                  <c:v>-2.2636252940221348E-2</c:v>
                </c:pt>
                <c:pt idx="89">
                  <c:v>-2.2763067674435096E-2</c:v>
                </c:pt>
                <c:pt idx="90">
                  <c:v>-2.2889179817724887E-2</c:v>
                </c:pt>
                <c:pt idx="91">
                  <c:v>-2.3014600919967668E-2</c:v>
                </c:pt>
                <c:pt idx="92">
                  <c:v>-2.3139342218019273E-2</c:v>
                </c:pt>
                <c:pt idx="93">
                  <c:v>-2.3263414647463978E-2</c:v>
                </c:pt>
                <c:pt idx="94">
                  <c:v>-2.3386828853803027E-2</c:v>
                </c:pt>
                <c:pt idx="95">
                  <c:v>-2.3509595203114537E-2</c:v>
                </c:pt>
                <c:pt idx="96">
                  <c:v>-2.3631723792214957E-2</c:v>
                </c:pt>
                <c:pt idx="97">
                  <c:v>-2.3753224458350299E-2</c:v>
                </c:pt>
                <c:pt idx="98">
                  <c:v>-2.3874106788443483E-2</c:v>
                </c:pt>
                <c:pt idx="99">
                  <c:v>-2.3994380127922363E-2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27-401E-8D84-AFE1832BCE62}"/>
            </c:ext>
          </c:extLst>
        </c:ser>
        <c:ser>
          <c:idx val="3"/>
          <c:order val="3"/>
          <c:tx>
            <c:strRef>
              <c:f>Sheet1!$AO$137:$AO$137</c:f>
              <c:strCache>
                <c:ptCount val="1"/>
                <c:pt idx="0">
                  <c:v>0,93</c:v>
                </c:pt>
              </c:strCache>
            </c:strRef>
          </c:tx>
          <c:cat>
            <c:numRef>
              <c:f>Sheet1!$AK$138:$AK$237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Sheet1!$AO$138:$AO$237</c:f>
              <c:numCache>
                <c:formatCode>General</c:formatCode>
                <c:ptCount val="100"/>
                <c:pt idx="0">
                  <c:v>-2.6842155630412475E-3</c:v>
                </c:pt>
                <c:pt idx="1">
                  <c:v>-3.7960540535858659E-3</c:v>
                </c:pt>
                <c:pt idx="2">
                  <c:v>-4.6491977336545415E-3</c:v>
                </c:pt>
                <c:pt idx="3">
                  <c:v>-5.368431126082495E-3</c:v>
                </c:pt>
                <c:pt idx="4">
                  <c:v>-6.0020884652231023E-3</c:v>
                </c:pt>
                <c:pt idx="5">
                  <c:v>-6.5749584890885081E-3</c:v>
                </c:pt>
                <c:pt idx="6">
                  <c:v>-7.101766845096359E-3</c:v>
                </c:pt>
                <c:pt idx="7">
                  <c:v>-7.5921081071717317E-3</c:v>
                </c:pt>
                <c:pt idx="8">
                  <c:v>-8.0526466891237426E-3</c:v>
                </c:pt>
                <c:pt idx="9">
                  <c:v>-8.4882349100816254E-3</c:v>
                </c:pt>
                <c:pt idx="10">
                  <c:v>-8.9025358790403783E-3</c:v>
                </c:pt>
                <c:pt idx="11">
                  <c:v>-9.298395467309083E-3</c:v>
                </c:pt>
                <c:pt idx="12">
                  <c:v>-9.67807684694366E-3</c:v>
                </c:pt>
                <c:pt idx="13">
                  <c:v>-1.0043414989146857E-2</c:v>
                </c:pt>
                <c:pt idx="14">
                  <c:v>-1.0395922173289517E-2</c:v>
                </c:pt>
                <c:pt idx="15">
                  <c:v>-1.073686225216499E-2</c:v>
                </c:pt>
                <c:pt idx="16">
                  <c:v>-1.1067304288345844E-2</c:v>
                </c:pt>
                <c:pt idx="17">
                  <c:v>-1.1388162160757597E-2</c:v>
                </c:pt>
                <c:pt idx="18">
                  <c:v>-1.1700224381975929E-2</c:v>
                </c:pt>
                <c:pt idx="19">
                  <c:v>-1.2004176930446205E-2</c:v>
                </c:pt>
                <c:pt idx="20">
                  <c:v>-1.2300620999215025E-2</c:v>
                </c:pt>
                <c:pt idx="21">
                  <c:v>-1.2590086979651988E-2</c:v>
                </c:pt>
                <c:pt idx="22">
                  <c:v>-1.2873045612599814E-2</c:v>
                </c:pt>
                <c:pt idx="23">
                  <c:v>-1.3149916978177016E-2</c:v>
                </c:pt>
                <c:pt idx="24">
                  <c:v>-1.3421077815206238E-2</c:v>
                </c:pt>
                <c:pt idx="25">
                  <c:v>-1.3686867534636764E-2</c:v>
                </c:pt>
                <c:pt idx="26">
                  <c:v>-1.3947593200963625E-2</c:v>
                </c:pt>
                <c:pt idx="27">
                  <c:v>-1.4203533690192718E-2</c:v>
                </c:pt>
                <c:pt idx="28">
                  <c:v>-1.4454943184852452E-2</c:v>
                </c:pt>
                <c:pt idx="29">
                  <c:v>-1.4702054130841215E-2</c:v>
                </c:pt>
                <c:pt idx="30">
                  <c:v>-1.4945079754054779E-2</c:v>
                </c:pt>
                <c:pt idx="31">
                  <c:v>-1.5184216214343463E-2</c:v>
                </c:pt>
                <c:pt idx="32">
                  <c:v>-1.5419644458702794E-2</c:v>
                </c:pt>
                <c:pt idx="33">
                  <c:v>-1.5651531823488607E-2</c:v>
                </c:pt>
                <c:pt idx="34">
                  <c:v>-1.5880033425989679E-2</c:v>
                </c:pt>
                <c:pt idx="35">
                  <c:v>-1.6105293378247485E-2</c:v>
                </c:pt>
                <c:pt idx="36">
                  <c:v>-1.6327445850110638E-2</c:v>
                </c:pt>
                <c:pt idx="37">
                  <c:v>-1.6546616003798722E-2</c:v>
                </c:pt>
                <c:pt idx="38">
                  <c:v>-1.676292081846242E-2</c:v>
                </c:pt>
                <c:pt idx="39">
                  <c:v>-1.6976469820163251E-2</c:v>
                </c:pt>
                <c:pt idx="40">
                  <c:v>-1.7187365730203873E-2</c:v>
                </c:pt>
                <c:pt idx="41">
                  <c:v>-1.7395705042701184E-2</c:v>
                </c:pt>
                <c:pt idx="42">
                  <c:v>-1.7601578540617661E-2</c:v>
                </c:pt>
                <c:pt idx="43">
                  <c:v>-1.7805071758080757E-2</c:v>
                </c:pt>
                <c:pt idx="44">
                  <c:v>-1.8006265395669307E-2</c:v>
                </c:pt>
                <c:pt idx="45">
                  <c:v>-1.8205235694386125E-2</c:v>
                </c:pt>
                <c:pt idx="46">
                  <c:v>-1.8402054773231806E-2</c:v>
                </c:pt>
                <c:pt idx="47">
                  <c:v>-1.8596790934618166E-2</c:v>
                </c:pt>
                <c:pt idx="48">
                  <c:v>-1.8789508941288731E-2</c:v>
                </c:pt>
                <c:pt idx="49">
                  <c:v>-1.8980270267929329E-2</c:v>
                </c:pt>
                <c:pt idx="50">
                  <c:v>-1.916913333023992E-2</c:v>
                </c:pt>
                <c:pt idx="51">
                  <c:v>-1.935615369388732E-2</c:v>
                </c:pt>
                <c:pt idx="52">
                  <c:v>-1.9541384265457259E-2</c:v>
                </c:pt>
                <c:pt idx="53">
                  <c:v>-1.9724875467265528E-2</c:v>
                </c:pt>
                <c:pt idx="54">
                  <c:v>-1.9906675397665132E-2</c:v>
                </c:pt>
                <c:pt idx="55">
                  <c:v>-2.0086829978293714E-2</c:v>
                </c:pt>
                <c:pt idx="56">
                  <c:v>-2.0265383089538475E-2</c:v>
                </c:pt>
                <c:pt idx="57">
                  <c:v>-2.0442376695350883E-2</c:v>
                </c:pt>
                <c:pt idx="58">
                  <c:v>-2.0617850958417019E-2</c:v>
                </c:pt>
                <c:pt idx="59">
                  <c:v>-2.0791844346579033E-2</c:v>
                </c:pt>
                <c:pt idx="60">
                  <c:v>-2.0964393731306499E-2</c:v>
                </c:pt>
                <c:pt idx="61">
                  <c:v>-2.1135534478931829E-2</c:v>
                </c:pt>
                <c:pt idx="62">
                  <c:v>-2.1305300535289076E-2</c:v>
                </c:pt>
                <c:pt idx="63">
                  <c:v>-2.147372450432998E-2</c:v>
                </c:pt>
                <c:pt idx="64">
                  <c:v>-2.1640837721232851E-2</c:v>
                </c:pt>
                <c:pt idx="65">
                  <c:v>-2.1806670320468634E-2</c:v>
                </c:pt>
                <c:pt idx="66">
                  <c:v>-2.1971251299242846E-2</c:v>
                </c:pt>
                <c:pt idx="67">
                  <c:v>-2.2134608576691688E-2</c:v>
                </c:pt>
                <c:pt idx="68">
                  <c:v>-2.2296769049174502E-2</c:v>
                </c:pt>
                <c:pt idx="69">
                  <c:v>-2.2457758641972688E-2</c:v>
                </c:pt>
                <c:pt idx="70">
                  <c:v>-2.2617602357676462E-2</c:v>
                </c:pt>
                <c:pt idx="71">
                  <c:v>-2.2776324321515194E-2</c:v>
                </c:pt>
                <c:pt idx="72">
                  <c:v>-2.2933947823864022E-2</c:v>
                </c:pt>
                <c:pt idx="73">
                  <c:v>-2.3090495360138776E-2</c:v>
                </c:pt>
                <c:pt idx="74">
                  <c:v>-2.324598866827271E-2</c:v>
                </c:pt>
                <c:pt idx="75">
                  <c:v>-2.3400448763951857E-2</c:v>
                </c:pt>
                <c:pt idx="76">
                  <c:v>-2.3553895973770642E-2</c:v>
                </c:pt>
                <c:pt idx="77">
                  <c:v>-2.3706349966455861E-2</c:v>
                </c:pt>
                <c:pt idx="78">
                  <c:v>-2.3857829782294837E-2</c:v>
                </c:pt>
                <c:pt idx="79">
                  <c:v>-2.4008353860892409E-2</c:v>
                </c:pt>
                <c:pt idx="80">
                  <c:v>-2.4157940067371229E-2</c:v>
                </c:pt>
                <c:pt idx="81">
                  <c:v>-2.4306605717120872E-2</c:v>
                </c:pt>
                <c:pt idx="82">
                  <c:v>-2.4454367599192704E-2</c:v>
                </c:pt>
                <c:pt idx="83">
                  <c:v>-2.460124199843005E-2</c:v>
                </c:pt>
                <c:pt idx="84">
                  <c:v>-2.474724471641624E-2</c:v>
                </c:pt>
                <c:pt idx="85">
                  <c:v>-2.4892391091316728E-2</c:v>
                </c:pt>
                <c:pt idx="86">
                  <c:v>-2.5036696016685935E-2</c:v>
                </c:pt>
                <c:pt idx="87">
                  <c:v>-2.5180173959303977E-2</c:v>
                </c:pt>
                <c:pt idx="88">
                  <c:v>-2.532283897610382E-2</c:v>
                </c:pt>
                <c:pt idx="89">
                  <c:v>-2.5464704730244876E-2</c:v>
                </c:pt>
                <c:pt idx="90">
                  <c:v>-2.5605784506385048E-2</c:v>
                </c:pt>
                <c:pt idx="91">
                  <c:v>-2.5746091225199629E-2</c:v>
                </c:pt>
                <c:pt idx="92">
                  <c:v>-2.588563745719186E-2</c:v>
                </c:pt>
                <c:pt idx="93">
                  <c:v>-2.6024435435836973E-2</c:v>
                </c:pt>
                <c:pt idx="94">
                  <c:v>-2.6162497070098639E-2</c:v>
                </c:pt>
                <c:pt idx="95">
                  <c:v>-2.6299833956354032E-2</c:v>
                </c:pt>
                <c:pt idx="96">
                  <c:v>-2.6436457389761314E-2</c:v>
                </c:pt>
                <c:pt idx="97">
                  <c:v>-2.6572378375101059E-2</c:v>
                </c:pt>
                <c:pt idx="98">
                  <c:v>-2.6707607637121138E-2</c:v>
                </c:pt>
                <c:pt idx="99">
                  <c:v>-2.6842155630412475E-2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27-401E-8D84-AFE1832BCE62}"/>
            </c:ext>
          </c:extLst>
        </c:ser>
        <c:ser>
          <c:idx val="4"/>
          <c:order val="4"/>
          <c:tx>
            <c:strRef>
              <c:f>Sheet1!$AP$137:$AP$137</c:f>
              <c:strCache>
                <c:ptCount val="1"/>
                <c:pt idx="0">
                  <c:v>0,94</c:v>
                </c:pt>
              </c:strCache>
            </c:strRef>
          </c:tx>
          <c:cat>
            <c:numRef>
              <c:f>Sheet1!$AK$138:$AK$237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Sheet1!$AP$138:$AP$237</c:f>
              <c:numCache>
                <c:formatCode>General</c:formatCode>
                <c:ptCount val="100"/>
                <c:pt idx="0">
                  <c:v>-3.0022674722878064E-3</c:v>
                </c:pt>
                <c:pt idx="1">
                  <c:v>-4.2458473771810066E-3</c:v>
                </c:pt>
                <c:pt idx="2">
                  <c:v>-5.2000797999138667E-3</c:v>
                </c:pt>
                <c:pt idx="3">
                  <c:v>-6.0045349445756128E-3</c:v>
                </c:pt>
                <c:pt idx="4">
                  <c:v>-6.7132741546720017E-3</c:v>
                </c:pt>
                <c:pt idx="5">
                  <c:v>-7.3540233784605601E-3</c:v>
                </c:pt>
                <c:pt idx="6">
                  <c:v>-7.9432531009720388E-3</c:v>
                </c:pt>
                <c:pt idx="7">
                  <c:v>-8.4916947543620131E-3</c:v>
                </c:pt>
                <c:pt idx="8">
                  <c:v>-9.00680241686342E-3</c:v>
                </c:pt>
                <c:pt idx="9">
                  <c:v>-9.4940033574659188E-3</c:v>
                </c:pt>
                <c:pt idx="10">
                  <c:v>-9.9573947258673814E-3</c:v>
                </c:pt>
                <c:pt idx="11">
                  <c:v>-1.0400159599827733E-2</c:v>
                </c:pt>
                <c:pt idx="12">
                  <c:v>-1.0824829313991346E-2</c:v>
                </c:pt>
                <c:pt idx="13">
                  <c:v>-1.1233456264756799E-2</c:v>
                </c:pt>
                <c:pt idx="14">
                  <c:v>-1.1627731921030912E-2</c:v>
                </c:pt>
                <c:pt idx="15">
                  <c:v>-1.2009069889151226E-2</c:v>
                </c:pt>
                <c:pt idx="16">
                  <c:v>-1.2378665904598768E-2</c:v>
                </c:pt>
                <c:pt idx="17">
                  <c:v>-1.2737542131543017E-2</c:v>
                </c:pt>
                <c:pt idx="18">
                  <c:v>-1.3086580513181848E-2</c:v>
                </c:pt>
                <c:pt idx="19">
                  <c:v>-1.3426548309344003E-2</c:v>
                </c:pt>
                <c:pt idx="20">
                  <c:v>-1.3758117948262608E-2</c:v>
                </c:pt>
                <c:pt idx="21">
                  <c:v>-1.408188266722398E-2</c:v>
                </c:pt>
                <c:pt idx="22">
                  <c:v>-1.4398368985014258E-2</c:v>
                </c:pt>
                <c:pt idx="23">
                  <c:v>-1.470804675692112E-2</c:v>
                </c:pt>
                <c:pt idx="24">
                  <c:v>-1.5011337361439031E-2</c:v>
                </c:pt>
                <c:pt idx="25">
                  <c:v>-1.530862042622041E-2</c:v>
                </c:pt>
                <c:pt idx="26">
                  <c:v>-1.5600239399741601E-2</c:v>
                </c:pt>
                <c:pt idx="27">
                  <c:v>-1.5886506201944078E-2</c:v>
                </c:pt>
                <c:pt idx="28">
                  <c:v>-1.6167705133368959E-2</c:v>
                </c:pt>
                <c:pt idx="29">
                  <c:v>-1.6444096182360479E-2</c:v>
                </c:pt>
                <c:pt idx="30">
                  <c:v>-1.6715917839887819E-2</c:v>
                </c:pt>
                <c:pt idx="31">
                  <c:v>-1.6983389508724026E-2</c:v>
                </c:pt>
                <c:pt idx="32">
                  <c:v>-1.7246713576220679E-2</c:v>
                </c:pt>
                <c:pt idx="33">
                  <c:v>-1.7506077206368997E-2</c:v>
                </c:pt>
                <c:pt idx="34">
                  <c:v>-1.7761653896259479E-2</c:v>
                </c:pt>
                <c:pt idx="35">
                  <c:v>-1.801360483372684E-2</c:v>
                </c:pt>
                <c:pt idx="36">
                  <c:v>-1.8262080086365415E-2</c:v>
                </c:pt>
                <c:pt idx="37">
                  <c:v>-1.8507219646829227E-2</c:v>
                </c:pt>
                <c:pt idx="38">
                  <c:v>-1.8749154355093969E-2</c:v>
                </c:pt>
                <c:pt idx="39">
                  <c:v>-1.8988006714931838E-2</c:v>
                </c:pt>
                <c:pt idx="40">
                  <c:v>-1.9223891619062305E-2</c:v>
                </c:pt>
                <c:pt idx="41">
                  <c:v>-1.945691699516168E-2</c:v>
                </c:pt>
                <c:pt idx="42">
                  <c:v>-1.9687184383038851E-2</c:v>
                </c:pt>
                <c:pt idx="43">
                  <c:v>-1.9914789451734763E-2</c:v>
                </c:pt>
                <c:pt idx="44">
                  <c:v>-2.0139822464016004E-2</c:v>
                </c:pt>
                <c:pt idx="45">
                  <c:v>-2.0362368694659301E-2</c:v>
                </c:pt>
                <c:pt idx="46">
                  <c:v>-2.0582508808024313E-2</c:v>
                </c:pt>
                <c:pt idx="47">
                  <c:v>-2.0800319199655467E-2</c:v>
                </c:pt>
                <c:pt idx="48">
                  <c:v>-2.1015872306014646E-2</c:v>
                </c:pt>
                <c:pt idx="49">
                  <c:v>-2.1229236885905032E-2</c:v>
                </c:pt>
                <c:pt idx="50">
                  <c:v>-2.1440478276685625E-2</c:v>
                </c:pt>
                <c:pt idx="51">
                  <c:v>-2.1649658627982692E-2</c:v>
                </c:pt>
                <c:pt idx="52">
                  <c:v>-2.1856837115267681E-2</c:v>
                </c:pt>
                <c:pt idx="53">
                  <c:v>-2.2062070135381685E-2</c:v>
                </c:pt>
                <c:pt idx="54">
                  <c:v>-2.2265411485837348E-2</c:v>
                </c:pt>
                <c:pt idx="55">
                  <c:v>-2.2466912529513598E-2</c:v>
                </c:pt>
                <c:pt idx="56">
                  <c:v>-2.2666622346171752E-2</c:v>
                </c:pt>
                <c:pt idx="57">
                  <c:v>-2.2864587872059493E-2</c:v>
                </c:pt>
                <c:pt idx="58">
                  <c:v>-2.3060854028727717E-2</c:v>
                </c:pt>
                <c:pt idx="59">
                  <c:v>-2.3255463842061824E-2</c:v>
                </c:pt>
                <c:pt idx="60">
                  <c:v>-2.344845855242093E-2</c:v>
                </c:pt>
                <c:pt idx="61">
                  <c:v>-2.3639877716683723E-2</c:v>
                </c:pt>
                <c:pt idx="62">
                  <c:v>-2.3829759302916115E-2</c:v>
                </c:pt>
                <c:pt idx="63">
                  <c:v>-2.4018139778302451E-2</c:v>
                </c:pt>
                <c:pt idx="64">
                  <c:v>-2.4205054190917067E-2</c:v>
                </c:pt>
                <c:pt idx="65">
                  <c:v>-2.4390536245855469E-2</c:v>
                </c:pt>
                <c:pt idx="66">
                  <c:v>-2.4574618376193492E-2</c:v>
                </c:pt>
                <c:pt idx="67">
                  <c:v>-2.4757331809197536E-2</c:v>
                </c:pt>
                <c:pt idx="68">
                  <c:v>-2.4938706628168623E-2</c:v>
                </c:pt>
                <c:pt idx="69">
                  <c:v>-2.5118771830267082E-2</c:v>
                </c:pt>
                <c:pt idx="70">
                  <c:v>-2.529755538063266E-2</c:v>
                </c:pt>
                <c:pt idx="71">
                  <c:v>-2.5475084263086034E-2</c:v>
                </c:pt>
                <c:pt idx="72">
                  <c:v>-2.5651384527672013E-2</c:v>
                </c:pt>
                <c:pt idx="73">
                  <c:v>-2.5826481335281596E-2</c:v>
                </c:pt>
                <c:pt idx="74">
                  <c:v>-2.6000398999569338E-2</c:v>
                </c:pt>
                <c:pt idx="75">
                  <c:v>-2.6173161026363696E-2</c:v>
                </c:pt>
                <c:pt idx="76">
                  <c:v>-2.6344790150751269E-2</c:v>
                </c:pt>
                <c:pt idx="77">
                  <c:v>-2.6515308372000473E-2</c:v>
                </c:pt>
                <c:pt idx="78">
                  <c:v>-2.6684736986476665E-2</c:v>
                </c:pt>
                <c:pt idx="79">
                  <c:v>-2.6853096618688007E-2</c:v>
                </c:pt>
                <c:pt idx="80">
                  <c:v>-2.7020407250590257E-2</c:v>
                </c:pt>
                <c:pt idx="81">
                  <c:v>-2.7186688249268391E-2</c:v>
                </c:pt>
                <c:pt idx="82">
                  <c:v>-2.7351958393103507E-2</c:v>
                </c:pt>
                <c:pt idx="83">
                  <c:v>-2.7516235896525215E-2</c:v>
                </c:pt>
                <c:pt idx="84">
                  <c:v>-2.7679538433441772E-2</c:v>
                </c:pt>
                <c:pt idx="85">
                  <c:v>-2.7841883159433336E-2</c:v>
                </c:pt>
                <c:pt idx="86">
                  <c:v>-2.8003286732787191E-2</c:v>
                </c:pt>
                <c:pt idx="87">
                  <c:v>-2.8163765334447959E-2</c:v>
                </c:pt>
                <c:pt idx="88">
                  <c:v>-2.8323334686950436E-2</c:v>
                </c:pt>
                <c:pt idx="89">
                  <c:v>-2.8482010072397757E-2</c:v>
                </c:pt>
                <c:pt idx="90">
                  <c:v>-2.863980634954302E-2</c:v>
                </c:pt>
                <c:pt idx="91">
                  <c:v>-2.8796737970028515E-2</c:v>
                </c:pt>
                <c:pt idx="92">
                  <c:v>-2.8952818993832698E-2</c:v>
                </c:pt>
                <c:pt idx="93">
                  <c:v>-2.9108063103971675E-2</c:v>
                </c:pt>
                <c:pt idx="94">
                  <c:v>-2.9262483620498693E-2</c:v>
                </c:pt>
                <c:pt idx="95">
                  <c:v>-2.941609351384224E-2</c:v>
                </c:pt>
                <c:pt idx="96">
                  <c:v>-2.9568905417520431E-2</c:v>
                </c:pt>
                <c:pt idx="97">
                  <c:v>-2.9720931640267043E-2</c:v>
                </c:pt>
                <c:pt idx="98">
                  <c:v>-2.9872184177602144E-2</c:v>
                </c:pt>
                <c:pt idx="99">
                  <c:v>-3.0022674722878062E-2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27-401E-8D84-AFE1832BCE62}"/>
            </c:ext>
          </c:extLst>
        </c:ser>
        <c:ser>
          <c:idx val="5"/>
          <c:order val="5"/>
          <c:tx>
            <c:strRef>
              <c:f>Sheet1!$AQ$137:$AQ$137</c:f>
              <c:strCache>
                <c:ptCount val="1"/>
                <c:pt idx="0">
                  <c:v>0,95</c:v>
                </c:pt>
              </c:strCache>
            </c:strRef>
          </c:tx>
          <c:cat>
            <c:numRef>
              <c:f>Sheet1!$AK$138:$AK$237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Sheet1!$AQ$138:$AQ$237</c:f>
              <c:numCache>
                <c:formatCode>General</c:formatCode>
                <c:ptCount val="100"/>
                <c:pt idx="0">
                  <c:v>-3.365007347361863E-3</c:v>
                </c:pt>
                <c:pt idx="1">
                  <c:v>-4.7588390281242598E-3</c:v>
                </c:pt>
                <c:pt idx="2">
                  <c:v>-5.82836369347332E-3</c:v>
                </c:pt>
                <c:pt idx="3">
                  <c:v>-6.7300146947237259E-3</c:v>
                </c:pt>
                <c:pt idx="4">
                  <c:v>-7.5243851734873735E-3</c:v>
                </c:pt>
                <c:pt idx="5">
                  <c:v>-8.2425509817529129E-3</c:v>
                </c:pt>
                <c:pt idx="6">
                  <c:v>-8.9029726010246297E-3</c:v>
                </c:pt>
                <c:pt idx="7">
                  <c:v>-9.5176780562485196E-3</c:v>
                </c:pt>
                <c:pt idx="8">
                  <c:v>-1.0095022042085589E-2</c:v>
                </c:pt>
                <c:pt idx="9">
                  <c:v>-1.0641087560864878E-2</c:v>
                </c:pt>
                <c:pt idx="10">
                  <c:v>-1.1160466787988418E-2</c:v>
                </c:pt>
                <c:pt idx="11">
                  <c:v>-1.165672738694664E-2</c:v>
                </c:pt>
                <c:pt idx="12">
                  <c:v>-1.213270653322626E-2</c:v>
                </c:pt>
                <c:pt idx="13">
                  <c:v>-1.25907045978051E-2</c:v>
                </c:pt>
                <c:pt idx="14">
                  <c:v>-1.3032617416198091E-2</c:v>
                </c:pt>
                <c:pt idx="15">
                  <c:v>-1.3460029389447452E-2</c:v>
                </c:pt>
                <c:pt idx="16">
                  <c:v>-1.3874280724152458E-2</c:v>
                </c:pt>
                <c:pt idx="17">
                  <c:v>-1.4276517084372777E-2</c:v>
                </c:pt>
                <c:pt idx="18">
                  <c:v>-1.466772697142223E-2</c:v>
                </c:pt>
                <c:pt idx="19">
                  <c:v>-1.5048770346974747E-2</c:v>
                </c:pt>
                <c:pt idx="20">
                  <c:v>-1.5420400883368296E-2</c:v>
                </c:pt>
                <c:pt idx="21">
                  <c:v>-1.5783283493987717E-2</c:v>
                </c:pt>
                <c:pt idx="22">
                  <c:v>-1.6138008312656934E-2</c:v>
                </c:pt>
                <c:pt idx="23">
                  <c:v>-1.6485101963505826E-2</c:v>
                </c:pt>
                <c:pt idx="24">
                  <c:v>-1.6825036736809316E-2</c:v>
                </c:pt>
                <c:pt idx="25">
                  <c:v>-1.7158238127581233E-2</c:v>
                </c:pt>
                <c:pt idx="26">
                  <c:v>-1.748509108041996E-2</c:v>
                </c:pt>
                <c:pt idx="27">
                  <c:v>-1.7805945202049259E-2</c:v>
                </c:pt>
                <c:pt idx="28">
                  <c:v>-1.8121119142762133E-2</c:v>
                </c:pt>
                <c:pt idx="29">
                  <c:v>-1.8430904303207145E-2</c:v>
                </c:pt>
                <c:pt idx="30">
                  <c:v>-1.8735567989302565E-2</c:v>
                </c:pt>
                <c:pt idx="31">
                  <c:v>-1.9035356112497039E-2</c:v>
                </c:pt>
                <c:pt idx="32">
                  <c:v>-1.9330495512980973E-2</c:v>
                </c:pt>
                <c:pt idx="33">
                  <c:v>-1.9621195968268015E-2</c:v>
                </c:pt>
                <c:pt idx="34">
                  <c:v>-1.9907651937709187E-2</c:v>
                </c:pt>
                <c:pt idx="35">
                  <c:v>-2.0190044084171178E-2</c:v>
                </c:pt>
                <c:pt idx="36">
                  <c:v>-2.0468540606710946E-2</c:v>
                </c:pt>
                <c:pt idx="37">
                  <c:v>-2.0743298412170957E-2</c:v>
                </c:pt>
                <c:pt idx="38">
                  <c:v>-2.1014464148870739E-2</c:v>
                </c:pt>
                <c:pt idx="39">
                  <c:v>-2.1282175121729755E-2</c:v>
                </c:pt>
                <c:pt idx="40">
                  <c:v>-2.1546560105032361E-2</c:v>
                </c:pt>
                <c:pt idx="41">
                  <c:v>-2.18077400664895E-2</c:v>
                </c:pt>
                <c:pt idx="42">
                  <c:v>-2.2065828814149962E-2</c:v>
                </c:pt>
                <c:pt idx="43">
                  <c:v>-2.2320933575976837E-2</c:v>
                </c:pt>
                <c:pt idx="44">
                  <c:v>-2.2573155520462122E-2</c:v>
                </c:pt>
                <c:pt idx="45">
                  <c:v>-2.2822590225449187E-2</c:v>
                </c:pt>
                <c:pt idx="46">
                  <c:v>-2.3069328101324671E-2</c:v>
                </c:pt>
                <c:pt idx="47">
                  <c:v>-2.331345477389328E-2</c:v>
                </c:pt>
                <c:pt idx="48">
                  <c:v>-2.3555051431533039E-2</c:v>
                </c:pt>
                <c:pt idx="49">
                  <c:v>-2.3794195140621296E-2</c:v>
                </c:pt>
                <c:pt idx="50">
                  <c:v>-2.4030959132705573E-2</c:v>
                </c:pt>
                <c:pt idx="51">
                  <c:v>-2.426541306645252E-2</c:v>
                </c:pt>
                <c:pt idx="52">
                  <c:v>-2.4497623267030703E-2</c:v>
                </c:pt>
                <c:pt idx="53">
                  <c:v>-2.4727652945258742E-2</c:v>
                </c:pt>
                <c:pt idx="54">
                  <c:v>-2.4955562398570837E-2</c:v>
                </c:pt>
                <c:pt idx="55">
                  <c:v>-2.51814091956102E-2</c:v>
                </c:pt>
                <c:pt idx="56">
                  <c:v>-2.5405248346051675E-2</c:v>
                </c:pt>
                <c:pt idx="57">
                  <c:v>-2.5627132457072929E-2</c:v>
                </c:pt>
                <c:pt idx="58">
                  <c:v>-2.5847111877735196E-2</c:v>
                </c:pt>
                <c:pt idx="59">
                  <c:v>-2.6065234832396183E-2</c:v>
                </c:pt>
                <c:pt idx="60">
                  <c:v>-2.62815475441565E-2</c:v>
                </c:pt>
                <c:pt idx="61">
                  <c:v>-2.6496094349234906E-2</c:v>
                </c:pt>
                <c:pt idx="62">
                  <c:v>-2.6708917803073887E-2</c:v>
                </c:pt>
                <c:pt idx="63">
                  <c:v>-2.6920058778894904E-2</c:v>
                </c:pt>
                <c:pt idx="64">
                  <c:v>-2.7129556559349725E-2</c:v>
                </c:pt>
                <c:pt idx="65">
                  <c:v>-2.7337448921849954E-2</c:v>
                </c:pt>
                <c:pt idx="66">
                  <c:v>-2.7543772218099585E-2</c:v>
                </c:pt>
                <c:pt idx="67">
                  <c:v>-2.7748561448304915E-2</c:v>
                </c:pt>
                <c:pt idx="68">
                  <c:v>-2.7951850330490701E-2</c:v>
                </c:pt>
                <c:pt idx="69">
                  <c:v>-2.8153671365311356E-2</c:v>
                </c:pt>
                <c:pt idx="70">
                  <c:v>-2.8354055896709942E-2</c:v>
                </c:pt>
                <c:pt idx="71">
                  <c:v>-2.8553034168745554E-2</c:v>
                </c:pt>
                <c:pt idx="72">
                  <c:v>-2.8750635378880764E-2</c:v>
                </c:pt>
                <c:pt idx="73">
                  <c:v>-2.894688772799504E-2</c:v>
                </c:pt>
                <c:pt idx="74">
                  <c:v>-2.9141818467366604E-2</c:v>
                </c:pt>
                <c:pt idx="75">
                  <c:v>-2.933545394284446E-2</c:v>
                </c:pt>
                <c:pt idx="76">
                  <c:v>-2.9527819636413183E-2</c:v>
                </c:pt>
                <c:pt idx="77">
                  <c:v>-2.9718940205336181E-2</c:v>
                </c:pt>
                <c:pt idx="78">
                  <c:v>-2.9908839519047648E-2</c:v>
                </c:pt>
                <c:pt idx="79">
                  <c:v>-3.0097540693949494E-2</c:v>
                </c:pt>
                <c:pt idx="80">
                  <c:v>-3.0285066126256768E-2</c:v>
                </c:pt>
                <c:pt idx="81">
                  <c:v>-3.0471437523023826E-2</c:v>
                </c:pt>
                <c:pt idx="82">
                  <c:v>-3.0656675931472799E-2</c:v>
                </c:pt>
                <c:pt idx="83">
                  <c:v>-3.0840801766736592E-2</c:v>
                </c:pt>
                <c:pt idx="84">
                  <c:v>-3.1023834838119903E-2</c:v>
                </c:pt>
                <c:pt idx="85">
                  <c:v>-3.1205794373973909E-2</c:v>
                </c:pt>
                <c:pt idx="86">
                  <c:v>-3.1386699045272998E-2</c:v>
                </c:pt>
                <c:pt idx="87">
                  <c:v>-3.1566566987975435E-2</c:v>
                </c:pt>
                <c:pt idx="88">
                  <c:v>-3.1745415824243658E-2</c:v>
                </c:pt>
                <c:pt idx="89">
                  <c:v>-3.1923262682594628E-2</c:v>
                </c:pt>
                <c:pt idx="90">
                  <c:v>-3.2100124217045299E-2</c:v>
                </c:pt>
                <c:pt idx="91">
                  <c:v>-3.2276016625313868E-2</c:v>
                </c:pt>
                <c:pt idx="92">
                  <c:v>-3.2450955666133117E-2</c:v>
                </c:pt>
                <c:pt idx="93">
                  <c:v>-3.2624956675728116E-2</c:v>
                </c:pt>
                <c:pt idx="94">
                  <c:v>-3.2798034583507218E-2</c:v>
                </c:pt>
                <c:pt idx="95">
                  <c:v>-3.2970203927011651E-2</c:v>
                </c:pt>
                <c:pt idx="96">
                  <c:v>-3.3141478866166099E-2</c:v>
                </c:pt>
                <c:pt idx="97">
                  <c:v>-3.3311873196869811E-2</c:v>
                </c:pt>
                <c:pt idx="98">
                  <c:v>-3.3481400363965255E-2</c:v>
                </c:pt>
                <c:pt idx="99">
                  <c:v>-3.3650073473618633E-2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27-401E-8D84-AFE1832BCE62}"/>
            </c:ext>
          </c:extLst>
        </c:ser>
        <c:ser>
          <c:idx val="6"/>
          <c:order val="6"/>
          <c:tx>
            <c:strRef>
              <c:f>Sheet1!$AR$137:$AR$137</c:f>
              <c:strCache>
                <c:ptCount val="1"/>
                <c:pt idx="0">
                  <c:v>0,96</c:v>
                </c:pt>
              </c:strCache>
            </c:strRef>
          </c:tx>
          <c:cat>
            <c:numRef>
              <c:f>Sheet1!$AK$138:$AK$237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Sheet1!$AR$138:$AR$237</c:f>
              <c:numCache>
                <c:formatCode>General</c:formatCode>
                <c:ptCount val="100"/>
                <c:pt idx="0">
                  <c:v>-3.791180014277527E-3</c:v>
                </c:pt>
                <c:pt idx="1">
                  <c:v>-5.361538193589103E-3</c:v>
                </c:pt>
                <c:pt idx="2">
                  <c:v>-6.5665164053683783E-3</c:v>
                </c:pt>
                <c:pt idx="3">
                  <c:v>-7.5823600285550539E-3</c:v>
                </c:pt>
                <c:pt idx="4">
                  <c:v>-8.4773362268631743E-3</c:v>
                </c:pt>
                <c:pt idx="5">
                  <c:v>-9.2864565580173843E-3</c:v>
                </c:pt>
                <c:pt idx="6">
                  <c:v>-1.003051949325664E-2</c:v>
                </c:pt>
                <c:pt idx="7">
                  <c:v>-1.0723076387178206E-2</c:v>
                </c:pt>
                <c:pt idx="8">
                  <c:v>-1.1373540042832581E-2</c:v>
                </c:pt>
                <c:pt idx="9">
                  <c:v>-1.1988763864826661E-2</c:v>
                </c:pt>
                <c:pt idx="10">
                  <c:v>-1.2573921620052785E-2</c:v>
                </c:pt>
                <c:pt idx="11">
                  <c:v>-1.3133032810736757E-2</c:v>
                </c:pt>
                <c:pt idx="12">
                  <c:v>-1.3669293935991922E-2</c:v>
                </c:pt>
                <c:pt idx="13">
                  <c:v>-1.4185296705011246E-2</c:v>
                </c:pt>
                <c:pt idx="14">
                  <c:v>-1.4683177057771259E-2</c:v>
                </c:pt>
                <c:pt idx="15">
                  <c:v>-1.5164720057110108E-2</c:v>
                </c:pt>
                <c:pt idx="16">
                  <c:v>-1.5631435644596913E-2</c:v>
                </c:pt>
                <c:pt idx="17">
                  <c:v>-1.6084614580767306E-2</c:v>
                </c:pt>
                <c:pt idx="18">
                  <c:v>-1.6525370559006828E-2</c:v>
                </c:pt>
                <c:pt idx="19">
                  <c:v>-1.6954672453726349E-2</c:v>
                </c:pt>
                <c:pt idx="20">
                  <c:v>-1.737336938863053E-2</c:v>
                </c:pt>
                <c:pt idx="21">
                  <c:v>-1.7782210487294926E-2</c:v>
                </c:pt>
                <c:pt idx="22">
                  <c:v>-1.8181860623025327E-2</c:v>
                </c:pt>
                <c:pt idx="23">
                  <c:v>-1.8572913116034769E-2</c:v>
                </c:pt>
                <c:pt idx="24">
                  <c:v>-1.8955900071387637E-2</c:v>
                </c:pt>
                <c:pt idx="25">
                  <c:v>-1.9331300872344082E-2</c:v>
                </c:pt>
                <c:pt idx="26">
                  <c:v>-1.9699549216105134E-2</c:v>
                </c:pt>
                <c:pt idx="27">
                  <c:v>-2.0061038986513281E-2</c:v>
                </c:pt>
                <c:pt idx="28">
                  <c:v>-2.0416129190399025E-2</c:v>
                </c:pt>
                <c:pt idx="29">
                  <c:v>-2.0765148133825594E-2</c:v>
                </c:pt>
                <c:pt idx="30">
                  <c:v>-2.1108396976567828E-2</c:v>
                </c:pt>
                <c:pt idx="31">
                  <c:v>-2.1446152774356412E-2</c:v>
                </c:pt>
                <c:pt idx="32">
                  <c:v>-2.1778671096320191E-2</c:v>
                </c:pt>
                <c:pt idx="33">
                  <c:v>-2.2106188287951179E-2</c:v>
                </c:pt>
                <c:pt idx="34">
                  <c:v>-2.2428923436558591E-2</c:v>
                </c:pt>
                <c:pt idx="35">
                  <c:v>-2.2747080085665162E-2</c:v>
                </c:pt>
                <c:pt idx="36">
                  <c:v>-2.306084773646281E-2</c:v>
                </c:pt>
                <c:pt idx="37">
                  <c:v>-2.337040316778851E-2</c:v>
                </c:pt>
                <c:pt idx="38">
                  <c:v>-2.3675911600731167E-2</c:v>
                </c:pt>
                <c:pt idx="39">
                  <c:v>-2.3977527729653322E-2</c:v>
                </c:pt>
                <c:pt idx="40">
                  <c:v>-2.4275396637891446E-2</c:v>
                </c:pt>
                <c:pt idx="41">
                  <c:v>-2.4569654613518861E-2</c:v>
                </c:pt>
                <c:pt idx="42">
                  <c:v>-2.4860429878187262E-2</c:v>
                </c:pt>
                <c:pt idx="43">
                  <c:v>-2.514784324010557E-2</c:v>
                </c:pt>
                <c:pt idx="44">
                  <c:v>-2.5432008680589521E-2</c:v>
                </c:pt>
                <c:pt idx="45">
                  <c:v>-2.5713033882259755E-2</c:v>
                </c:pt>
                <c:pt idx="46">
                  <c:v>-2.5991020705830224E-2</c:v>
                </c:pt>
                <c:pt idx="47">
                  <c:v>-2.6266065621473513E-2</c:v>
                </c:pt>
                <c:pt idx="48">
                  <c:v>-2.6538260099942687E-2</c:v>
                </c:pt>
                <c:pt idx="49">
                  <c:v>-2.6807690967945514E-2</c:v>
                </c:pt>
                <c:pt idx="50">
                  <c:v>-2.707444073168502E-2</c:v>
                </c:pt>
                <c:pt idx="51">
                  <c:v>-2.7338587871983844E-2</c:v>
                </c:pt>
                <c:pt idx="52">
                  <c:v>-2.760020711398448E-2</c:v>
                </c:pt>
                <c:pt idx="53">
                  <c:v>-2.7859369674052156E-2</c:v>
                </c:pt>
                <c:pt idx="54">
                  <c:v>-2.8116143486192308E-2</c:v>
                </c:pt>
                <c:pt idx="55">
                  <c:v>-2.8370593410022491E-2</c:v>
                </c:pt>
                <c:pt idx="56">
                  <c:v>-2.8622781422102728E-2</c:v>
                </c:pt>
                <c:pt idx="57">
                  <c:v>-2.8872766792223538E-2</c:v>
                </c:pt>
                <c:pt idx="58">
                  <c:v>-2.9120606246072274E-2</c:v>
                </c:pt>
                <c:pt idx="59">
                  <c:v>-2.9366354115542517E-2</c:v>
                </c:pt>
                <c:pt idx="60">
                  <c:v>-2.9610062477814839E-2</c:v>
                </c:pt>
                <c:pt idx="61">
                  <c:v>-2.9851781284217459E-2</c:v>
                </c:pt>
                <c:pt idx="62">
                  <c:v>-3.0091558479769923E-2</c:v>
                </c:pt>
                <c:pt idx="63">
                  <c:v>-3.0329440114220216E-2</c:v>
                </c:pt>
                <c:pt idx="64">
                  <c:v>-3.0565470445303597E-2</c:v>
                </c:pt>
                <c:pt idx="65">
                  <c:v>-3.079969203487894E-2</c:v>
                </c:pt>
                <c:pt idx="66">
                  <c:v>-3.1032145838533993E-2</c:v>
                </c:pt>
                <c:pt idx="67">
                  <c:v>-3.1262871289193826E-2</c:v>
                </c:pt>
                <c:pt idx="68">
                  <c:v>-3.1491906375215796E-2</c:v>
                </c:pt>
                <c:pt idx="69">
                  <c:v>-3.1719287713408928E-2</c:v>
                </c:pt>
                <c:pt idx="70">
                  <c:v>-3.1945050617375327E-2</c:v>
                </c:pt>
                <c:pt idx="71">
                  <c:v>-3.2169229161534613E-2</c:v>
                </c:pt>
                <c:pt idx="72">
                  <c:v>-3.2391856241160158E-2</c:v>
                </c:pt>
                <c:pt idx="73">
                  <c:v>-3.2612963628726593E-2</c:v>
                </c:pt>
                <c:pt idx="74">
                  <c:v>-3.2832582026841896E-2</c:v>
                </c:pt>
                <c:pt idx="75">
                  <c:v>-3.3050741118013656E-2</c:v>
                </c:pt>
                <c:pt idx="76">
                  <c:v>-3.3267469611478057E-2</c:v>
                </c:pt>
                <c:pt idx="77">
                  <c:v>-3.3482795287300512E-2</c:v>
                </c:pt>
                <c:pt idx="78">
                  <c:v>-3.369674503793995E-2</c:v>
                </c:pt>
                <c:pt idx="79">
                  <c:v>-3.3909344907452697E-2</c:v>
                </c:pt>
                <c:pt idx="80">
                  <c:v>-3.4120620128497745E-2</c:v>
                </c:pt>
                <c:pt idx="81">
                  <c:v>-3.4330595157292317E-2</c:v>
                </c:pt>
                <c:pt idx="82">
                  <c:v>-3.4539293706654747E-2</c:v>
                </c:pt>
                <c:pt idx="83">
                  <c:v>-3.474673877726106E-2</c:v>
                </c:pt>
                <c:pt idx="84">
                  <c:v>-3.495295268723194E-2</c:v>
                </c:pt>
                <c:pt idx="85">
                  <c:v>-3.515795710015774E-2</c:v>
                </c:pt>
                <c:pt idx="86">
                  <c:v>-3.5361773051661161E-2</c:v>
                </c:pt>
                <c:pt idx="87">
                  <c:v>-3.5564420974589853E-2</c:v>
                </c:pt>
                <c:pt idx="88">
                  <c:v>-3.5765920722924276E-2</c:v>
                </c:pt>
                <c:pt idx="89">
                  <c:v>-3.5966291594479984E-2</c:v>
                </c:pt>
                <c:pt idx="90">
                  <c:v>-3.6165552352477884E-2</c:v>
                </c:pt>
                <c:pt idx="91">
                  <c:v>-3.6363721246050654E-2</c:v>
                </c:pt>
                <c:pt idx="92">
                  <c:v>-3.6560816029748755E-2</c:v>
                </c:pt>
                <c:pt idx="93">
                  <c:v>-3.6756853982105042E-2</c:v>
                </c:pt>
                <c:pt idx="94">
                  <c:v>-3.6951851923312962E-2</c:v>
                </c:pt>
                <c:pt idx="95">
                  <c:v>-3.7145826232069537E-2</c:v>
                </c:pt>
                <c:pt idx="96">
                  <c:v>-3.7338792861630686E-2</c:v>
                </c:pt>
                <c:pt idx="97">
                  <c:v>-3.7530767355123722E-2</c:v>
                </c:pt>
                <c:pt idx="98">
                  <c:v>-3.7721764860158352E-2</c:v>
                </c:pt>
                <c:pt idx="99">
                  <c:v>-3.7911800142775273E-2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27-401E-8D84-AFE1832BCE62}"/>
            </c:ext>
          </c:extLst>
        </c:ser>
        <c:ser>
          <c:idx val="7"/>
          <c:order val="7"/>
          <c:tx>
            <c:strRef>
              <c:f>Sheet1!$AS$137:$AS$137</c:f>
              <c:strCache>
                <c:ptCount val="1"/>
                <c:pt idx="0">
                  <c:v>0,97</c:v>
                </c:pt>
              </c:strCache>
            </c:strRef>
          </c:tx>
          <c:cat>
            <c:numRef>
              <c:f>Sheet1!$AK$138:$AK$237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Sheet1!$AS$138:$AS$237</c:f>
              <c:numCache>
                <c:formatCode>General</c:formatCode>
                <c:ptCount val="100"/>
                <c:pt idx="0">
                  <c:v>-4.3151051333890755E-3</c:v>
                </c:pt>
                <c:pt idx="1">
                  <c:v>-6.102480202704594E-3</c:v>
                </c:pt>
                <c:pt idx="2">
                  <c:v>-7.4739813310311558E-3</c:v>
                </c:pt>
                <c:pt idx="3">
                  <c:v>-8.6302102667781509E-3</c:v>
                </c:pt>
                <c:pt idx="4">
                  <c:v>-9.6488684083162711E-3</c:v>
                </c:pt>
                <c:pt idx="5">
                  <c:v>-1.0569805763267577E-2</c:v>
                </c:pt>
                <c:pt idx="6">
                  <c:v>-1.1416695064045692E-2</c:v>
                </c:pt>
                <c:pt idx="7">
                  <c:v>-1.2204960405409188E-2</c:v>
                </c:pt>
                <c:pt idx="8">
                  <c:v>-1.2945315400167226E-2</c:v>
                </c:pt>
                <c:pt idx="9">
                  <c:v>-1.3645560564594169E-2</c:v>
                </c:pt>
                <c:pt idx="10">
                  <c:v>-1.4311584658388051E-2</c:v>
                </c:pt>
                <c:pt idx="11">
                  <c:v>-1.4947962662062312E-2</c:v>
                </c:pt>
                <c:pt idx="12">
                  <c:v>-1.5558332817452189E-2</c:v>
                </c:pt>
                <c:pt idx="13">
                  <c:v>-1.6145644997051387E-2</c:v>
                </c:pt>
                <c:pt idx="14">
                  <c:v>-1.6712330318750024E-2</c:v>
                </c:pt>
                <c:pt idx="15">
                  <c:v>-1.7260420533556302E-2</c:v>
                </c:pt>
                <c:pt idx="16">
                  <c:v>-1.7791634250608142E-2</c:v>
                </c:pt>
                <c:pt idx="17">
                  <c:v>-1.8307440608113779E-2</c:v>
                </c:pt>
                <c:pt idx="18">
                  <c:v>-1.8809107207196581E-2</c:v>
                </c:pt>
                <c:pt idx="19">
                  <c:v>-1.9297736816632542E-2</c:v>
                </c:pt>
                <c:pt idx="20">
                  <c:v>-1.9774295905447953E-2</c:v>
                </c:pt>
                <c:pt idx="21">
                  <c:v>-2.0239637122943101E-2</c:v>
                </c:pt>
                <c:pt idx="22">
                  <c:v>-2.0694517225115863E-2</c:v>
                </c:pt>
                <c:pt idx="23">
                  <c:v>-2.1139611526535155E-2</c:v>
                </c:pt>
                <c:pt idx="24">
                  <c:v>-2.1575525666945379E-2</c:v>
                </c:pt>
                <c:pt idx="25">
                  <c:v>-2.200280527835529E-2</c:v>
                </c:pt>
                <c:pt idx="26">
                  <c:v>-2.2421943993093468E-2</c:v>
                </c:pt>
                <c:pt idx="27">
                  <c:v>-2.2833390128091383E-2</c:v>
                </c:pt>
                <c:pt idx="28">
                  <c:v>-2.3237552303412286E-2</c:v>
                </c:pt>
                <c:pt idx="29">
                  <c:v>-2.3634804195635354E-2</c:v>
                </c:pt>
                <c:pt idx="30">
                  <c:v>-2.4025488583548582E-2</c:v>
                </c:pt>
                <c:pt idx="31">
                  <c:v>-2.4409920810818376E-2</c:v>
                </c:pt>
                <c:pt idx="32">
                  <c:v>-2.478839176515138E-2</c:v>
                </c:pt>
                <c:pt idx="33">
                  <c:v>-2.5161170453991712E-2</c:v>
                </c:pt>
                <c:pt idx="34">
                  <c:v>-2.5528506241592482E-2</c:v>
                </c:pt>
                <c:pt idx="35">
                  <c:v>-2.5890630800334453E-2</c:v>
                </c:pt>
                <c:pt idx="36">
                  <c:v>-2.6247759819676569E-2</c:v>
                </c:pt>
                <c:pt idx="37">
                  <c:v>-2.6600094508546928E-2</c:v>
                </c:pt>
                <c:pt idx="38">
                  <c:v>-2.6947822920893431E-2</c:v>
                </c:pt>
                <c:pt idx="39">
                  <c:v>-2.7291121129188339E-2</c:v>
                </c:pt>
                <c:pt idx="40">
                  <c:v>-2.7630154266674496E-2</c:v>
                </c:pt>
                <c:pt idx="41">
                  <c:v>-2.7965077455863262E-2</c:v>
                </c:pt>
                <c:pt idx="42">
                  <c:v>-2.8296036638098845E-2</c:v>
                </c:pt>
                <c:pt idx="43">
                  <c:v>-2.8623169316776102E-2</c:v>
                </c:pt>
                <c:pt idx="44">
                  <c:v>-2.8946605224948813E-2</c:v>
                </c:pt>
                <c:pt idx="45">
                  <c:v>-2.9266466926522485E-2</c:v>
                </c:pt>
                <c:pt idx="46">
                  <c:v>-2.9582870358932974E-2</c:v>
                </c:pt>
                <c:pt idx="47">
                  <c:v>-2.9895925324124623E-2</c:v>
                </c:pt>
                <c:pt idx="48">
                  <c:v>-3.0205735933723526E-2</c:v>
                </c:pt>
                <c:pt idx="49">
                  <c:v>-3.0512401013522969E-2</c:v>
                </c:pt>
                <c:pt idx="50">
                  <c:v>-3.0816014471735931E-2</c:v>
                </c:pt>
                <c:pt idx="51">
                  <c:v>-3.1116665634904377E-2</c:v>
                </c:pt>
                <c:pt idx="52">
                  <c:v>-3.1414439554870936E-2</c:v>
                </c:pt>
                <c:pt idx="53">
                  <c:v>-3.1709417289802734E-2</c:v>
                </c:pt>
                <c:pt idx="54">
                  <c:v>-3.2001676161898793E-2</c:v>
                </c:pt>
                <c:pt idx="55">
                  <c:v>-3.2291289994102773E-2</c:v>
                </c:pt>
                <c:pt idx="56">
                  <c:v>-3.2578329327874425E-2</c:v>
                </c:pt>
                <c:pt idx="57">
                  <c:v>-3.2862861623839813E-2</c:v>
                </c:pt>
                <c:pt idx="58">
                  <c:v>-3.31449514469375E-2</c:v>
                </c:pt>
                <c:pt idx="59">
                  <c:v>-3.3424660637500048E-2</c:v>
                </c:pt>
                <c:pt idx="60">
                  <c:v>-3.3702048469555164E-2</c:v>
                </c:pt>
                <c:pt idx="61">
                  <c:v>-3.397717179749437E-2</c:v>
                </c:pt>
                <c:pt idx="62">
                  <c:v>-3.4250085192137077E-2</c:v>
                </c:pt>
                <c:pt idx="63">
                  <c:v>-3.4520841067112604E-2</c:v>
                </c:pt>
                <c:pt idx="64">
                  <c:v>-3.478948979638892E-2</c:v>
                </c:pt>
                <c:pt idx="65">
                  <c:v>-3.505607982369463E-2</c:v>
                </c:pt>
                <c:pt idx="66">
                  <c:v>-3.532065776450731E-2</c:v>
                </c:pt>
                <c:pt idx="67">
                  <c:v>-3.5583268501216285E-2</c:v>
                </c:pt>
                <c:pt idx="68">
                  <c:v>-3.5843955272009974E-2</c:v>
                </c:pt>
                <c:pt idx="69">
                  <c:v>-3.6102759753986295E-2</c:v>
                </c:pt>
                <c:pt idx="70">
                  <c:v>-3.6359722140938501E-2</c:v>
                </c:pt>
                <c:pt idx="71">
                  <c:v>-3.6614881216227559E-2</c:v>
                </c:pt>
                <c:pt idx="72">
                  <c:v>-3.6868274421115163E-2</c:v>
                </c:pt>
                <c:pt idx="73">
                  <c:v>-3.7119937918898185E-2</c:v>
                </c:pt>
                <c:pt idx="74">
                  <c:v>-3.7369906655155785E-2</c:v>
                </c:pt>
                <c:pt idx="75">
                  <c:v>-3.7618214414393163E-2</c:v>
                </c:pt>
                <c:pt idx="76">
                  <c:v>-3.7864893873342069E-2</c:v>
                </c:pt>
                <c:pt idx="77">
                  <c:v>-3.8109976651156043E-2</c:v>
                </c:pt>
                <c:pt idx="78">
                  <c:v>-3.8353493356718622E-2</c:v>
                </c:pt>
                <c:pt idx="79">
                  <c:v>-3.8595473633265084E-2</c:v>
                </c:pt>
                <c:pt idx="80">
                  <c:v>-3.8835946200501681E-2</c:v>
                </c:pt>
                <c:pt idx="81">
                  <c:v>-3.9074938894391911E-2</c:v>
                </c:pt>
                <c:pt idx="82">
                  <c:v>-3.9312478704765771E-2</c:v>
                </c:pt>
                <c:pt idx="83">
                  <c:v>-3.9548591810895907E-2</c:v>
                </c:pt>
                <c:pt idx="84">
                  <c:v>-3.9783303615173335E-2</c:v>
                </c:pt>
                <c:pt idx="85">
                  <c:v>-4.0016638775005386E-2</c:v>
                </c:pt>
                <c:pt idx="86">
                  <c:v>-4.024862123304928E-2</c:v>
                </c:pt>
                <c:pt idx="87">
                  <c:v>-4.0479274245886203E-2</c:v>
                </c:pt>
                <c:pt idx="88">
                  <c:v>-4.0708620411233132E-2</c:v>
                </c:pt>
                <c:pt idx="89">
                  <c:v>-4.0936681693782506E-2</c:v>
                </c:pt>
                <c:pt idx="90">
                  <c:v>-4.1163479449753369E-2</c:v>
                </c:pt>
                <c:pt idx="91">
                  <c:v>-4.1389034450231725E-2</c:v>
                </c:pt>
                <c:pt idx="92">
                  <c:v>-4.1613366903372161E-2</c:v>
                </c:pt>
                <c:pt idx="93">
                  <c:v>-4.1836496475528048E-2</c:v>
                </c:pt>
                <c:pt idx="94">
                  <c:v>-4.2058442311372769E-2</c:v>
                </c:pt>
                <c:pt idx="95">
                  <c:v>-4.227922305307031E-2</c:v>
                </c:pt>
                <c:pt idx="96">
                  <c:v>-4.2498856858549414E-2</c:v>
                </c:pt>
                <c:pt idx="97">
                  <c:v>-4.2717361418932155E-2</c:v>
                </c:pt>
                <c:pt idx="98">
                  <c:v>-4.2934753975164157E-2</c:v>
                </c:pt>
                <c:pt idx="99">
                  <c:v>-4.3151051333890758E-2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27-401E-8D84-AFE1832BCE62}"/>
            </c:ext>
          </c:extLst>
        </c:ser>
        <c:ser>
          <c:idx val="8"/>
          <c:order val="8"/>
          <c:tx>
            <c:strRef>
              <c:f>Sheet1!$AT$137:$AT$137</c:f>
              <c:strCache>
                <c:ptCount val="1"/>
                <c:pt idx="0">
                  <c:v>0,98</c:v>
                </c:pt>
              </c:strCache>
            </c:strRef>
          </c:tx>
          <c:cat>
            <c:numRef>
              <c:f>Sheet1!$AK$138:$AK$237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Sheet1!$AT$138:$AT$237</c:f>
              <c:numCache>
                <c:formatCode>General</c:formatCode>
                <c:ptCount val="100"/>
                <c:pt idx="0">
                  <c:v>-5.0115722990337098E-3</c:v>
                </c:pt>
                <c:pt idx="1">
                  <c:v>-7.0874335141067855E-3</c:v>
                </c:pt>
                <c:pt idx="2">
                  <c:v>-8.6802978477311509E-3</c:v>
                </c:pt>
                <c:pt idx="3">
                  <c:v>-1.002314459806742E-2</c:v>
                </c:pt>
                <c:pt idx="4">
                  <c:v>-1.1206216334794279E-2</c:v>
                </c:pt>
                <c:pt idx="5">
                  <c:v>-1.2275794941699381E-2</c:v>
                </c:pt>
                <c:pt idx="6">
                  <c:v>-1.3259373980663423E-2</c:v>
                </c:pt>
                <c:pt idx="7">
                  <c:v>-1.4174867028213571E-2</c:v>
                </c:pt>
                <c:pt idx="8">
                  <c:v>-1.503471689710113E-2</c:v>
                </c:pt>
                <c:pt idx="9">
                  <c:v>-1.5847983123552987E-2</c:v>
                </c:pt>
                <c:pt idx="10">
                  <c:v>-1.6621504925633607E-2</c:v>
                </c:pt>
                <c:pt idx="11">
                  <c:v>-1.7360595695462302E-2</c:v>
                </c:pt>
                <c:pt idx="12">
                  <c:v>-1.806948089486099E-2</c:v>
                </c:pt>
                <c:pt idx="13">
                  <c:v>-1.8751586512031144E-2</c:v>
                </c:pt>
                <c:pt idx="14">
                  <c:v>-1.9409736052471975E-2</c:v>
                </c:pt>
                <c:pt idx="15">
                  <c:v>-2.0046289196134839E-2</c:v>
                </c:pt>
                <c:pt idx="16">
                  <c:v>-2.0663241939335521E-2</c:v>
                </c:pt>
                <c:pt idx="17">
                  <c:v>-2.1262300542320353E-2</c:v>
                </c:pt>
                <c:pt idx="18">
                  <c:v>-2.1844937199735744E-2</c:v>
                </c:pt>
                <c:pt idx="19">
                  <c:v>-2.2412432669588558E-2</c:v>
                </c:pt>
                <c:pt idx="20">
                  <c:v>-2.2965909411065837E-2</c:v>
                </c:pt>
                <c:pt idx="21">
                  <c:v>-2.350635769288225E-2</c:v>
                </c:pt>
                <c:pt idx="22">
                  <c:v>-2.4034656413066662E-2</c:v>
                </c:pt>
                <c:pt idx="23">
                  <c:v>-2.4551589883398763E-2</c:v>
                </c:pt>
                <c:pt idx="24">
                  <c:v>-2.5057861495168549E-2</c:v>
                </c:pt>
                <c:pt idx="25">
                  <c:v>-2.555410494655394E-2</c:v>
                </c:pt>
                <c:pt idx="26">
                  <c:v>-2.6040893543193458E-2</c:v>
                </c:pt>
                <c:pt idx="27">
                  <c:v>-2.6518747961326847E-2</c:v>
                </c:pt>
                <c:pt idx="28">
                  <c:v>-2.6988142773166489E-2</c:v>
                </c:pt>
                <c:pt idx="29">
                  <c:v>-2.7449511967487888E-2</c:v>
                </c:pt>
                <c:pt idx="30">
                  <c:v>-2.7903253648306009E-2</c:v>
                </c:pt>
                <c:pt idx="31">
                  <c:v>-2.8349734056427142E-2</c:v>
                </c:pt>
                <c:pt idx="32">
                  <c:v>-2.878929102945376E-2</c:v>
                </c:pt>
                <c:pt idx="33">
                  <c:v>-2.922223699320483E-2</c:v>
                </c:pt>
                <c:pt idx="34">
                  <c:v>-2.9648861559855393E-2</c:v>
                </c:pt>
                <c:pt idx="35">
                  <c:v>-3.0069433794202259E-2</c:v>
                </c:pt>
                <c:pt idx="36">
                  <c:v>-3.0484204198442753E-2</c:v>
                </c:pt>
                <c:pt idx="37">
                  <c:v>-3.0893406457054826E-2</c:v>
                </c:pt>
                <c:pt idx="38">
                  <c:v>-3.129725897629438E-2</c:v>
                </c:pt>
                <c:pt idx="39">
                  <c:v>-3.1695966247105974E-2</c:v>
                </c:pt>
                <c:pt idx="40">
                  <c:v>-3.2089720055589813E-2</c:v>
                </c:pt>
                <c:pt idx="41">
                  <c:v>-3.2478700561361214E-2</c:v>
                </c:pt>
                <c:pt idx="42">
                  <c:v>-3.2863077261008393E-2</c:v>
                </c:pt>
                <c:pt idx="43">
                  <c:v>-3.3243009851267213E-2</c:v>
                </c:pt>
                <c:pt idx="44">
                  <c:v>-3.3618649004382835E-2</c:v>
                </c:pt>
                <c:pt idx="45">
                  <c:v>-3.3990137066336364E-2</c:v>
                </c:pt>
                <c:pt idx="46">
                  <c:v>-3.4357608687112892E-2</c:v>
                </c:pt>
                <c:pt idx="47">
                  <c:v>-3.4721191390924604E-2</c:v>
                </c:pt>
                <c:pt idx="48">
                  <c:v>-3.5081006093235972E-2</c:v>
                </c:pt>
                <c:pt idx="49">
                  <c:v>-3.5437167570533924E-2</c:v>
                </c:pt>
                <c:pt idx="50">
                  <c:v>-3.5789784888017186E-2</c:v>
                </c:pt>
                <c:pt idx="51">
                  <c:v>-3.6138961789721979E-2</c:v>
                </c:pt>
                <c:pt idx="52">
                  <c:v>-3.6484797055039611E-2</c:v>
                </c:pt>
                <c:pt idx="53">
                  <c:v>-3.6827384825098147E-2</c:v>
                </c:pt>
                <c:pt idx="54">
                  <c:v>-3.7166814902064332E-2</c:v>
                </c:pt>
                <c:pt idx="55">
                  <c:v>-3.7503173024062288E-2</c:v>
                </c:pt>
                <c:pt idx="56">
                  <c:v>-3.7836541118093703E-2</c:v>
                </c:pt>
                <c:pt idx="57">
                  <c:v>-3.8166997533073482E-2</c:v>
                </c:pt>
                <c:pt idx="58">
                  <c:v>-3.8494617254858886E-2</c:v>
                </c:pt>
                <c:pt idx="59">
                  <c:v>-3.881947210494395E-2</c:v>
                </c:pt>
                <c:pt idx="60">
                  <c:v>-3.9141630924310798E-2</c:v>
                </c:pt>
                <c:pt idx="61">
                  <c:v>-3.9461159743770909E-2</c:v>
                </c:pt>
                <c:pt idx="62">
                  <c:v>-3.977812194199027E-2</c:v>
                </c:pt>
                <c:pt idx="63">
                  <c:v>-4.0092578392269679E-2</c:v>
                </c:pt>
                <c:pt idx="64">
                  <c:v>-4.0404587599042897E-2</c:v>
                </c:pt>
                <c:pt idx="65">
                  <c:v>-4.0714205824959597E-2</c:v>
                </c:pt>
                <c:pt idx="66">
                  <c:v>-4.1021487209334767E-2</c:v>
                </c:pt>
                <c:pt idx="67">
                  <c:v>-4.1326483878671043E-2</c:v>
                </c:pt>
                <c:pt idx="68">
                  <c:v>-4.1629246049892613E-2</c:v>
                </c:pt>
                <c:pt idx="69">
                  <c:v>-4.1929822126869819E-2</c:v>
                </c:pt>
                <c:pt idx="70">
                  <c:v>-4.2228258790759816E-2</c:v>
                </c:pt>
                <c:pt idx="71">
                  <c:v>-4.2524601084640706E-2</c:v>
                </c:pt>
                <c:pt idx="72">
                  <c:v>-4.28188924928736E-2</c:v>
                </c:pt>
                <c:pt idx="73">
                  <c:v>-4.3111175015588588E-2</c:v>
                </c:pt>
                <c:pt idx="74">
                  <c:v>-4.3401489238655763E-2</c:v>
                </c:pt>
                <c:pt idx="75">
                  <c:v>-4.3689874399471487E-2</c:v>
                </c:pt>
                <c:pt idx="76">
                  <c:v>-4.3976368448861672E-2</c:v>
                </c:pt>
                <c:pt idx="77">
                  <c:v>-4.4261008109378601E-2</c:v>
                </c:pt>
                <c:pt idx="78">
                  <c:v>-4.4543828930244868E-2</c:v>
                </c:pt>
                <c:pt idx="79">
                  <c:v>-4.4824865339177115E-2</c:v>
                </c:pt>
                <c:pt idx="80">
                  <c:v>-4.5104150691303385E-2</c:v>
                </c:pt>
                <c:pt idx="81">
                  <c:v>-4.5381717315371023E-2</c:v>
                </c:pt>
                <c:pt idx="82">
                  <c:v>-4.5657596557426107E-2</c:v>
                </c:pt>
                <c:pt idx="83">
                  <c:v>-4.5931818822131674E-2</c:v>
                </c:pt>
                <c:pt idx="84">
                  <c:v>-4.6204413611878811E-2</c:v>
                </c:pt>
                <c:pt idx="85">
                  <c:v>-4.6475409563832941E-2</c:v>
                </c:pt>
                <c:pt idx="86">
                  <c:v>-4.6744834485047182E-2</c:v>
                </c:pt>
                <c:pt idx="87">
                  <c:v>-4.70127153857645E-2</c:v>
                </c:pt>
                <c:pt idx="88">
                  <c:v>-4.7279078511021554E-2</c:v>
                </c:pt>
                <c:pt idx="89">
                  <c:v>-4.7543949370658957E-2</c:v>
                </c:pt>
                <c:pt idx="90">
                  <c:v>-4.7807352767835036E-2</c:v>
                </c:pt>
                <c:pt idx="91">
                  <c:v>-4.8069312826133324E-2</c:v>
                </c:pt>
                <c:pt idx="92">
                  <c:v>-4.8329853015347646E-2</c:v>
                </c:pt>
                <c:pt idx="93">
                  <c:v>-4.858899617602272E-2</c:v>
                </c:pt>
                <c:pt idx="94">
                  <c:v>-4.8846764542823017E-2</c:v>
                </c:pt>
                <c:pt idx="95">
                  <c:v>-4.9103179766797525E-2</c:v>
                </c:pt>
                <c:pt idx="96">
                  <c:v>-4.9358262936603392E-2</c:v>
                </c:pt>
                <c:pt idx="97">
                  <c:v>-4.9612034598747495E-2</c:v>
                </c:pt>
                <c:pt idx="98">
                  <c:v>-4.986451477690082E-2</c:v>
                </c:pt>
                <c:pt idx="99">
                  <c:v>-5.0115722990337098E-2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27-401E-8D84-AFE1832BCE62}"/>
            </c:ext>
          </c:extLst>
        </c:ser>
        <c:ser>
          <c:idx val="9"/>
          <c:order val="9"/>
          <c:tx>
            <c:strRef>
              <c:f>Sheet1!$AU$137:$AU$137</c:f>
              <c:strCache>
                <c:ptCount val="1"/>
                <c:pt idx="0">
                  <c:v>0,99</c:v>
                </c:pt>
              </c:strCache>
            </c:strRef>
          </c:tx>
          <c:cat>
            <c:numRef>
              <c:f>Sheet1!$AK$138:$AK$237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Sheet1!$AU$138:$AU$237</c:f>
              <c:numCache>
                <c:formatCode>General</c:formatCode>
                <c:ptCount val="100"/>
                <c:pt idx="0">
                  <c:v>-6.1092907539187294E-3</c:v>
                </c:pt>
                <c:pt idx="1">
                  <c:v>-8.6398418406724176E-3</c:v>
                </c:pt>
                <c:pt idx="2">
                  <c:v>-1.0581601983998009E-2</c:v>
                </c:pt>
                <c:pt idx="3">
                  <c:v>-1.2218581507837459E-2</c:v>
                </c:pt>
                <c:pt idx="4">
                  <c:v>-1.3660789420073219E-2</c:v>
                </c:pt>
                <c:pt idx="5">
                  <c:v>-1.4964645037404035E-2</c:v>
                </c:pt>
                <c:pt idx="6">
                  <c:v>-1.6163664021855262E-2</c:v>
                </c:pt>
                <c:pt idx="7">
                  <c:v>-1.7279683681344835E-2</c:v>
                </c:pt>
                <c:pt idx="8">
                  <c:v>-1.8327872261756188E-2</c:v>
                </c:pt>
                <c:pt idx="9">
                  <c:v>-1.9319273670590435E-2</c:v>
                </c:pt>
                <c:pt idx="10">
                  <c:v>-2.0262225165935888E-2</c:v>
                </c:pt>
                <c:pt idx="11">
                  <c:v>-2.1163203967996019E-2</c:v>
                </c:pt>
                <c:pt idx="12">
                  <c:v>-2.202736106997203E-2</c:v>
                </c:pt>
                <c:pt idx="13">
                  <c:v>-2.2858872877349754E-2</c:v>
                </c:pt>
                <c:pt idx="14">
                  <c:v>-2.3661181347066195E-2</c:v>
                </c:pt>
                <c:pt idx="15">
                  <c:v>-2.4437163015674918E-2</c:v>
                </c:pt>
                <c:pt idx="16">
                  <c:v>-2.5189251076016272E-2</c:v>
                </c:pt>
                <c:pt idx="17">
                  <c:v>-2.5919525522017251E-2</c:v>
                </c:pt>
                <c:pt idx="18">
                  <c:v>-2.6629781013039158E-2</c:v>
                </c:pt>
                <c:pt idx="19">
                  <c:v>-2.7321578840146438E-2</c:v>
                </c:pt>
                <c:pt idx="20">
                  <c:v>-2.7996287322326407E-2</c:v>
                </c:pt>
                <c:pt idx="21">
                  <c:v>-2.8655113633523972E-2</c:v>
                </c:pt>
                <c:pt idx="22">
                  <c:v>-2.9299129182726369E-2</c:v>
                </c:pt>
                <c:pt idx="23">
                  <c:v>-2.992929007480807E-2</c:v>
                </c:pt>
                <c:pt idx="24">
                  <c:v>-3.0546453769593647E-2</c:v>
                </c:pt>
                <c:pt idx="25">
                  <c:v>-3.1151392768443576E-2</c:v>
                </c:pt>
                <c:pt idx="26">
                  <c:v>-3.1744805951994033E-2</c:v>
                </c:pt>
                <c:pt idx="27">
                  <c:v>-3.2327328043710524E-2</c:v>
                </c:pt>
                <c:pt idx="28">
                  <c:v>-3.289953756455536E-2</c:v>
                </c:pt>
                <c:pt idx="29">
                  <c:v>-3.3461963562790312E-2</c:v>
                </c:pt>
                <c:pt idx="30">
                  <c:v>-3.4015091341835654E-2</c:v>
                </c:pt>
                <c:pt idx="31">
                  <c:v>-3.4559367362689671E-2</c:v>
                </c:pt>
                <c:pt idx="32">
                  <c:v>-3.5095203461801686E-2</c:v>
                </c:pt>
                <c:pt idx="33">
                  <c:v>-3.5622980497723292E-2</c:v>
                </c:pt>
                <c:pt idx="34">
                  <c:v>-3.6143051518336008E-2</c:v>
                </c:pt>
                <c:pt idx="35">
                  <c:v>-3.6655744523512376E-2</c:v>
                </c:pt>
                <c:pt idx="36">
                  <c:v>-3.7161364884634208E-2</c:v>
                </c:pt>
                <c:pt idx="37">
                  <c:v>-3.7660197471665505E-2</c:v>
                </c:pt>
                <c:pt idx="38">
                  <c:v>-3.8152508529856306E-2</c:v>
                </c:pt>
                <c:pt idx="39">
                  <c:v>-3.8638547341180871E-2</c:v>
                </c:pt>
                <c:pt idx="40">
                  <c:v>-3.9118547699941414E-2</c:v>
                </c:pt>
                <c:pt idx="41">
                  <c:v>-3.9592729227327948E-2</c:v>
                </c:pt>
                <c:pt idx="42">
                  <c:v>-4.0061298545908688E-2</c:v>
                </c:pt>
                <c:pt idx="43">
                  <c:v>-4.0524450331871777E-2</c:v>
                </c:pt>
                <c:pt idx="44">
                  <c:v>-4.0982368260219657E-2</c:v>
                </c:pt>
                <c:pt idx="45">
                  <c:v>-4.1435225855932969E-2</c:v>
                </c:pt>
                <c:pt idx="46">
                  <c:v>-4.1883187262290497E-2</c:v>
                </c:pt>
                <c:pt idx="47">
                  <c:v>-4.2326407935992037E-2</c:v>
                </c:pt>
                <c:pt idx="48">
                  <c:v>-4.2765035277431106E-2</c:v>
                </c:pt>
                <c:pt idx="49">
                  <c:v>-4.3199209203362093E-2</c:v>
                </c:pt>
                <c:pt idx="50">
                  <c:v>-4.36290626682692E-2</c:v>
                </c:pt>
                <c:pt idx="51">
                  <c:v>-4.4054722139944061E-2</c:v>
                </c:pt>
                <c:pt idx="52">
                  <c:v>-4.4476308034093776E-2</c:v>
                </c:pt>
                <c:pt idx="53">
                  <c:v>-4.4893935112212111E-2</c:v>
                </c:pt>
                <c:pt idx="54">
                  <c:v>-4.5307712846439606E-2</c:v>
                </c:pt>
                <c:pt idx="55">
                  <c:v>-4.5717745754699508E-2</c:v>
                </c:pt>
                <c:pt idx="56">
                  <c:v>-4.6124133709016822E-2</c:v>
                </c:pt>
                <c:pt idx="57">
                  <c:v>-4.6526972219597298E-2</c:v>
                </c:pt>
                <c:pt idx="58">
                  <c:v>-4.6926352696955852E-2</c:v>
                </c:pt>
                <c:pt idx="59">
                  <c:v>-4.732236269413239E-2</c:v>
                </c:pt>
                <c:pt idx="60">
                  <c:v>-4.7715086130813274E-2</c:v>
                </c:pt>
                <c:pt idx="61">
                  <c:v>-4.8104603500983632E-2</c:v>
                </c:pt>
                <c:pt idx="62">
                  <c:v>-4.8490992065565779E-2</c:v>
                </c:pt>
                <c:pt idx="63">
                  <c:v>-4.8874326031349835E-2</c:v>
                </c:pt>
                <c:pt idx="64">
                  <c:v>-4.9254676717389964E-2</c:v>
                </c:pt>
                <c:pt idx="65">
                  <c:v>-4.963211270992314E-2</c:v>
                </c:pt>
                <c:pt idx="66">
                  <c:v>-5.0006700006763403E-2</c:v>
                </c:pt>
                <c:pt idx="67">
                  <c:v>-5.0378502152032545E-2</c:v>
                </c:pt>
                <c:pt idx="68">
                  <c:v>-5.0747580362006071E-2</c:v>
                </c:pt>
                <c:pt idx="69">
                  <c:v>-5.1113993642780263E-2</c:v>
                </c:pt>
                <c:pt idx="70">
                  <c:v>-5.1477798900400731E-2</c:v>
                </c:pt>
                <c:pt idx="71">
                  <c:v>-5.1839051044034502E-2</c:v>
                </c:pt>
                <c:pt idx="72">
                  <c:v>-5.2197803082715384E-2</c:v>
                </c:pt>
                <c:pt idx="73">
                  <c:v>-5.2554106216144987E-2</c:v>
                </c:pt>
                <c:pt idx="74">
                  <c:v>-5.2908009919990055E-2</c:v>
                </c:pt>
                <c:pt idx="75">
                  <c:v>-5.3259562026078316E-2</c:v>
                </c:pt>
                <c:pt idx="76">
                  <c:v>-5.360880879786082E-2</c:v>
                </c:pt>
                <c:pt idx="77">
                  <c:v>-5.3955795001477985E-2</c:v>
                </c:pt>
                <c:pt idx="78">
                  <c:v>-5.4300563972738192E-2</c:v>
                </c:pt>
                <c:pt idx="79">
                  <c:v>-5.4643157680292875E-2</c:v>
                </c:pt>
                <c:pt idx="80">
                  <c:v>-5.4983616785268564E-2</c:v>
                </c:pt>
                <c:pt idx="81">
                  <c:v>-5.5321980697596002E-2</c:v>
                </c:pt>
                <c:pt idx="82">
                  <c:v>-5.5658287629256981E-2</c:v>
                </c:pt>
                <c:pt idx="83">
                  <c:v>-5.5992574644652814E-2</c:v>
                </c:pt>
                <c:pt idx="84">
                  <c:v>-5.6324877708282102E-2</c:v>
                </c:pt>
                <c:pt idx="85">
                  <c:v>-5.6655231729901619E-2</c:v>
                </c:pt>
                <c:pt idx="86">
                  <c:v>-5.6983670607330734E-2</c:v>
                </c:pt>
                <c:pt idx="87">
                  <c:v>-5.7310227267047945E-2</c:v>
                </c:pt>
                <c:pt idx="88">
                  <c:v>-5.7634933702717155E-2</c:v>
                </c:pt>
                <c:pt idx="89">
                  <c:v>-5.7957821011771299E-2</c:v>
                </c:pt>
                <c:pt idx="90">
                  <c:v>-5.8278919430171626E-2</c:v>
                </c:pt>
                <c:pt idx="91">
                  <c:v>-5.8598258365452738E-2</c:v>
                </c:pt>
                <c:pt idx="92">
                  <c:v>-5.8915866428155578E-2</c:v>
                </c:pt>
                <c:pt idx="93">
                  <c:v>-5.9231771461743292E-2</c:v>
                </c:pt>
                <c:pt idx="94">
                  <c:v>-5.9546000571088761E-2</c:v>
                </c:pt>
                <c:pt idx="95">
                  <c:v>-5.985858014961614E-2</c:v>
                </c:pt>
                <c:pt idx="96">
                  <c:v>-6.016953590517328E-2</c:v>
                </c:pt>
                <c:pt idx="97">
                  <c:v>-6.0478892884706925E-2</c:v>
                </c:pt>
                <c:pt idx="98">
                  <c:v>-6.0786675497807661E-2</c:v>
                </c:pt>
                <c:pt idx="99">
                  <c:v>-6.1092907539187294E-2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7-401E-8D84-AFE1832BCE62}"/>
            </c:ext>
          </c:extLst>
        </c:ser>
        <c:ser>
          <c:idx val="10"/>
          <c:order val="10"/>
          <c:tx>
            <c:strRef>
              <c:f>Sheet1!$AV$137:$AV$137</c:f>
              <c:strCache>
                <c:ptCount val="1"/>
                <c:pt idx="0">
                  <c:v>0,995</c:v>
                </c:pt>
              </c:strCache>
            </c:strRef>
          </c:tx>
          <c:cat>
            <c:numRef>
              <c:f>Sheet1!$AK$138:$AK$237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Sheet1!$AV$138:$AV$237</c:f>
              <c:numCache>
                <c:formatCode>General</c:formatCode>
                <c:ptCount val="100"/>
                <c:pt idx="0">
                  <c:v>-7.1139180859426648E-3</c:v>
                </c:pt>
                <c:pt idx="1">
                  <c:v>-1.0060599438751367E-2</c:v>
                </c:pt>
                <c:pt idx="2">
                  <c:v>-1.2321667565735833E-2</c:v>
                </c:pt>
                <c:pt idx="3">
                  <c:v>-1.422783617188533E-2</c:v>
                </c:pt>
                <c:pt idx="4">
                  <c:v>-1.5907204426532991E-2</c:v>
                </c:pt>
                <c:pt idx="5">
                  <c:v>-1.7425469382516295E-2</c:v>
                </c:pt>
                <c:pt idx="6">
                  <c:v>-1.8821658102688908E-2</c:v>
                </c:pt>
                <c:pt idx="7">
                  <c:v>-2.0121198877502734E-2</c:v>
                </c:pt>
                <c:pt idx="8">
                  <c:v>-2.1341754257827993E-2</c:v>
                </c:pt>
                <c:pt idx="9">
                  <c:v>-2.2496184239444286E-2</c:v>
                </c:pt>
                <c:pt idx="10">
                  <c:v>-2.3594197080395077E-2</c:v>
                </c:pt>
                <c:pt idx="11">
                  <c:v>-2.4643335131471666E-2</c:v>
                </c:pt>
                <c:pt idx="12">
                  <c:v>-2.5649596428316917E-2</c:v>
                </c:pt>
                <c:pt idx="13">
                  <c:v>-2.6617844155172109E-2</c:v>
                </c:pt>
                <c:pt idx="14">
                  <c:v>-2.7552086273139684E-2</c:v>
                </c:pt>
                <c:pt idx="15">
                  <c:v>-2.8455672343770659E-2</c:v>
                </c:pt>
                <c:pt idx="16">
                  <c:v>-2.9331435680333421E-2</c:v>
                </c:pt>
                <c:pt idx="17">
                  <c:v>-3.0181798316254095E-2</c:v>
                </c:pt>
                <c:pt idx="18">
                  <c:v>-3.1008850029250374E-2</c:v>
                </c:pt>
                <c:pt idx="19">
                  <c:v>-3.1814408853065981E-2</c:v>
                </c:pt>
                <c:pt idx="20">
                  <c:v>-3.2600068116547622E-2</c:v>
                </c:pt>
                <c:pt idx="21">
                  <c:v>-3.3367233504398401E-2</c:v>
                </c:pt>
                <c:pt idx="22">
                  <c:v>-3.4117152610828316E-2</c:v>
                </c:pt>
                <c:pt idx="23">
                  <c:v>-3.4850938765032591E-2</c:v>
                </c:pt>
                <c:pt idx="24">
                  <c:v>-3.5569590429713326E-2</c:v>
                </c:pt>
                <c:pt idx="25">
                  <c:v>-3.6274007138322281E-2</c:v>
                </c:pt>
                <c:pt idx="26">
                  <c:v>-3.6965002697207504E-2</c:v>
                </c:pt>
                <c:pt idx="27">
                  <c:v>-3.7643316205377815E-2</c:v>
                </c:pt>
                <c:pt idx="28">
                  <c:v>-3.8309621317256091E-2</c:v>
                </c:pt>
                <c:pt idx="29">
                  <c:v>-3.8964534079147725E-2</c:v>
                </c:pt>
                <c:pt idx="30">
                  <c:v>-3.9608619599003525E-2</c:v>
                </c:pt>
                <c:pt idx="31">
                  <c:v>-4.0242397755005467E-2</c:v>
                </c:pt>
                <c:pt idx="32">
                  <c:v>-4.0866348107037542E-2</c:v>
                </c:pt>
                <c:pt idx="33">
                  <c:v>-4.1480914143001639E-2</c:v>
                </c:pt>
                <c:pt idx="34">
                  <c:v>-4.208650696687212E-2</c:v>
                </c:pt>
                <c:pt idx="35">
                  <c:v>-4.2683508515655985E-2</c:v>
                </c:pt>
                <c:pt idx="36">
                  <c:v>-4.3272274376782868E-2</c:v>
                </c:pt>
                <c:pt idx="37">
                  <c:v>-4.3853136264959215E-2</c:v>
                </c:pt>
                <c:pt idx="38">
                  <c:v>-4.4426404207482104E-2</c:v>
                </c:pt>
                <c:pt idx="39">
                  <c:v>-4.4992368478888572E-2</c:v>
                </c:pt>
                <c:pt idx="40">
                  <c:v>-4.5551301319211375E-2</c:v>
                </c:pt>
                <c:pt idx="41">
                  <c:v>-4.6103458464708376E-2</c:v>
                </c:pt>
                <c:pt idx="42">
                  <c:v>-4.6649080515489182E-2</c:v>
                </c:pt>
                <c:pt idx="43">
                  <c:v>-4.7188394160790154E-2</c:v>
                </c:pt>
                <c:pt idx="44">
                  <c:v>-4.7721613279598972E-2</c:v>
                </c:pt>
                <c:pt idx="45">
                  <c:v>-4.8248939931786056E-2</c:v>
                </c:pt>
                <c:pt idx="46">
                  <c:v>-4.8770565252769016E-2</c:v>
                </c:pt>
                <c:pt idx="47">
                  <c:v>-4.9286670262943331E-2</c:v>
                </c:pt>
                <c:pt idx="48">
                  <c:v>-4.9797426601598652E-2</c:v>
                </c:pt>
                <c:pt idx="49">
                  <c:v>-5.0302997193756832E-2</c:v>
                </c:pt>
                <c:pt idx="50">
                  <c:v>-5.0803536857276087E-2</c:v>
                </c:pt>
                <c:pt idx="51">
                  <c:v>-5.1299192856633834E-2</c:v>
                </c:pt>
                <c:pt idx="52">
                  <c:v>-5.179010540900273E-2</c:v>
                </c:pt>
                <c:pt idx="53">
                  <c:v>-5.2276408147548893E-2</c:v>
                </c:pt>
                <c:pt idx="54">
                  <c:v>-5.2758228546290468E-2</c:v>
                </c:pt>
                <c:pt idx="55">
                  <c:v>-5.3235688310344219E-2</c:v>
                </c:pt>
                <c:pt idx="56">
                  <c:v>-5.3708903734945315E-2</c:v>
                </c:pt>
                <c:pt idx="57">
                  <c:v>-5.4177986036241001E-2</c:v>
                </c:pt>
                <c:pt idx="58">
                  <c:v>-5.4643041656524081E-2</c:v>
                </c:pt>
                <c:pt idx="59">
                  <c:v>-5.5104172546279369E-2</c:v>
                </c:pt>
                <c:pt idx="60">
                  <c:v>-5.5561476425160183E-2</c:v>
                </c:pt>
                <c:pt idx="61">
                  <c:v>-5.6015047023787574E-2</c:v>
                </c:pt>
                <c:pt idx="62">
                  <c:v>-5.6464974308066726E-2</c:v>
                </c:pt>
                <c:pt idx="63">
                  <c:v>-5.6911344687541318E-2</c:v>
                </c:pt>
                <c:pt idx="64">
                  <c:v>-5.7354241209152432E-2</c:v>
                </c:pt>
                <c:pt idx="65">
                  <c:v>-5.7793743737632554E-2</c:v>
                </c:pt>
                <c:pt idx="66">
                  <c:v>-5.8229929123644344E-2</c:v>
                </c:pt>
                <c:pt idx="67">
                  <c:v>-5.8662871360666842E-2</c:v>
                </c:pt>
                <c:pt idx="68">
                  <c:v>-5.9092641731535812E-2</c:v>
                </c:pt>
                <c:pt idx="69">
                  <c:v>-5.95193089454603E-2</c:v>
                </c:pt>
                <c:pt idx="70">
                  <c:v>-5.9942939266260986E-2</c:v>
                </c:pt>
                <c:pt idx="71">
                  <c:v>-6.036359663250819E-2</c:v>
                </c:pt>
                <c:pt idx="72">
                  <c:v>-6.0781342770176244E-2</c:v>
                </c:pt>
                <c:pt idx="73">
                  <c:v>-6.1196237298376102E-2</c:v>
                </c:pt>
                <c:pt idx="74">
                  <c:v>-6.160833782867918E-2</c:v>
                </c:pt>
                <c:pt idx="75">
                  <c:v>-6.2017700058500748E-2</c:v>
                </c:pt>
                <c:pt idx="76">
                  <c:v>-6.2424377858971619E-2</c:v>
                </c:pt>
                <c:pt idx="77">
                  <c:v>-6.282842335769033E-2</c:v>
                </c:pt>
                <c:pt idx="78">
                  <c:v>-6.3229887016715988E-2</c:v>
                </c:pt>
                <c:pt idx="79">
                  <c:v>-6.3628817706131963E-2</c:v>
                </c:pt>
                <c:pt idx="80">
                  <c:v>-6.4025262773483985E-2</c:v>
                </c:pt>
                <c:pt idx="81">
                  <c:v>-6.4419268109372194E-2</c:v>
                </c:pt>
                <c:pt idx="82">
                  <c:v>-6.4810878209453998E-2</c:v>
                </c:pt>
                <c:pt idx="83">
                  <c:v>-6.5200136233095243E-2</c:v>
                </c:pt>
                <c:pt idx="84">
                  <c:v>-6.5587084058888315E-2</c:v>
                </c:pt>
                <c:pt idx="85">
                  <c:v>-6.5971762337239295E-2</c:v>
                </c:pt>
                <c:pt idx="86">
                  <c:v>-6.6354210540211289E-2</c:v>
                </c:pt>
                <c:pt idx="87">
                  <c:v>-6.6734467008796802E-2</c:v>
                </c:pt>
                <c:pt idx="88">
                  <c:v>-6.7112568997779329E-2</c:v>
                </c:pt>
                <c:pt idx="89">
                  <c:v>-6.7488552718332859E-2</c:v>
                </c:pt>
                <c:pt idx="90">
                  <c:v>-6.7862453378497126E-2</c:v>
                </c:pt>
                <c:pt idx="91">
                  <c:v>-6.8234305221656633E-2</c:v>
                </c:pt>
                <c:pt idx="92">
                  <c:v>-6.8604141563142526E-2</c:v>
                </c:pt>
                <c:pt idx="93">
                  <c:v>-6.8971994825067967E-2</c:v>
                </c:pt>
                <c:pt idx="94">
                  <c:v>-6.9337896569500165E-2</c:v>
                </c:pt>
                <c:pt idx="95">
                  <c:v>-6.9701877530065182E-2</c:v>
                </c:pt>
                <c:pt idx="96">
                  <c:v>-7.0063967642074815E-2</c:v>
                </c:pt>
                <c:pt idx="97">
                  <c:v>-7.0424196071259562E-2</c:v>
                </c:pt>
                <c:pt idx="98">
                  <c:v>-7.078259124118523E-2</c:v>
                </c:pt>
                <c:pt idx="99">
                  <c:v>-7.1139180859426651E-2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27-401E-8D84-AFE1832BCE62}"/>
            </c:ext>
          </c:extLst>
        </c:ser>
        <c:bandFmts/>
        <c:axId val="451717264"/>
        <c:axId val="451717624"/>
        <c:axId val="455929904"/>
      </c:surface3DChart>
      <c:valAx>
        <c:axId val="451717624"/>
        <c:scaling>
          <c:orientation val="minMax"/>
        </c:scaling>
        <c:delete val="0"/>
        <c:axPos val="r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it-IT"/>
          </a:p>
        </c:txPr>
        <c:crossAx val="451717264"/>
        <c:crosses val="autoZero"/>
        <c:crossBetween val="midCat"/>
      </c:valAx>
      <c:catAx>
        <c:axId val="451717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8" cap="flat">
            <a:solidFill>
              <a:srgbClr val="D9D9D9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it-IT"/>
          </a:p>
        </c:txPr>
        <c:crossAx val="451717624"/>
        <c:crosses val="autoZero"/>
        <c:auto val="1"/>
        <c:lblAlgn val="ctr"/>
        <c:lblOffset val="100"/>
        <c:noMultiLvlLbl val="0"/>
      </c:catAx>
      <c:serAx>
        <c:axId val="455929904"/>
        <c:scaling>
          <c:orientation val="minMax"/>
        </c:scaling>
        <c:delete val="0"/>
        <c:axPos val="b"/>
        <c:majorTickMark val="out"/>
        <c:minorTickMark val="none"/>
        <c:tickLblPos val="low"/>
        <c:spPr>
          <a:noFill/>
          <a:ln w="9528" cap="flat">
            <a:solidFill>
              <a:srgbClr val="D9D9D9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it-IT"/>
          </a:p>
        </c:txPr>
        <c:crossAx val="451717624"/>
        <c:crosses val="autoZero"/>
      </c:serAx>
      <c:spPr>
        <a:noFill/>
        <a:ln>
          <a:noFill/>
        </a:ln>
      </c:spPr>
    </c:plotArea>
    <c:plotVisOnly val="1"/>
    <c:dispBlanksAs val="zero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it-IT" sz="1000" b="0" i="0" u="none" strike="noStrike" kern="1200" baseline="0">
          <a:solidFill>
            <a:srgbClr val="000000"/>
          </a:solidFill>
          <a:latin typeface="Calibri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400" b="0" i="0" u="none" strike="noStrike" kern="1200" spc="0" baseline="0">
                <a:solidFill>
                  <a:srgbClr val="595959"/>
                </a:solidFill>
                <a:latin typeface="Calibri"/>
              </a:defRPr>
            </a:pPr>
            <a:r>
              <a:rPr lang="it-IT" sz="1400" b="0" i="0" u="none" strike="noStrike" kern="1200" cap="none" spc="0" baseline="0">
                <a:solidFill>
                  <a:srgbClr val="595959"/>
                </a:solidFill>
                <a:uFillTx/>
                <a:latin typeface="Calibri"/>
              </a:rPr>
              <a:t> Portfolio Var, </a:t>
            </a:r>
            <a:r>
              <a:rPr lang="el-GR" sz="1400" b="0" i="0" u="none" strike="noStrike" kern="1200" cap="none" spc="0" baseline="0">
                <a:solidFill>
                  <a:srgbClr val="595959"/>
                </a:solidFill>
                <a:uFillTx/>
                <a:latin typeface="Arial" panose="020B0604020202020204" pitchFamily="34" charset="0"/>
                <a:cs typeface="Arial" panose="020B0604020202020204" pitchFamily="34" charset="0"/>
              </a:rPr>
              <a:t>σ</a:t>
            </a:r>
            <a:r>
              <a:rPr lang="it-IT" sz="1400" b="0" i="0" u="none" strike="noStrike" kern="1200" cap="none" spc="0" baseline="0">
                <a:solidFill>
                  <a:srgbClr val="595959"/>
                </a:solidFill>
                <a:uFillTx/>
                <a:latin typeface="Arial" panose="020B0604020202020204" pitchFamily="34" charset="0"/>
                <a:cs typeface="Arial" panose="020B0604020202020204" pitchFamily="34" charset="0"/>
              </a:rPr>
              <a:t> EWMA</a:t>
            </a:r>
            <a:endParaRPr lang="it-IT" sz="1400" b="0" i="0" u="none" strike="noStrike" kern="1200" cap="none" spc="0" baseline="0">
              <a:solidFill>
                <a:srgbClr val="595959"/>
              </a:solidFill>
              <a:uFillTx/>
              <a:latin typeface="Calibri"/>
            </a:endParaRPr>
          </a:p>
        </c:rich>
      </c:tx>
      <c:overlay val="0"/>
      <c:spPr>
        <a:noFill/>
        <a:ln>
          <a:noFill/>
        </a:ln>
      </c:spPr>
    </c:title>
    <c:autoTitleDeleted val="0"/>
    <c:view3D>
      <c:rotX val="0"/>
      <c:rotY val="119"/>
      <c:depthPercent val="230"/>
      <c:rAngAx val="0"/>
    </c:view3D>
    <c:floor>
      <c:thickness val="0"/>
      <c:spPr>
        <a:noFill/>
        <a:ln>
          <a:noFill/>
        </a:ln>
      </c:spPr>
    </c:floor>
    <c:sideWall>
      <c:thickness val="0"/>
      <c:spPr>
        <a:noFill/>
        <a:ln>
          <a:noFill/>
        </a:ln>
      </c:spPr>
    </c:sideWall>
    <c:backWall>
      <c:thickness val="0"/>
      <c:spPr>
        <a:noFill/>
        <a:ln>
          <a:noFill/>
        </a:ln>
      </c:spPr>
    </c:backWall>
    <c:plotArea>
      <c:layout/>
      <c:surface3DChart>
        <c:wireframe val="0"/>
        <c:ser>
          <c:idx val="0"/>
          <c:order val="0"/>
          <c:tx>
            <c:strRef>
              <c:f>Sheet1!$AY$137:$AY$137</c:f>
              <c:strCache>
                <c:ptCount val="1"/>
                <c:pt idx="0">
                  <c:v>0,9</c:v>
                </c:pt>
              </c:strCache>
            </c:strRef>
          </c:tx>
          <c:cat>
            <c:numRef>
              <c:f>Sheet1!$AX$138:$AX$237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Sheet1!$AY$138:$AY$237</c:f>
              <c:numCache>
                <c:formatCode>General</c:formatCode>
                <c:ptCount val="100"/>
                <c:pt idx="0">
                  <c:v>-1.6868487861953687E-3</c:v>
                </c:pt>
                <c:pt idx="1">
                  <c:v>-2.385564431110084E-3</c:v>
                </c:pt>
                <c:pt idx="2">
                  <c:v>-2.9217078023762687E-3</c:v>
                </c:pt>
                <c:pt idx="3">
                  <c:v>-3.3736975723907374E-3</c:v>
                </c:pt>
                <c:pt idx="4">
                  <c:v>-3.7719085536958535E-3</c:v>
                </c:pt>
                <c:pt idx="5">
                  <c:v>-4.1319187994118094E-3</c:v>
                </c:pt>
                <c:pt idx="6">
                  <c:v>-4.4629823876441103E-3</c:v>
                </c:pt>
                <c:pt idx="7">
                  <c:v>-4.771128862220168E-3</c:v>
                </c:pt>
                <c:pt idx="8">
                  <c:v>-5.0605463585861061E-3</c:v>
                </c:pt>
                <c:pt idx="9">
                  <c:v>-5.3342842326677617E-3</c:v>
                </c:pt>
                <c:pt idx="10">
                  <c:v>-5.5946445018764755E-3</c:v>
                </c:pt>
                <c:pt idx="11">
                  <c:v>-5.8434156047525374E-3</c:v>
                </c:pt>
                <c:pt idx="12">
                  <c:v>-6.0820197925815934E-3</c:v>
                </c:pt>
                <c:pt idx="13">
                  <c:v>-6.3116102212385583E-3</c:v>
                </c:pt>
                <c:pt idx="14">
                  <c:v>-6.5331372565048586E-3</c:v>
                </c:pt>
                <c:pt idx="15">
                  <c:v>-6.7473951447814748E-3</c:v>
                </c:pt>
                <c:pt idx="16">
                  <c:v>-6.9550557199284466E-3</c:v>
                </c:pt>
                <c:pt idx="17">
                  <c:v>-7.1566932933302503E-3</c:v>
                </c:pt>
                <c:pt idx="18">
                  <c:v>-7.3528033920598609E-3</c:v>
                </c:pt>
                <c:pt idx="19">
                  <c:v>-7.543817107391707E-3</c:v>
                </c:pt>
                <c:pt idx="20">
                  <c:v>-7.730112248684657E-3</c:v>
                </c:pt>
                <c:pt idx="21">
                  <c:v>-7.9120221312097803E-3</c:v>
                </c:pt>
                <c:pt idx="22">
                  <c:v>-8.0898425838975465E-3</c:v>
                </c:pt>
                <c:pt idx="23">
                  <c:v>-8.2638375988236187E-3</c:v>
                </c:pt>
                <c:pt idx="24">
                  <c:v>-8.4342439309768435E-3</c:v>
                </c:pt>
                <c:pt idx="25">
                  <c:v>-8.6012748772904875E-3</c:v>
                </c:pt>
                <c:pt idx="26">
                  <c:v>-8.765123407128806E-3</c:v>
                </c:pt>
                <c:pt idx="27">
                  <c:v>-8.9259647752882205E-3</c:v>
                </c:pt>
                <c:pt idx="28">
                  <c:v>-9.0839587183768541E-3</c:v>
                </c:pt>
                <c:pt idx="29">
                  <c:v>-9.2392513129941258E-3</c:v>
                </c:pt>
                <c:pt idx="30">
                  <c:v>-9.3919765572616516E-3</c:v>
                </c:pt>
                <c:pt idx="31">
                  <c:v>-9.542257724440336E-3</c:v>
                </c:pt>
                <c:pt idx="32">
                  <c:v>-9.6902085275359286E-3</c:v>
                </c:pt>
                <c:pt idx="33">
                  <c:v>-9.8359341261833808E-3</c:v>
                </c:pt>
                <c:pt idx="34">
                  <c:v>-9.9795320011565481E-3</c:v>
                </c:pt>
                <c:pt idx="35">
                  <c:v>-1.0121092717172212E-2</c:v>
                </c:pt>
                <c:pt idx="36">
                  <c:v>-1.026070059094822E-2</c:v>
                </c:pt>
                <c:pt idx="37">
                  <c:v>-1.0398434278513951E-2</c:v>
                </c:pt>
                <c:pt idx="38">
                  <c:v>-1.0534367293390846E-2</c:v>
                </c:pt>
                <c:pt idx="39">
                  <c:v>-1.0668568465335523E-2</c:v>
                </c:pt>
                <c:pt idx="40">
                  <c:v>-1.0801102347771747E-2</c:v>
                </c:pt>
                <c:pt idx="41">
                  <c:v>-1.0932029580756225E-2</c:v>
                </c:pt>
                <c:pt idx="42">
                  <c:v>-1.1061407215269579E-2</c:v>
                </c:pt>
                <c:pt idx="43">
                  <c:v>-1.1189289003752951E-2</c:v>
                </c:pt>
                <c:pt idx="44">
                  <c:v>-1.131572566108756E-2</c:v>
                </c:pt>
                <c:pt idx="45">
                  <c:v>-1.1440765099611314E-2</c:v>
                </c:pt>
                <c:pt idx="46">
                  <c:v>-1.1564452641261196E-2</c:v>
                </c:pt>
                <c:pt idx="47">
                  <c:v>-1.1686831209505075E-2</c:v>
                </c:pt>
                <c:pt idx="48">
                  <c:v>-1.1807941503367581E-2</c:v>
                </c:pt>
                <c:pt idx="49">
                  <c:v>-1.1927822155550419E-2</c:v>
                </c:pt>
                <c:pt idx="50">
                  <c:v>-1.2046509876388606E-2</c:v>
                </c:pt>
                <c:pt idx="51">
                  <c:v>-1.2164039585163187E-2</c:v>
                </c:pt>
                <c:pt idx="52">
                  <c:v>-1.2280444530101742E-2</c:v>
                </c:pt>
                <c:pt idx="53">
                  <c:v>-1.239575639823543E-2</c:v>
                </c:pt>
                <c:pt idx="54">
                  <c:v>-1.2510005416141249E-2</c:v>
                </c:pt>
                <c:pt idx="55">
                  <c:v>-1.2623220442477117E-2</c:v>
                </c:pt>
                <c:pt idx="56">
                  <c:v>-1.2735429053112462E-2</c:v>
                </c:pt>
                <c:pt idx="57">
                  <c:v>-1.2846657619565868E-2</c:v>
                </c:pt>
                <c:pt idx="58">
                  <c:v>-1.2956931381381879E-2</c:v>
                </c:pt>
                <c:pt idx="59">
                  <c:v>-1.3066274513009717E-2</c:v>
                </c:pt>
                <c:pt idx="60">
                  <c:v>-1.317471018568591E-2</c:v>
                </c:pt>
                <c:pt idx="61">
                  <c:v>-1.3282260624769599E-2</c:v>
                </c:pt>
                <c:pt idx="62">
                  <c:v>-1.3388947162932331E-2</c:v>
                </c:pt>
                <c:pt idx="63">
                  <c:v>-1.349479028956295E-2</c:v>
                </c:pt>
                <c:pt idx="64">
                  <c:v>-1.3599809696711615E-2</c:v>
                </c:pt>
                <c:pt idx="65">
                  <c:v>-1.370402432186473E-2</c:v>
                </c:pt>
                <c:pt idx="66">
                  <c:v>-1.380745238781394E-2</c:v>
                </c:pt>
                <c:pt idx="67">
                  <c:v>-1.3910111439856893E-2</c:v>
                </c:pt>
                <c:pt idx="68">
                  <c:v>-1.401201838054484E-2</c:v>
                </c:pt>
                <c:pt idx="69">
                  <c:v>-1.4113189502171903E-2</c:v>
                </c:pt>
                <c:pt idx="70">
                  <c:v>-1.4213640517182923E-2</c:v>
                </c:pt>
                <c:pt idx="71">
                  <c:v>-1.4313386586660501E-2</c:v>
                </c:pt>
                <c:pt idx="72">
                  <c:v>-1.4412442347037559E-2</c:v>
                </c:pt>
                <c:pt idx="73">
                  <c:v>-1.4510821935168606E-2</c:v>
                </c:pt>
                <c:pt idx="74">
                  <c:v>-1.4608539011881345E-2</c:v>
                </c:pt>
                <c:pt idx="75">
                  <c:v>-1.4705606784119722E-2</c:v>
                </c:pt>
                <c:pt idx="76">
                  <c:v>-1.4802038025779989E-2</c:v>
                </c:pt>
                <c:pt idx="77">
                  <c:v>-1.4897845097332888E-2</c:v>
                </c:pt>
                <c:pt idx="78">
                  <c:v>-1.4993039964317252E-2</c:v>
                </c:pt>
                <c:pt idx="79">
                  <c:v>-1.5087634214783414E-2</c:v>
                </c:pt>
                <c:pt idx="80">
                  <c:v>-1.5181639075758318E-2</c:v>
                </c:pt>
                <c:pt idx="81">
                  <c:v>-1.5275065428798683E-2</c:v>
                </c:pt>
                <c:pt idx="82">
                  <c:v>-1.536792382469309E-2</c:v>
                </c:pt>
                <c:pt idx="83">
                  <c:v>-1.5460224497369314E-2</c:v>
                </c:pt>
                <c:pt idx="84">
                  <c:v>-1.5551977377058745E-2</c:v>
                </c:pt>
                <c:pt idx="85">
                  <c:v>-1.5643192102765848E-2</c:v>
                </c:pt>
                <c:pt idx="86">
                  <c:v>-1.5733878034086976E-2</c:v>
                </c:pt>
                <c:pt idx="87">
                  <c:v>-1.5824044262419561E-2</c:v>
                </c:pt>
                <c:pt idx="88">
                  <c:v>-1.5913699621599692E-2</c:v>
                </c:pt>
                <c:pt idx="89">
                  <c:v>-1.6002852698003285E-2</c:v>
                </c:pt>
                <c:pt idx="90">
                  <c:v>-1.6091511840143541E-2</c:v>
                </c:pt>
                <c:pt idx="91">
                  <c:v>-1.6179685167795093E-2</c:v>
                </c:pt>
                <c:pt idx="92">
                  <c:v>-1.6267380580673011E-2</c:v>
                </c:pt>
                <c:pt idx="93">
                  <c:v>-1.6354605766692946E-2</c:v>
                </c:pt>
                <c:pt idx="94">
                  <c:v>-1.6441368209836882E-2</c:v>
                </c:pt>
                <c:pt idx="95">
                  <c:v>-1.6527675197647237E-2</c:v>
                </c:pt>
                <c:pt idx="96">
                  <c:v>-1.6613533828370546E-2</c:v>
                </c:pt>
                <c:pt idx="97">
                  <c:v>-1.6698951017770587E-2</c:v>
                </c:pt>
                <c:pt idx="98">
                  <c:v>-1.6783933505629425E-2</c:v>
                </c:pt>
                <c:pt idx="99">
                  <c:v>-1.6868487861953687E-2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C-4E42-ABE2-53E074BEE8D2}"/>
            </c:ext>
          </c:extLst>
        </c:ser>
        <c:ser>
          <c:idx val="1"/>
          <c:order val="1"/>
          <c:tx>
            <c:strRef>
              <c:f>Sheet1!$AZ$137:$AZ$137</c:f>
              <c:strCache>
                <c:ptCount val="1"/>
                <c:pt idx="0">
                  <c:v>0,91</c:v>
                </c:pt>
              </c:strCache>
            </c:strRef>
          </c:tx>
          <c:cat>
            <c:numRef>
              <c:f>Sheet1!$AX$138:$AX$237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Sheet1!$AZ$138:$AZ$237</c:f>
              <c:numCache>
                <c:formatCode>General</c:formatCode>
                <c:ptCount val="100"/>
                <c:pt idx="0">
                  <c:v>-1.8606074920932756E-3</c:v>
                </c:pt>
                <c:pt idx="1">
                  <c:v>-2.631296349571302E-3</c:v>
                </c:pt>
                <c:pt idx="2">
                  <c:v>-3.2226667092488614E-3</c:v>
                </c:pt>
                <c:pt idx="3">
                  <c:v>-3.7212149841865513E-3</c:v>
                </c:pt>
                <c:pt idx="4">
                  <c:v>-4.160444831765967E-3</c:v>
                </c:pt>
                <c:pt idx="5">
                  <c:v>-4.5575389672280111E-3</c:v>
                </c:pt>
                <c:pt idx="6">
                  <c:v>-4.9227047115823841E-3</c:v>
                </c:pt>
                <c:pt idx="7">
                  <c:v>-5.262592699142604E-3</c:v>
                </c:pt>
                <c:pt idx="8">
                  <c:v>-5.5818224762798265E-3</c:v>
                </c:pt>
                <c:pt idx="9">
                  <c:v>-5.8837575065884802E-3</c:v>
                </c:pt>
                <c:pt idx="10">
                  <c:v>-6.1709369333975469E-3</c:v>
                </c:pt>
                <c:pt idx="11">
                  <c:v>-6.4453334184977227E-3</c:v>
                </c:pt>
                <c:pt idx="12">
                  <c:v>-6.7085157162547638E-3</c:v>
                </c:pt>
                <c:pt idx="13">
                  <c:v>-6.9617557666777422E-3</c:v>
                </c:pt>
                <c:pt idx="14">
                  <c:v>-7.2061018307060052E-3</c:v>
                </c:pt>
                <c:pt idx="15">
                  <c:v>-7.4424299683731026E-3</c:v>
                </c:pt>
                <c:pt idx="16">
                  <c:v>-7.6714812177161515E-3</c:v>
                </c:pt>
                <c:pt idx="17">
                  <c:v>-7.8938890487139039E-3</c:v>
                </c:pt>
                <c:pt idx="18">
                  <c:v>-8.1102000316292423E-3</c:v>
                </c:pt>
                <c:pt idx="19">
                  <c:v>-8.320889663531934E-3</c:v>
                </c:pt>
                <c:pt idx="20">
                  <c:v>-8.5263746711193855E-3</c:v>
                </c:pt>
                <c:pt idx="21">
                  <c:v>-8.7270227037598482E-3</c:v>
                </c:pt>
                <c:pt idx="22">
                  <c:v>-8.9231600630927527E-3</c:v>
                </c:pt>
                <c:pt idx="23">
                  <c:v>-9.1150779344560222E-3</c:v>
                </c:pt>
                <c:pt idx="24">
                  <c:v>-9.3030374604663787E-3</c:v>
                </c:pt>
                <c:pt idx="25">
                  <c:v>-9.4872739093205451E-3</c:v>
                </c:pt>
                <c:pt idx="26">
                  <c:v>-9.6680001277465854E-3</c:v>
                </c:pt>
                <c:pt idx="27">
                  <c:v>-9.8454094231647683E-3</c:v>
                </c:pt>
                <c:pt idx="28">
                  <c:v>-1.0019677986311497E-2</c:v>
                </c:pt>
                <c:pt idx="29">
                  <c:v>-1.019096694082602E-2</c:v>
                </c:pt>
                <c:pt idx="30">
                  <c:v>-1.0359424087691482E-2</c:v>
                </c:pt>
                <c:pt idx="31">
                  <c:v>-1.0525185398285208E-2</c:v>
                </c:pt>
                <c:pt idx="32">
                  <c:v>-1.0688376298947831E-2</c:v>
                </c:pt>
                <c:pt idx="33">
                  <c:v>-1.0849112781584649E-2</c:v>
                </c:pt>
                <c:pt idx="34">
                  <c:v>-1.1007502368256707E-2</c:v>
                </c:pt>
                <c:pt idx="35">
                  <c:v>-1.1163644952559653E-2</c:v>
                </c:pt>
                <c:pt idx="36">
                  <c:v>-1.1317633536497118E-2</c:v>
                </c:pt>
                <c:pt idx="37">
                  <c:v>-1.1469554878288777E-2</c:v>
                </c:pt>
                <c:pt idx="38">
                  <c:v>-1.161949006392757E-2</c:v>
                </c:pt>
                <c:pt idx="39">
                  <c:v>-1.176751501317696E-2</c:v>
                </c:pt>
                <c:pt idx="40">
                  <c:v>-1.19137009289716E-2</c:v>
                </c:pt>
                <c:pt idx="41">
                  <c:v>-1.2058114697771473E-2</c:v>
                </c:pt>
                <c:pt idx="42">
                  <c:v>-1.2200819247257376E-2</c:v>
                </c:pt>
                <c:pt idx="43">
                  <c:v>-1.2341873866795094E-2</c:v>
                </c:pt>
                <c:pt idx="44">
                  <c:v>-1.2481334495297902E-2</c:v>
                </c:pt>
                <c:pt idx="45">
                  <c:v>-1.2619253980451734E-2</c:v>
                </c:pt>
                <c:pt idx="46">
                  <c:v>-1.2755682312709914E-2</c:v>
                </c:pt>
                <c:pt idx="47">
                  <c:v>-1.2890666836995445E-2</c:v>
                </c:pt>
                <c:pt idx="48">
                  <c:v>-1.3024252444652929E-2</c:v>
                </c:pt>
                <c:pt idx="49">
                  <c:v>-1.3156481747856509E-2</c:v>
                </c:pt>
                <c:pt idx="50">
                  <c:v>-1.3287395238394735E-2</c:v>
                </c:pt>
                <c:pt idx="51">
                  <c:v>-1.3417031432509528E-2</c:v>
                </c:pt>
                <c:pt idx="52">
                  <c:v>-1.3545427003257679E-2</c:v>
                </c:pt>
                <c:pt idx="53">
                  <c:v>-1.3672616901684037E-2</c:v>
                </c:pt>
                <c:pt idx="54">
                  <c:v>-1.3798634467941006E-2</c:v>
                </c:pt>
                <c:pt idx="55">
                  <c:v>-1.3923511533355484E-2</c:v>
                </c:pt>
                <c:pt idx="56">
                  <c:v>-1.4047278514328562E-2</c:v>
                </c:pt>
                <c:pt idx="57">
                  <c:v>-1.4169964498852864E-2</c:v>
                </c:pt>
                <c:pt idx="58">
                  <c:v>-1.4291597326344739E-2</c:v>
                </c:pt>
                <c:pt idx="59">
                  <c:v>-1.441220366141201E-2</c:v>
                </c:pt>
                <c:pt idx="60">
                  <c:v>-1.4531809062110998E-2</c:v>
                </c:pt>
                <c:pt idx="61">
                  <c:v>-1.4650438043187821E-2</c:v>
                </c:pt>
                <c:pt idx="62">
                  <c:v>-1.4768114134747153E-2</c:v>
                </c:pt>
                <c:pt idx="63">
                  <c:v>-1.4884859936746205E-2</c:v>
                </c:pt>
                <c:pt idx="64">
                  <c:v>-1.5000697169671343E-2</c:v>
                </c:pt>
                <c:pt idx="65">
                  <c:v>-1.511564672171917E-2</c:v>
                </c:pt>
                <c:pt idx="66">
                  <c:v>-1.5229728692772343E-2</c:v>
                </c:pt>
                <c:pt idx="67">
                  <c:v>-1.5342962435432303E-2</c:v>
                </c:pt>
                <c:pt idx="68">
                  <c:v>-1.5455366593346157E-2</c:v>
                </c:pt>
                <c:pt idx="69">
                  <c:v>-1.5566959137042598E-2</c:v>
                </c:pt>
                <c:pt idx="70">
                  <c:v>-1.567775739747199E-2</c:v>
                </c:pt>
                <c:pt idx="71">
                  <c:v>-1.5787778097427808E-2</c:v>
                </c:pt>
                <c:pt idx="72">
                  <c:v>-1.5897037381010806E-2</c:v>
                </c:pt>
                <c:pt idx="73">
                  <c:v>-1.6005550841282801E-2</c:v>
                </c:pt>
                <c:pt idx="74">
                  <c:v>-1.6113333546244311E-2</c:v>
                </c:pt>
                <c:pt idx="75">
                  <c:v>-1.6220400063258485E-2</c:v>
                </c:pt>
                <c:pt idx="76">
                  <c:v>-1.6326764482033466E-2</c:v>
                </c:pt>
                <c:pt idx="77">
                  <c:v>-1.6432440436265794E-2</c:v>
                </c:pt>
                <c:pt idx="78">
                  <c:v>-1.6537441124039012E-2</c:v>
                </c:pt>
                <c:pt idx="79">
                  <c:v>-1.6641779327063868E-2</c:v>
                </c:pt>
                <c:pt idx="80">
                  <c:v>-1.6745467428839481E-2</c:v>
                </c:pt>
                <c:pt idx="81">
                  <c:v>-1.6848517431808579E-2</c:v>
                </c:pt>
                <c:pt idx="82">
                  <c:v>-1.6950940973574039E-2</c:v>
                </c:pt>
                <c:pt idx="83">
                  <c:v>-1.7052749342238771E-2</c:v>
                </c:pt>
                <c:pt idx="84">
                  <c:v>-1.7153953490926178E-2</c:v>
                </c:pt>
                <c:pt idx="85">
                  <c:v>-1.7254564051534079E-2</c:v>
                </c:pt>
                <c:pt idx="86">
                  <c:v>-1.7354591347770933E-2</c:v>
                </c:pt>
                <c:pt idx="87">
                  <c:v>-1.7454045407519696E-2</c:v>
                </c:pt>
                <c:pt idx="88">
                  <c:v>-1.7552935974571117E-2</c:v>
                </c:pt>
                <c:pt idx="89">
                  <c:v>-1.7651272519765442E-2</c:v>
                </c:pt>
                <c:pt idx="90">
                  <c:v>-1.7749064251578454E-2</c:v>
                </c:pt>
                <c:pt idx="91">
                  <c:v>-1.7846320126185505E-2</c:v>
                </c:pt>
                <c:pt idx="92">
                  <c:v>-1.7943048857034512E-2</c:v>
                </c:pt>
                <c:pt idx="93">
                  <c:v>-1.8039258923956969E-2</c:v>
                </c:pt>
                <c:pt idx="94">
                  <c:v>-1.8134958581843927E-2</c:v>
                </c:pt>
                <c:pt idx="95">
                  <c:v>-1.8230155868912044E-2</c:v>
                </c:pt>
                <c:pt idx="96">
                  <c:v>-1.8324858614583141E-2</c:v>
                </c:pt>
                <c:pt idx="97">
                  <c:v>-1.8419074446999112E-2</c:v>
                </c:pt>
                <c:pt idx="98">
                  <c:v>-1.8512810800192639E-2</c:v>
                </c:pt>
                <c:pt idx="99">
                  <c:v>-1.8606074920932757E-2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7C-4E42-ABE2-53E074BEE8D2}"/>
            </c:ext>
          </c:extLst>
        </c:ser>
        <c:ser>
          <c:idx val="2"/>
          <c:order val="2"/>
          <c:tx>
            <c:strRef>
              <c:f>Sheet1!$BA$137:$BA$137</c:f>
              <c:strCache>
                <c:ptCount val="1"/>
                <c:pt idx="0">
                  <c:v>0,92</c:v>
                </c:pt>
              </c:strCache>
            </c:strRef>
          </c:tx>
          <c:cat>
            <c:numRef>
              <c:f>Sheet1!$AX$138:$AX$237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Sheet1!$BA$138:$BA$237</c:f>
              <c:numCache>
                <c:formatCode>General</c:formatCode>
                <c:ptCount val="100"/>
                <c:pt idx="0">
                  <c:v>-2.0493727246595679E-3</c:v>
                </c:pt>
                <c:pt idx="1">
                  <c:v>-2.8982507015710636E-3</c:v>
                </c:pt>
                <c:pt idx="2">
                  <c:v>-3.5496176827562345E-3</c:v>
                </c:pt>
                <c:pt idx="3">
                  <c:v>-4.0987454493191357E-3</c:v>
                </c:pt>
                <c:pt idx="4">
                  <c:v>-4.5825367235727537E-3</c:v>
                </c:pt>
                <c:pt idx="5">
                  <c:v>-5.0199174681932251E-3</c:v>
                </c:pt>
                <c:pt idx="6">
                  <c:v>-5.4221305731280639E-3</c:v>
                </c:pt>
                <c:pt idx="7">
                  <c:v>-5.7965014031421272E-3</c:v>
                </c:pt>
                <c:pt idx="8">
                  <c:v>-6.148118173978704E-3</c:v>
                </c:pt>
                <c:pt idx="9">
                  <c:v>-6.480685584549355E-3</c:v>
                </c:pt>
                <c:pt idx="10">
                  <c:v>-6.7970003832841137E-3</c:v>
                </c:pt>
                <c:pt idx="11">
                  <c:v>-7.099235365512469E-3</c:v>
                </c:pt>
                <c:pt idx="12">
                  <c:v>-7.3891184412974154E-3</c:v>
                </c:pt>
                <c:pt idx="13">
                  <c:v>-7.668050593475511E-3</c:v>
                </c:pt>
                <c:pt idx="14">
                  <c:v>-7.9371864327782253E-3</c:v>
                </c:pt>
                <c:pt idx="15">
                  <c:v>-8.1974908986382714E-3</c:v>
                </c:pt>
                <c:pt idx="16">
                  <c:v>-8.4497802100312568E-3</c:v>
                </c:pt>
                <c:pt idx="17">
                  <c:v>-8.6947521047131895E-3</c:v>
                </c:pt>
                <c:pt idx="18">
                  <c:v>-8.9330086044396625E-3</c:v>
                </c:pt>
                <c:pt idx="19">
                  <c:v>-9.1650734471455074E-3</c:v>
                </c:pt>
                <c:pt idx="20">
                  <c:v>-9.3914056379303616E-3</c:v>
                </c:pt>
                <c:pt idx="21">
                  <c:v>-9.6124101254955185E-3</c:v>
                </c:pt>
                <c:pt idx="22">
                  <c:v>-9.8284463159396332E-3</c:v>
                </c:pt>
                <c:pt idx="23">
                  <c:v>-1.003983493638645E-2</c:v>
                </c:pt>
                <c:pt idx="24">
                  <c:v>-1.0246863623297839E-2</c:v>
                </c:pt>
                <c:pt idx="25">
                  <c:v>-1.044979151366395E-2</c:v>
                </c:pt>
                <c:pt idx="26">
                  <c:v>-1.0648853048268705E-2</c:v>
                </c:pt>
                <c:pt idx="27">
                  <c:v>-1.0844261146256128E-2</c:v>
                </c:pt>
                <c:pt idx="28">
                  <c:v>-1.1036209873538054E-2</c:v>
                </c:pt>
                <c:pt idx="29">
                  <c:v>-1.1224876700318692E-2</c:v>
                </c:pt>
                <c:pt idx="30">
                  <c:v>-1.1410424422515403E-2</c:v>
                </c:pt>
                <c:pt idx="31">
                  <c:v>-1.1593002806284254E-2</c:v>
                </c:pt>
                <c:pt idx="32">
                  <c:v>-1.1772750002913219E-2</c:v>
                </c:pt>
                <c:pt idx="33">
                  <c:v>-1.1949793772097985E-2</c:v>
                </c:pt>
                <c:pt idx="34">
                  <c:v>-1.2124252544394245E-2</c:v>
                </c:pt>
                <c:pt idx="35">
                  <c:v>-1.2296236347957408E-2</c:v>
                </c:pt>
                <c:pt idx="36">
                  <c:v>-1.246584762017439E-2</c:v>
                </c:pt>
                <c:pt idx="37">
                  <c:v>-1.2633181921194123E-2</c:v>
                </c:pt>
                <c:pt idx="38">
                  <c:v>-1.2798328563471273E-2</c:v>
                </c:pt>
                <c:pt idx="39">
                  <c:v>-1.296137116909871E-2</c:v>
                </c:pt>
                <c:pt idx="40">
                  <c:v>-1.3122388164801475E-2</c:v>
                </c:pt>
                <c:pt idx="41">
                  <c:v>-1.3281453222908267E-2</c:v>
                </c:pt>
                <c:pt idx="42">
                  <c:v>-1.3438635655336406E-2</c:v>
                </c:pt>
                <c:pt idx="43">
                  <c:v>-1.3594000766568227E-2</c:v>
                </c:pt>
                <c:pt idx="44">
                  <c:v>-1.3747610170718261E-2</c:v>
                </c:pt>
                <c:pt idx="45">
                  <c:v>-1.3899522077057712E-2</c:v>
                </c:pt>
                <c:pt idx="46">
                  <c:v>-1.4049791547748788E-2</c:v>
                </c:pt>
                <c:pt idx="47">
                  <c:v>-1.4198470731024938E-2</c:v>
                </c:pt>
                <c:pt idx="48">
                  <c:v>-1.4345609072616975E-2</c:v>
                </c:pt>
                <c:pt idx="49">
                  <c:v>-1.4491253507855318E-2</c:v>
                </c:pt>
                <c:pt idx="50">
                  <c:v>-1.4635448636564158E-2</c:v>
                </c:pt>
                <c:pt idx="51">
                  <c:v>-1.4778236882594831E-2</c:v>
                </c:pt>
                <c:pt idx="52">
                  <c:v>-1.491965863961588E-2</c:v>
                </c:pt>
                <c:pt idx="53">
                  <c:v>-1.5059752404579678E-2</c:v>
                </c:pt>
                <c:pt idx="54">
                  <c:v>-1.5198554900115404E-2</c:v>
                </c:pt>
                <c:pt idx="55">
                  <c:v>-1.5336101186951022E-2</c:v>
                </c:pt>
                <c:pt idx="56">
                  <c:v>-1.5472424767339446E-2</c:v>
                </c:pt>
                <c:pt idx="57">
                  <c:v>-1.5607557680353377E-2</c:v>
                </c:pt>
                <c:pt idx="58">
                  <c:v>-1.5741530589816744E-2</c:v>
                </c:pt>
                <c:pt idx="59">
                  <c:v>-1.5874372865556451E-2</c:v>
                </c:pt>
                <c:pt idx="60">
                  <c:v>-1.6006112658584325E-2</c:v>
                </c:pt>
                <c:pt idx="61">
                  <c:v>-1.6136776970754475E-2</c:v>
                </c:pt>
                <c:pt idx="62">
                  <c:v>-1.6266391719384193E-2</c:v>
                </c:pt>
                <c:pt idx="63">
                  <c:v>-1.6394981797276543E-2</c:v>
                </c:pt>
                <c:pt idx="64">
                  <c:v>-1.6522571128538312E-2</c:v>
                </c:pt>
                <c:pt idx="65">
                  <c:v>-1.6649182720547769E-2</c:v>
                </c:pt>
                <c:pt idx="66">
                  <c:v>-1.6774838712391989E-2</c:v>
                </c:pt>
                <c:pt idx="67">
                  <c:v>-1.6899560420062514E-2</c:v>
                </c:pt>
                <c:pt idx="68">
                  <c:v>-1.7023368378670599E-2</c:v>
                </c:pt>
                <c:pt idx="69">
                  <c:v>-1.7146282381918846E-2</c:v>
                </c:pt>
                <c:pt idx="70">
                  <c:v>-1.7268321519044033E-2</c:v>
                </c:pt>
                <c:pt idx="71">
                  <c:v>-1.7389504209426379E-2</c:v>
                </c:pt>
                <c:pt idx="72">
                  <c:v>-1.7509848235042938E-2</c:v>
                </c:pt>
                <c:pt idx="73">
                  <c:v>-1.7629370770926991E-2</c:v>
                </c:pt>
                <c:pt idx="74">
                  <c:v>-1.7748088413781175E-2</c:v>
                </c:pt>
                <c:pt idx="75">
                  <c:v>-1.7866017208879325E-2</c:v>
                </c:pt>
                <c:pt idx="76">
                  <c:v>-1.7983172675380469E-2</c:v>
                </c:pt>
                <c:pt idx="77">
                  <c:v>-1.8099569830168048E-2</c:v>
                </c:pt>
                <c:pt idx="78">
                  <c:v>-1.8215223210318009E-2</c:v>
                </c:pt>
                <c:pt idx="79">
                  <c:v>-1.8330146894291015E-2</c:v>
                </c:pt>
                <c:pt idx="80">
                  <c:v>-1.8444354521936112E-2</c:v>
                </c:pt>
                <c:pt idx="81">
                  <c:v>-1.8557859313386438E-2</c:v>
                </c:pt>
                <c:pt idx="82">
                  <c:v>-1.8670674086920972E-2</c:v>
                </c:pt>
                <c:pt idx="83">
                  <c:v>-1.8782811275860723E-2</c:v>
                </c:pt>
                <c:pt idx="84">
                  <c:v>-1.889428294456234E-2</c:v>
                </c:pt>
                <c:pt idx="85">
                  <c:v>-1.9005100803567394E-2</c:v>
                </c:pt>
                <c:pt idx="86">
                  <c:v>-1.9115276223961208E-2</c:v>
                </c:pt>
                <c:pt idx="87">
                  <c:v>-1.9224820250991037E-2</c:v>
                </c:pt>
                <c:pt idx="88">
                  <c:v>-1.9333743616989797E-2</c:v>
                </c:pt>
                <c:pt idx="89">
                  <c:v>-1.9442056753648063E-2</c:v>
                </c:pt>
                <c:pt idx="90">
                  <c:v>-1.9549769803674181E-2</c:v>
                </c:pt>
                <c:pt idx="91">
                  <c:v>-1.9656892631879266E-2</c:v>
                </c:pt>
                <c:pt idx="92">
                  <c:v>-1.9763434835721447E-2</c:v>
                </c:pt>
                <c:pt idx="93">
                  <c:v>-1.9869405755341216E-2</c:v>
                </c:pt>
                <c:pt idx="94">
                  <c:v>-1.9974814483117612E-2</c:v>
                </c:pt>
                <c:pt idx="95">
                  <c:v>-2.00796698727729E-2</c:v>
                </c:pt>
                <c:pt idx="96">
                  <c:v>-2.0183980548051525E-2</c:v>
                </c:pt>
                <c:pt idx="97">
                  <c:v>-2.0287754910997446E-2</c:v>
                </c:pt>
                <c:pt idx="98">
                  <c:v>-2.0391001149852341E-2</c:v>
                </c:pt>
                <c:pt idx="99">
                  <c:v>-2.0493727246595678E-2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7C-4E42-ABE2-53E074BEE8D2}"/>
            </c:ext>
          </c:extLst>
        </c:ser>
        <c:ser>
          <c:idx val="3"/>
          <c:order val="3"/>
          <c:tx>
            <c:strRef>
              <c:f>Sheet1!$BB$137:$BB$137</c:f>
              <c:strCache>
                <c:ptCount val="1"/>
                <c:pt idx="0">
                  <c:v>0,93</c:v>
                </c:pt>
              </c:strCache>
            </c:strRef>
          </c:tx>
          <c:cat>
            <c:numRef>
              <c:f>Sheet1!$AX$138:$AX$237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Sheet1!$BB$138:$BB$237</c:f>
              <c:numCache>
                <c:formatCode>General</c:formatCode>
                <c:ptCount val="100"/>
                <c:pt idx="0">
                  <c:v>-2.2569302141731205E-3</c:v>
                </c:pt>
                <c:pt idx="1">
                  <c:v>-3.1917813182132412E-3</c:v>
                </c:pt>
                <c:pt idx="2">
                  <c:v>-3.9091178000851519E-3</c:v>
                </c:pt>
                <c:pt idx="3">
                  <c:v>-4.513860428346241E-3</c:v>
                </c:pt>
                <c:pt idx="4">
                  <c:v>-5.0466493793642573E-3</c:v>
                </c:pt>
                <c:pt idx="5">
                  <c:v>-5.5283274097945E-3</c:v>
                </c:pt>
                <c:pt idx="6">
                  <c:v>-5.971276073129821E-3</c:v>
                </c:pt>
                <c:pt idx="7">
                  <c:v>-6.3835626364264824E-3</c:v>
                </c:pt>
                <c:pt idx="8">
                  <c:v>-6.7707906425193611E-3</c:v>
                </c:pt>
                <c:pt idx="9">
                  <c:v>-7.1370399968386953E-3</c:v>
                </c:pt>
                <c:pt idx="10">
                  <c:v>-7.4853906984286931E-3</c:v>
                </c:pt>
                <c:pt idx="11">
                  <c:v>-7.8182356001703038E-3</c:v>
                </c:pt>
                <c:pt idx="12">
                  <c:v>-8.1374776123451092E-3</c:v>
                </c:pt>
                <c:pt idx="13">
                  <c:v>-8.4446596072941492E-3</c:v>
                </c:pt>
                <c:pt idx="14">
                  <c:v>-8.7410531330448342E-3</c:v>
                </c:pt>
                <c:pt idx="15">
                  <c:v>-9.0277208566924821E-3</c:v>
                </c:pt>
                <c:pt idx="16">
                  <c:v>-9.3055616626836653E-3</c:v>
                </c:pt>
                <c:pt idx="17">
                  <c:v>-9.5753439546397232E-3</c:v>
                </c:pt>
                <c:pt idx="18">
                  <c:v>-9.837730726204242E-3</c:v>
                </c:pt>
                <c:pt idx="19">
                  <c:v>-1.0093298758728515E-2</c:v>
                </c:pt>
                <c:pt idx="20">
                  <c:v>-1.0342553544681219E-2</c:v>
                </c:pt>
                <c:pt idx="21">
                  <c:v>-1.0585941045379273E-2</c:v>
                </c:pt>
                <c:pt idx="22">
                  <c:v>-1.0823857067048378E-2</c:v>
                </c:pt>
                <c:pt idx="23">
                  <c:v>-1.1056654819589E-2</c:v>
                </c:pt>
                <c:pt idx="24">
                  <c:v>-1.1284651070865603E-2</c:v>
                </c:pt>
                <c:pt idx="25">
                  <c:v>-1.1508131202885885E-2</c:v>
                </c:pt>
                <c:pt idx="26">
                  <c:v>-1.1727353400255458E-2</c:v>
                </c:pt>
                <c:pt idx="27">
                  <c:v>-1.1942552146259642E-2</c:v>
                </c:pt>
                <c:pt idx="28">
                  <c:v>-1.2153941161523628E-2</c:v>
                </c:pt>
                <c:pt idx="29">
                  <c:v>-1.2361715890175838E-2</c:v>
                </c:pt>
                <c:pt idx="30">
                  <c:v>-1.2566055615867428E-2</c:v>
                </c:pt>
                <c:pt idx="31">
                  <c:v>-1.2767125272852965E-2</c:v>
                </c:pt>
                <c:pt idx="32">
                  <c:v>-1.2965077004181981E-2</c:v>
                </c:pt>
                <c:pt idx="33">
                  <c:v>-1.3160051508866368E-2</c:v>
                </c:pt>
                <c:pt idx="34">
                  <c:v>-1.3352179211936285E-2</c:v>
                </c:pt>
                <c:pt idx="35">
                  <c:v>-1.3541581285038722E-2</c:v>
                </c:pt>
                <c:pt idx="36">
                  <c:v>-1.3728370540270193E-2</c:v>
                </c:pt>
                <c:pt idx="37">
                  <c:v>-1.3912652215972553E-2</c:v>
                </c:pt>
                <c:pt idx="38">
                  <c:v>-1.4094524670036006E-2</c:v>
                </c:pt>
                <c:pt idx="39">
                  <c:v>-1.4274079993677391E-2</c:v>
                </c:pt>
                <c:pt idx="40">
                  <c:v>-1.4451404556566417E-2</c:v>
                </c:pt>
                <c:pt idx="41">
                  <c:v>-1.4626579492458111E-2</c:v>
                </c:pt>
                <c:pt idx="42">
                  <c:v>-1.4799681133079985E-2</c:v>
                </c:pt>
                <c:pt idx="43">
                  <c:v>-1.4970781396857386E-2</c:v>
                </c:pt>
                <c:pt idx="44">
                  <c:v>-1.5139948138092772E-2</c:v>
                </c:pt>
                <c:pt idx="45">
                  <c:v>-1.5307245461407689E-2</c:v>
                </c:pt>
                <c:pt idx="46">
                  <c:v>-1.5472734005580068E-2</c:v>
                </c:pt>
                <c:pt idx="47">
                  <c:v>-1.5636471200340608E-2</c:v>
                </c:pt>
                <c:pt idx="48">
                  <c:v>-1.5798511499211843E-2</c:v>
                </c:pt>
                <c:pt idx="49">
                  <c:v>-1.5958906591066205E-2</c:v>
                </c:pt>
                <c:pt idx="50">
                  <c:v>-1.6117705592733227E-2</c:v>
                </c:pt>
                <c:pt idx="51">
                  <c:v>-1.6274955224690218E-2</c:v>
                </c:pt>
                <c:pt idx="52">
                  <c:v>-1.6430699971617731E-2</c:v>
                </c:pt>
                <c:pt idx="53">
                  <c:v>-1.65849822293835E-2</c:v>
                </c:pt>
                <c:pt idx="54">
                  <c:v>-1.6737842439831188E-2</c:v>
                </c:pt>
                <c:pt idx="55">
                  <c:v>-1.6889319214588298E-2</c:v>
                </c:pt>
                <c:pt idx="56">
                  <c:v>-1.7039449448967212E-2</c:v>
                </c:pt>
                <c:pt idx="57">
                  <c:v>-1.7188268426911322E-2</c:v>
                </c:pt>
                <c:pt idx="58">
                  <c:v>-1.7335809917832051E-2</c:v>
                </c:pt>
                <c:pt idx="59">
                  <c:v>-1.7482106266089668E-2</c:v>
                </c:pt>
                <c:pt idx="60">
                  <c:v>-1.7627188473789551E-2</c:v>
                </c:pt>
                <c:pt idx="61">
                  <c:v>-1.7771086277494314E-2</c:v>
                </c:pt>
                <c:pt idx="62">
                  <c:v>-1.7913828219389465E-2</c:v>
                </c:pt>
                <c:pt idx="63">
                  <c:v>-1.8055441713384964E-2</c:v>
                </c:pt>
                <c:pt idx="64">
                  <c:v>-1.8195953106586345E-2</c:v>
                </c:pt>
                <c:pt idx="65">
                  <c:v>-1.8335387736525696E-2</c:v>
                </c:pt>
                <c:pt idx="66">
                  <c:v>-1.8473769984504635E-2</c:v>
                </c:pt>
                <c:pt idx="67">
                  <c:v>-1.8611123325367331E-2</c:v>
                </c:pt>
                <c:pt idx="68">
                  <c:v>-1.8747470373991243E-2</c:v>
                </c:pt>
                <c:pt idx="69">
                  <c:v>-1.8882832928756397E-2</c:v>
                </c:pt>
                <c:pt idx="70">
                  <c:v>-1.9017232012229712E-2</c:v>
                </c:pt>
                <c:pt idx="71">
                  <c:v>-1.9150687909279446E-2</c:v>
                </c:pt>
                <c:pt idx="72">
                  <c:v>-1.9283220202815438E-2</c:v>
                </c:pt>
                <c:pt idx="73">
                  <c:v>-1.9414847807333362E-2</c:v>
                </c:pt>
                <c:pt idx="74">
                  <c:v>-1.9545589000425766E-2</c:v>
                </c:pt>
                <c:pt idx="75">
                  <c:v>-1.9675461452408484E-2</c:v>
                </c:pt>
                <c:pt idx="76">
                  <c:v>-1.9804482254198407E-2</c:v>
                </c:pt>
                <c:pt idx="77">
                  <c:v>-1.9932667943567094E-2</c:v>
                </c:pt>
                <c:pt idx="78">
                  <c:v>-2.0060034529884405E-2</c:v>
                </c:pt>
                <c:pt idx="79">
                  <c:v>-2.0186597517457029E-2</c:v>
                </c:pt>
                <c:pt idx="80">
                  <c:v>-2.0312371927558085E-2</c:v>
                </c:pt>
                <c:pt idx="81">
                  <c:v>-2.0437372319236573E-2</c:v>
                </c:pt>
                <c:pt idx="82">
                  <c:v>-2.0561612808988133E-2</c:v>
                </c:pt>
                <c:pt idx="83">
                  <c:v>-2.0685107089362439E-2</c:v>
                </c:pt>
                <c:pt idx="84">
                  <c:v>-2.080786844657664E-2</c:v>
                </c:pt>
                <c:pt idx="85">
                  <c:v>-2.092990977719893E-2</c:v>
                </c:pt>
                <c:pt idx="86">
                  <c:v>-2.1051243603961618E-2</c:v>
                </c:pt>
                <c:pt idx="87">
                  <c:v>-2.1171882090758546E-2</c:v>
                </c:pt>
                <c:pt idx="88">
                  <c:v>-2.1291837056877688E-2</c:v>
                </c:pt>
                <c:pt idx="89">
                  <c:v>-2.1411119990516085E-2</c:v>
                </c:pt>
                <c:pt idx="90">
                  <c:v>-2.1529742061620828E-2</c:v>
                </c:pt>
                <c:pt idx="91">
                  <c:v>-2.1647714134096756E-2</c:v>
                </c:pt>
                <c:pt idx="92">
                  <c:v>-2.1765046777418605E-2</c:v>
                </c:pt>
                <c:pt idx="93">
                  <c:v>-2.1881750277682716E-2</c:v>
                </c:pt>
                <c:pt idx="94">
                  <c:v>-2.1997834648131053E-2</c:v>
                </c:pt>
                <c:pt idx="95">
                  <c:v>-2.2113309639178E-2</c:v>
                </c:pt>
                <c:pt idx="96">
                  <c:v>-2.222818474796829E-2</c:v>
                </c:pt>
                <c:pt idx="97">
                  <c:v>-2.2342469227492688E-2</c:v>
                </c:pt>
                <c:pt idx="98">
                  <c:v>-2.2456172095286081E-2</c:v>
                </c:pt>
                <c:pt idx="99">
                  <c:v>-2.2569302141731206E-2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7C-4E42-ABE2-53E074BEE8D2}"/>
            </c:ext>
          </c:extLst>
        </c:ser>
        <c:ser>
          <c:idx val="4"/>
          <c:order val="4"/>
          <c:tx>
            <c:strRef>
              <c:f>Sheet1!$BC$137:$BC$137</c:f>
              <c:strCache>
                <c:ptCount val="1"/>
                <c:pt idx="0">
                  <c:v>0,94</c:v>
                </c:pt>
              </c:strCache>
            </c:strRef>
          </c:tx>
          <c:cat>
            <c:numRef>
              <c:f>Sheet1!$AX$138:$AX$237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Sheet1!$BC$138:$BC$237</c:f>
              <c:numCache>
                <c:formatCode>General</c:formatCode>
                <c:ptCount val="100"/>
                <c:pt idx="0">
                  <c:v>-2.4887394131794514E-3</c:v>
                </c:pt>
                <c:pt idx="1">
                  <c:v>-3.5196090313308385E-3</c:v>
                </c:pt>
                <c:pt idx="2">
                  <c:v>-4.3106231104259622E-3</c:v>
                </c:pt>
                <c:pt idx="3">
                  <c:v>-4.9774788263589028E-3</c:v>
                </c:pt>
                <c:pt idx="4">
                  <c:v>-5.5649905061521893E-3</c:v>
                </c:pt>
                <c:pt idx="5">
                  <c:v>-6.0961416650432915E-3</c:v>
                </c:pt>
                <c:pt idx="6">
                  <c:v>-6.5845855653176534E-3</c:v>
                </c:pt>
                <c:pt idx="7">
                  <c:v>-7.0392180626616769E-3</c:v>
                </c:pt>
                <c:pt idx="8">
                  <c:v>-7.4662182395383546E-3</c:v>
                </c:pt>
                <c:pt idx="9">
                  <c:v>-7.8700850482779413E-3</c:v>
                </c:pt>
                <c:pt idx="10">
                  <c:v>-8.2542148344855182E-3</c:v>
                </c:pt>
                <c:pt idx="11">
                  <c:v>-8.6212462208519244E-3</c:v>
                </c:pt>
                <c:pt idx="12">
                  <c:v>-8.9732775654866714E-3</c:v>
                </c:pt>
                <c:pt idx="13">
                  <c:v>-9.3120102090783387E-3</c:v>
                </c:pt>
                <c:pt idx="14">
                  <c:v>-9.6388463002940357E-3</c:v>
                </c:pt>
                <c:pt idx="15">
                  <c:v>-9.9549576527178055E-3</c:v>
                </c:pt>
                <c:pt idx="16">
                  <c:v>-1.0261335475176591E-2</c:v>
                </c:pt>
                <c:pt idx="17">
                  <c:v>-1.0558827093992513E-2</c:v>
                </c:pt>
                <c:pt idx="18">
                  <c:v>-1.0848163598855947E-2</c:v>
                </c:pt>
                <c:pt idx="19">
                  <c:v>-1.1129981012304379E-2</c:v>
                </c:pt>
                <c:pt idx="20">
                  <c:v>-1.1404836745914814E-2</c:v>
                </c:pt>
                <c:pt idx="21">
                  <c:v>-1.1673222565670613E-2</c:v>
                </c:pt>
                <c:pt idx="22">
                  <c:v>-1.1935574931036811E-2</c:v>
                </c:pt>
                <c:pt idx="23">
                  <c:v>-1.2192283330086583E-2</c:v>
                </c:pt>
                <c:pt idx="24">
                  <c:v>-1.2443697065897256E-2</c:v>
                </c:pt>
                <c:pt idx="25">
                  <c:v>-1.2690130832049479E-2</c:v>
                </c:pt>
                <c:pt idx="26">
                  <c:v>-1.2931869331277887E-2</c:v>
                </c:pt>
                <c:pt idx="27">
                  <c:v>-1.3169171130635307E-2</c:v>
                </c:pt>
                <c:pt idx="28">
                  <c:v>-1.3402271901982558E-2</c:v>
                </c:pt>
                <c:pt idx="29">
                  <c:v>-1.3631387163505555E-2</c:v>
                </c:pt>
                <c:pt idx="30">
                  <c:v>-1.385671461307105E-2</c:v>
                </c:pt>
                <c:pt idx="31">
                  <c:v>-1.4078436125323354E-2</c:v>
                </c:pt>
                <c:pt idx="32">
                  <c:v>-1.4296719469917649E-2</c:v>
                </c:pt>
                <c:pt idx="33">
                  <c:v>-1.4511719797054904E-2</c:v>
                </c:pt>
                <c:pt idx="34">
                  <c:v>-1.4723580927714155E-2</c:v>
                </c:pt>
                <c:pt idx="35">
                  <c:v>-1.4932436479076709E-2</c:v>
                </c:pt>
                <c:pt idx="36">
                  <c:v>-1.5138410850164345E-2</c:v>
                </c:pt>
                <c:pt idx="37">
                  <c:v>-1.5341620088344202E-2</c:v>
                </c:pt>
                <c:pt idx="38">
                  <c:v>-1.5542172653840879E-2</c:v>
                </c:pt>
                <c:pt idx="39">
                  <c:v>-1.5740170096555883E-2</c:v>
                </c:pt>
                <c:pt idx="40">
                  <c:v>-1.5935707657183749E-2</c:v>
                </c:pt>
                <c:pt idx="41">
                  <c:v>-1.6128874802723767E-2</c:v>
                </c:pt>
                <c:pt idx="42">
                  <c:v>-1.6319755704931688E-2</c:v>
                </c:pt>
                <c:pt idx="43">
                  <c:v>-1.6508429668971036E-2</c:v>
                </c:pt>
                <c:pt idx="44">
                  <c:v>-1.6694971518456569E-2</c:v>
                </c:pt>
                <c:pt idx="45">
                  <c:v>-1.6879451942192578E-2</c:v>
                </c:pt>
                <c:pt idx="46">
                  <c:v>-1.7061937807163099E-2</c:v>
                </c:pt>
                <c:pt idx="47">
                  <c:v>-1.7242492441703849E-2</c:v>
                </c:pt>
                <c:pt idx="48">
                  <c:v>-1.7421175892256158E-2</c:v>
                </c:pt>
                <c:pt idx="49">
                  <c:v>-1.7598045156654189E-2</c:v>
                </c:pt>
                <c:pt idx="50">
                  <c:v>-1.7773154396514786E-2</c:v>
                </c:pt>
                <c:pt idx="51">
                  <c:v>-1.7946555130973343E-2</c:v>
                </c:pt>
                <c:pt idx="52">
                  <c:v>-1.8118296413729917E-2</c:v>
                </c:pt>
                <c:pt idx="53">
                  <c:v>-1.8288424995129875E-2</c:v>
                </c:pt>
                <c:pt idx="54">
                  <c:v>-1.8456985470796796E-2</c:v>
                </c:pt>
                <c:pt idx="55">
                  <c:v>-1.8624020418156677E-2</c:v>
                </c:pt>
                <c:pt idx="56">
                  <c:v>-1.8789570522037741E-2</c:v>
                </c:pt>
                <c:pt idx="57">
                  <c:v>-1.8953674690395592E-2</c:v>
                </c:pt>
                <c:pt idx="58">
                  <c:v>-1.9116370161096356E-2</c:v>
                </c:pt>
                <c:pt idx="59">
                  <c:v>-1.9277692600588071E-2</c:v>
                </c:pt>
                <c:pt idx="60">
                  <c:v>-1.9437676195200926E-2</c:v>
                </c:pt>
                <c:pt idx="61">
                  <c:v>-1.9596353735738533E-2</c:v>
                </c:pt>
                <c:pt idx="62">
                  <c:v>-1.9753756695952959E-2</c:v>
                </c:pt>
                <c:pt idx="63">
                  <c:v>-1.9909915305435611E-2</c:v>
                </c:pt>
                <c:pt idx="64">
                  <c:v>-2.0064858617402016E-2</c:v>
                </c:pt>
                <c:pt idx="65">
                  <c:v>-2.0218614571801026E-2</c:v>
                </c:pt>
                <c:pt idx="66">
                  <c:v>-2.0371210054136637E-2</c:v>
                </c:pt>
                <c:pt idx="67">
                  <c:v>-2.0522670950353181E-2</c:v>
                </c:pt>
                <c:pt idx="68">
                  <c:v>-2.0673022198101156E-2</c:v>
                </c:pt>
                <c:pt idx="69">
                  <c:v>-2.0822287834671195E-2</c:v>
                </c:pt>
                <c:pt idx="70">
                  <c:v>-2.0970491041857098E-2</c:v>
                </c:pt>
                <c:pt idx="71">
                  <c:v>-2.1117654187985026E-2</c:v>
                </c:pt>
                <c:pt idx="72">
                  <c:v>-2.1263798867324584E-2</c:v>
                </c:pt>
                <c:pt idx="73">
                  <c:v>-2.1408945937078434E-2</c:v>
                </c:pt>
                <c:pt idx="74">
                  <c:v>-2.1553115552129815E-2</c:v>
                </c:pt>
                <c:pt idx="75">
                  <c:v>-2.1696327197711893E-2</c:v>
                </c:pt>
                <c:pt idx="76">
                  <c:v>-2.1838599720148854E-2</c:v>
                </c:pt>
                <c:pt idx="77">
                  <c:v>-2.1979951355806011E-2</c:v>
                </c:pt>
                <c:pt idx="78">
                  <c:v>-2.2120399758374876E-2</c:v>
                </c:pt>
                <c:pt idx="79">
                  <c:v>-2.2259962024608757E-2</c:v>
                </c:pt>
                <c:pt idx="80">
                  <c:v>-2.2398654718615064E-2</c:v>
                </c:pt>
                <c:pt idx="81">
                  <c:v>-2.2536493894802043E-2</c:v>
                </c:pt>
                <c:pt idx="82">
                  <c:v>-2.2673495119569953E-2</c:v>
                </c:pt>
                <c:pt idx="83">
                  <c:v>-2.2809673491829628E-2</c:v>
                </c:pt>
                <c:pt idx="84">
                  <c:v>-2.2945043662424964E-2</c:v>
                </c:pt>
                <c:pt idx="85">
                  <c:v>-2.3079619852530084E-2</c:v>
                </c:pt>
                <c:pt idx="86">
                  <c:v>-2.3213415871086565E-2</c:v>
                </c:pt>
                <c:pt idx="87">
                  <c:v>-2.3346445131341226E-2</c:v>
                </c:pt>
                <c:pt idx="88">
                  <c:v>-2.3478720666540567E-2</c:v>
                </c:pt>
                <c:pt idx="89">
                  <c:v>-2.3610255144833822E-2</c:v>
                </c:pt>
                <c:pt idx="90">
                  <c:v>-2.3741060883432839E-2</c:v>
                </c:pt>
                <c:pt idx="91">
                  <c:v>-2.3871149862073622E-2</c:v>
                </c:pt>
                <c:pt idx="92">
                  <c:v>-2.4000533735821176E-2</c:v>
                </c:pt>
                <c:pt idx="93">
                  <c:v>-2.4129223847256322E-2</c:v>
                </c:pt>
                <c:pt idx="94">
                  <c:v>-2.4257231238080653E-2</c:v>
                </c:pt>
                <c:pt idx="95">
                  <c:v>-2.4384566660173166E-2</c:v>
                </c:pt>
                <c:pt idx="96">
                  <c:v>-2.4511240586129898E-2</c:v>
                </c:pt>
                <c:pt idx="97">
                  <c:v>-2.4637263219315867E-2</c:v>
                </c:pt>
                <c:pt idx="98">
                  <c:v>-2.4762644503456555E-2</c:v>
                </c:pt>
                <c:pt idx="99">
                  <c:v>-2.4887394131794513E-2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7C-4E42-ABE2-53E074BEE8D2}"/>
            </c:ext>
          </c:extLst>
        </c:ser>
        <c:ser>
          <c:idx val="5"/>
          <c:order val="5"/>
          <c:tx>
            <c:strRef>
              <c:f>Sheet1!$BD$137:$BD$137</c:f>
              <c:strCache>
                <c:ptCount val="1"/>
                <c:pt idx="0">
                  <c:v>0,95</c:v>
                </c:pt>
              </c:strCache>
            </c:strRef>
          </c:tx>
          <c:cat>
            <c:numRef>
              <c:f>Sheet1!$AX$138:$AX$237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Sheet1!$BD$138:$BD$237</c:f>
              <c:numCache>
                <c:formatCode>General</c:formatCode>
                <c:ptCount val="100"/>
                <c:pt idx="0">
                  <c:v>-2.7531190236894701E-3</c:v>
                </c:pt>
                <c:pt idx="1">
                  <c:v>-3.8934982621290234E-3</c:v>
                </c:pt>
                <c:pt idx="2">
                  <c:v>-4.7685420283145857E-3</c:v>
                </c:pt>
                <c:pt idx="3">
                  <c:v>-5.5062380473789403E-3</c:v>
                </c:pt>
                <c:pt idx="4">
                  <c:v>-6.1561612871175097E-3</c:v>
                </c:pt>
                <c:pt idx="5">
                  <c:v>-6.7437368091885939E-3</c:v>
                </c:pt>
                <c:pt idx="6">
                  <c:v>-7.2840682664432818E-3</c:v>
                </c:pt>
                <c:pt idx="7">
                  <c:v>-7.7869965242580467E-3</c:v>
                </c:pt>
                <c:pt idx="8">
                  <c:v>-8.25935707106841E-3</c:v>
                </c:pt>
                <c:pt idx="9">
                  <c:v>-8.7061267843977913E-3</c:v>
                </c:pt>
                <c:pt idx="10">
                  <c:v>-9.1310628047675518E-3</c:v>
                </c:pt>
                <c:pt idx="11">
                  <c:v>-9.5370840566291713E-3</c:v>
                </c:pt>
                <c:pt idx="12">
                  <c:v>-9.9265118073677411E-3</c:v>
                </c:pt>
                <c:pt idx="13">
                  <c:v>-1.0301228131655567E-2</c:v>
                </c:pt>
                <c:pt idx="14">
                  <c:v>-1.066278412887614E-2</c:v>
                </c:pt>
                <c:pt idx="15">
                  <c:v>-1.1012476094757881E-2</c:v>
                </c:pt>
                <c:pt idx="16">
                  <c:v>-1.1351400534569055E-2</c:v>
                </c:pt>
                <c:pt idx="17">
                  <c:v>-1.1680494786387068E-2</c:v>
                </c:pt>
                <c:pt idx="18">
                  <c:v>-1.2000567603801764E-2</c:v>
                </c:pt>
                <c:pt idx="19">
                  <c:v>-1.2312322574235019E-2</c:v>
                </c:pt>
                <c:pt idx="20">
                  <c:v>-1.2616376323279917E-2</c:v>
                </c:pt>
                <c:pt idx="21">
                  <c:v>-1.2913272857382785E-2</c:v>
                </c:pt>
                <c:pt idx="22">
                  <c:v>-1.3203495001241898E-2</c:v>
                </c:pt>
                <c:pt idx="23">
                  <c:v>-1.3487473618377188E-2</c:v>
                </c:pt>
                <c:pt idx="24">
                  <c:v>-1.3765595118447351E-2</c:v>
                </c:pt>
                <c:pt idx="25">
                  <c:v>-1.4038207625036124E-2</c:v>
                </c:pt>
                <c:pt idx="26">
                  <c:v>-1.4305626084943757E-2</c:v>
                </c:pt>
                <c:pt idx="27">
                  <c:v>-1.4568136532886564E-2</c:v>
                </c:pt>
                <c:pt idx="28">
                  <c:v>-1.4825999676225039E-2</c:v>
                </c:pt>
                <c:pt idx="29">
                  <c:v>-1.5079453927713225E-2</c:v>
                </c:pt>
                <c:pt idx="30">
                  <c:v>-1.5328717986727613E-2</c:v>
                </c:pt>
                <c:pt idx="31">
                  <c:v>-1.5573993048516093E-2</c:v>
                </c:pt>
                <c:pt idx="32">
                  <c:v>-1.5815464704959776E-2</c:v>
                </c:pt>
                <c:pt idx="33">
                  <c:v>-1.6053304587916761E-2</c:v>
                </c:pt>
                <c:pt idx="34">
                  <c:v>-1.6287671796516228E-2</c:v>
                </c:pt>
                <c:pt idx="35">
                  <c:v>-1.651871414213682E-2</c:v>
                </c:pt>
                <c:pt idx="36">
                  <c:v>-1.6746569238749523E-2</c:v>
                </c:pt>
                <c:pt idx="37">
                  <c:v>-1.6971365461471644E-2</c:v>
                </c:pt>
                <c:pt idx="38">
                  <c:v>-1.7193222792293295E-2</c:v>
                </c:pt>
                <c:pt idx="39">
                  <c:v>-1.7412253568795583E-2</c:v>
                </c:pt>
                <c:pt idx="40">
                  <c:v>-1.7628563149123509E-2</c:v>
                </c:pt>
                <c:pt idx="41">
                  <c:v>-1.7842250504385263E-2</c:v>
                </c:pt>
                <c:pt idx="42">
                  <c:v>-1.8053408747930044E-2</c:v>
                </c:pt>
                <c:pt idx="43">
                  <c:v>-1.8262125609535104E-2</c:v>
                </c:pt>
                <c:pt idx="44">
                  <c:v>-1.8468483861352528E-2</c:v>
                </c:pt>
                <c:pt idx="45">
                  <c:v>-1.8672561701481658E-2</c:v>
                </c:pt>
                <c:pt idx="46">
                  <c:v>-1.8874433100208348E-2</c:v>
                </c:pt>
                <c:pt idx="47">
                  <c:v>-1.9074168113258343E-2</c:v>
                </c:pt>
                <c:pt idx="48">
                  <c:v>-1.9271833165826292E-2</c:v>
                </c:pt>
                <c:pt idx="49">
                  <c:v>-1.9467491310645117E-2</c:v>
                </c:pt>
                <c:pt idx="50">
                  <c:v>-1.9661202462938121E-2</c:v>
                </c:pt>
                <c:pt idx="51">
                  <c:v>-1.9853023614735482E-2</c:v>
                </c:pt>
                <c:pt idx="52">
                  <c:v>-2.0043009030728035E-2</c:v>
                </c:pt>
                <c:pt idx="53">
                  <c:v>-2.0231210427565784E-2</c:v>
                </c:pt>
                <c:pt idx="54">
                  <c:v>-2.0417677138280136E-2</c:v>
                </c:pt>
                <c:pt idx="55">
                  <c:v>-2.0602456263311135E-2</c:v>
                </c:pt>
                <c:pt idx="56">
                  <c:v>-2.0785592809449749E-2</c:v>
                </c:pt>
                <c:pt idx="57">
                  <c:v>-2.0967129817856568E-2</c:v>
                </c:pt>
                <c:pt idx="58">
                  <c:v>-2.1147108482188547E-2</c:v>
                </c:pt>
                <c:pt idx="59">
                  <c:v>-2.1325568257752281E-2</c:v>
                </c:pt>
                <c:pt idx="60">
                  <c:v>-2.1502546962503127E-2</c:v>
                </c:pt>
                <c:pt idx="61">
                  <c:v>-2.1678080870622597E-2</c:v>
                </c:pt>
                <c:pt idx="62">
                  <c:v>-2.1852204799329845E-2</c:v>
                </c:pt>
                <c:pt idx="63">
                  <c:v>-2.2024952189515761E-2</c:v>
                </c:pt>
                <c:pt idx="64">
                  <c:v>-2.2196355180728568E-2</c:v>
                </c:pt>
                <c:pt idx="65">
                  <c:v>-2.2366444680987117E-2</c:v>
                </c:pt>
                <c:pt idx="66">
                  <c:v>-2.2535250431851377E-2</c:v>
                </c:pt>
                <c:pt idx="67">
                  <c:v>-2.270280106913811E-2</c:v>
                </c:pt>
                <c:pt idx="68">
                  <c:v>-2.2869124179632664E-2</c:v>
                </c:pt>
                <c:pt idx="69">
                  <c:v>-2.3034246354115002E-2</c:v>
                </c:pt>
                <c:pt idx="70">
                  <c:v>-2.3198193236988549E-2</c:v>
                </c:pt>
                <c:pt idx="71">
                  <c:v>-2.3360989572774136E-2</c:v>
                </c:pt>
                <c:pt idx="72">
                  <c:v>-2.3522659249707777E-2</c:v>
                </c:pt>
                <c:pt idx="73">
                  <c:v>-2.3683225340659655E-2</c:v>
                </c:pt>
                <c:pt idx="74">
                  <c:v>-2.384271014157293E-2</c:v>
                </c:pt>
                <c:pt idx="75">
                  <c:v>-2.4001135207603528E-2</c:v>
                </c:pt>
                <c:pt idx="76">
                  <c:v>-2.4158521387126871E-2</c:v>
                </c:pt>
                <c:pt idx="77">
                  <c:v>-2.4314888853763393E-2</c:v>
                </c:pt>
                <c:pt idx="78">
                  <c:v>-2.4470257136562094E-2</c:v>
                </c:pt>
                <c:pt idx="79">
                  <c:v>-2.4624645148470039E-2</c:v>
                </c:pt>
                <c:pt idx="80">
                  <c:v>-2.477807121320523E-2</c:v>
                </c:pt>
                <c:pt idx="81">
                  <c:v>-2.4930553090641024E-2</c:v>
                </c:pt>
                <c:pt idx="82">
                  <c:v>-2.5082108000801517E-2</c:v>
                </c:pt>
                <c:pt idx="83">
                  <c:v>-2.5232752646559834E-2</c:v>
                </c:pt>
                <c:pt idx="84">
                  <c:v>-2.5382503235123859E-2</c:v>
                </c:pt>
                <c:pt idx="85">
                  <c:v>-2.5531375498387746E-2</c:v>
                </c:pt>
                <c:pt idx="86">
                  <c:v>-2.5679384712221493E-2</c:v>
                </c:pt>
                <c:pt idx="87">
                  <c:v>-2.5826545714765569E-2</c:v>
                </c:pt>
                <c:pt idx="88">
                  <c:v>-2.5972872923792557E-2</c:v>
                </c:pt>
                <c:pt idx="89">
                  <c:v>-2.611838035319337E-2</c:v>
                </c:pt>
                <c:pt idx="90">
                  <c:v>-2.6263081628641341E-2</c:v>
                </c:pt>
                <c:pt idx="91">
                  <c:v>-2.6406990002483796E-2</c:v>
                </c:pt>
                <c:pt idx="92">
                  <c:v>-2.655011836790714E-2</c:v>
                </c:pt>
                <c:pt idx="93">
                  <c:v>-2.6692479272418308E-2</c:v>
                </c:pt>
                <c:pt idx="94">
                  <c:v>-2.6834084930682501E-2</c:v>
                </c:pt>
                <c:pt idx="95">
                  <c:v>-2.6974947236754376E-2</c:v>
                </c:pt>
                <c:pt idx="96">
                  <c:v>-2.7115077775737309E-2</c:v>
                </c:pt>
                <c:pt idx="97">
                  <c:v>-2.7254487834903161E-2</c:v>
                </c:pt>
                <c:pt idx="98">
                  <c:v>-2.7393188414302657E-2</c:v>
                </c:pt>
                <c:pt idx="99">
                  <c:v>-2.7531190236894702E-2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7C-4E42-ABE2-53E074BEE8D2}"/>
            </c:ext>
          </c:extLst>
        </c:ser>
        <c:ser>
          <c:idx val="6"/>
          <c:order val="6"/>
          <c:tx>
            <c:strRef>
              <c:f>Sheet1!$BE$137:$BE$137</c:f>
              <c:strCache>
                <c:ptCount val="1"/>
                <c:pt idx="0">
                  <c:v>0,96</c:v>
                </c:pt>
              </c:strCache>
            </c:strRef>
          </c:tx>
          <c:cat>
            <c:numRef>
              <c:f>Sheet1!$AX$138:$AX$237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Sheet1!$BE$138:$BE$237</c:f>
              <c:numCache>
                <c:formatCode>General</c:formatCode>
                <c:ptCount val="100"/>
                <c:pt idx="0">
                  <c:v>-3.0637310391624776E-3</c:v>
                </c:pt>
                <c:pt idx="1">
                  <c:v>-4.3327699870469921E-3</c:v>
                </c:pt>
                <c:pt idx="2">
                  <c:v>-5.3065378205552046E-3</c:v>
                </c:pt>
                <c:pt idx="3">
                  <c:v>-6.1274620783249552E-3</c:v>
                </c:pt>
                <c:pt idx="4">
                  <c:v>-6.8507108683433706E-3</c:v>
                </c:pt>
                <c:pt idx="5">
                  <c:v>-7.5045777550749359E-3</c:v>
                </c:pt>
                <c:pt idx="6">
                  <c:v>-8.1058704136134068E-3</c:v>
                </c:pt>
                <c:pt idx="7">
                  <c:v>-8.6655399740939842E-3</c:v>
                </c:pt>
                <c:pt idx="8">
                  <c:v>-9.1911931174874333E-3</c:v>
                </c:pt>
                <c:pt idx="9">
                  <c:v>-9.6883682219079583E-3</c:v>
                </c:pt>
                <c:pt idx="10">
                  <c:v>-1.0161246315467583E-2</c:v>
                </c:pt>
                <c:pt idx="11">
                  <c:v>-1.0613075641110409E-2</c:v>
                </c:pt>
                <c:pt idx="12">
                  <c:v>-1.1046439355930884E-2</c:v>
                </c:pt>
                <c:pt idx="13">
                  <c:v>-1.1463431873770887E-2</c:v>
                </c:pt>
                <c:pt idx="14">
                  <c:v>-1.1865779291935019E-2</c:v>
                </c:pt>
                <c:pt idx="15">
                  <c:v>-1.225492415664991E-2</c:v>
                </c:pt>
                <c:pt idx="16">
                  <c:v>-1.2632086682950253E-2</c:v>
                </c:pt>
                <c:pt idx="17">
                  <c:v>-1.2998309961140974E-2</c:v>
                </c:pt>
                <c:pt idx="18">
                  <c:v>-1.3354493989898094E-2</c:v>
                </c:pt>
                <c:pt idx="19">
                  <c:v>-1.3701421736686741E-2</c:v>
                </c:pt>
                <c:pt idx="20">
                  <c:v>-1.4039779395947768E-2</c:v>
                </c:pt>
                <c:pt idx="21">
                  <c:v>-1.4370172349947898E-2</c:v>
                </c:pt>
                <c:pt idx="22">
                  <c:v>-1.4693137896567045E-2</c:v>
                </c:pt>
                <c:pt idx="23">
                  <c:v>-1.5009155510149872E-2</c:v>
                </c:pt>
                <c:pt idx="24">
                  <c:v>-1.5318655195812388E-2</c:v>
                </c:pt>
                <c:pt idx="25">
                  <c:v>-1.5622024353089372E-2</c:v>
                </c:pt>
                <c:pt idx="26">
                  <c:v>-1.5919613461665615E-2</c:v>
                </c:pt>
                <c:pt idx="27">
                  <c:v>-1.6211740827226814E-2</c:v>
                </c:pt>
                <c:pt idx="28">
                  <c:v>-1.6498696570623396E-2</c:v>
                </c:pt>
                <c:pt idx="29">
                  <c:v>-1.6780746002780324E-2</c:v>
                </c:pt>
                <c:pt idx="30">
                  <c:v>-1.705813249714503E-2</c:v>
                </c:pt>
                <c:pt idx="31">
                  <c:v>-1.7331079948187968E-2</c:v>
                </c:pt>
                <c:pt idx="32">
                  <c:v>-1.7599794886611907E-2</c:v>
                </c:pt>
                <c:pt idx="33">
                  <c:v>-1.786446830810081E-2</c:v>
                </c:pt>
                <c:pt idx="34">
                  <c:v>-1.8125277261643914E-2</c:v>
                </c:pt>
                <c:pt idx="35">
                  <c:v>-1.8382386234974867E-2</c:v>
                </c:pt>
                <c:pt idx="36">
                  <c:v>-1.8635948367929145E-2</c:v>
                </c:pt>
                <c:pt idx="37">
                  <c:v>-1.888610651914387E-2</c:v>
                </c:pt>
                <c:pt idx="38">
                  <c:v>-1.9132994207200719E-2</c:v>
                </c:pt>
                <c:pt idx="39">
                  <c:v>-1.9376736443815917E-2</c:v>
                </c:pt>
                <c:pt idx="40">
                  <c:v>-1.961745047383659E-2</c:v>
                </c:pt>
                <c:pt idx="41">
                  <c:v>-1.9855246434475674E-2</c:v>
                </c:pt>
                <c:pt idx="42">
                  <c:v>-2.0090227944303832E-2</c:v>
                </c:pt>
                <c:pt idx="43">
                  <c:v>-2.0322492630935166E-2</c:v>
                </c:pt>
                <c:pt idx="44">
                  <c:v>-2.0552132605030114E-2</c:v>
                </c:pt>
                <c:pt idx="45">
                  <c:v>-2.0779234887143207E-2</c:v>
                </c:pt>
                <c:pt idx="46">
                  <c:v>-2.100388179302571E-2</c:v>
                </c:pt>
                <c:pt idx="47">
                  <c:v>-2.1226151282220818E-2</c:v>
                </c:pt>
                <c:pt idx="48">
                  <c:v>-2.1446117274137342E-2</c:v>
                </c:pt>
                <c:pt idx="49">
                  <c:v>-2.1663849935234961E-2</c:v>
                </c:pt>
                <c:pt idx="50">
                  <c:v>-2.1879415940484048E-2</c:v>
                </c:pt>
                <c:pt idx="51">
                  <c:v>-2.2092878711861767E-2</c:v>
                </c:pt>
                <c:pt idx="52">
                  <c:v>-2.2304298636302431E-2</c:v>
                </c:pt>
                <c:pt idx="53">
                  <c:v>-2.2513733265224808E-2</c:v>
                </c:pt>
                <c:pt idx="54">
                  <c:v>-2.2721237497504789E-2</c:v>
                </c:pt>
                <c:pt idx="55">
                  <c:v>-2.2926863747541774E-2</c:v>
                </c:pt>
                <c:pt idx="56">
                  <c:v>-2.3130662099876711E-2</c:v>
                </c:pt>
                <c:pt idx="57">
                  <c:v>-2.3332680451654084E-2</c:v>
                </c:pt>
                <c:pt idx="58">
                  <c:v>-2.3532964644075935E-2</c:v>
                </c:pt>
                <c:pt idx="59">
                  <c:v>-2.3731558583870039E-2</c:v>
                </c:pt>
                <c:pt idx="60">
                  <c:v>-2.3928504355683895E-2</c:v>
                </c:pt>
                <c:pt idx="61">
                  <c:v>-2.4123842326219738E-2</c:v>
                </c:pt>
                <c:pt idx="62">
                  <c:v>-2.4317611240840219E-2</c:v>
                </c:pt>
                <c:pt idx="63">
                  <c:v>-2.4509848313299821E-2</c:v>
                </c:pt>
                <c:pt idx="64">
                  <c:v>-2.470058930919045E-2</c:v>
                </c:pt>
                <c:pt idx="65">
                  <c:v>-2.4889868623631208E-2</c:v>
                </c:pt>
                <c:pt idx="66">
                  <c:v>-2.507771935368025E-2</c:v>
                </c:pt>
                <c:pt idx="67">
                  <c:v>-2.5264173365900505E-2</c:v>
                </c:pt>
                <c:pt idx="68">
                  <c:v>-2.5449261359469826E-2</c:v>
                </c:pt>
                <c:pt idx="69">
                  <c:v>-2.5633012925189495E-2</c:v>
                </c:pt>
                <c:pt idx="70">
                  <c:v>-2.5815456600712283E-2</c:v>
                </c:pt>
                <c:pt idx="71">
                  <c:v>-2.5996619922281947E-2</c:v>
                </c:pt>
                <c:pt idx="72">
                  <c:v>-2.6176529473249777E-2</c:v>
                </c:pt>
                <c:pt idx="73">
                  <c:v>-2.6355210929610143E-2</c:v>
                </c:pt>
                <c:pt idx="74">
                  <c:v>-2.6532689102776029E-2</c:v>
                </c:pt>
                <c:pt idx="75">
                  <c:v>-2.6708987979796189E-2</c:v>
                </c:pt>
                <c:pt idx="76">
                  <c:v>-2.68841307611986E-2</c:v>
                </c:pt>
                <c:pt idx="77">
                  <c:v>-2.705813989662912E-2</c:v>
                </c:pt>
                <c:pt idx="78">
                  <c:v>-2.723103711844042E-2</c:v>
                </c:pt>
                <c:pt idx="79">
                  <c:v>-2.7402843473373482E-2</c:v>
                </c:pt>
                <c:pt idx="80">
                  <c:v>-2.75735793524623E-2</c:v>
                </c:pt>
                <c:pt idx="81">
                  <c:v>-2.7743264519282204E-2</c:v>
                </c:pt>
                <c:pt idx="82">
                  <c:v>-2.7911918136652492E-2</c:v>
                </c:pt>
                <c:pt idx="83">
                  <c:v>-2.8079558791895536E-2</c:v>
                </c:pt>
                <c:pt idx="84">
                  <c:v>-2.8246204520746599E-2</c:v>
                </c:pt>
                <c:pt idx="85">
                  <c:v>-2.8411872830001426E-2</c:v>
                </c:pt>
                <c:pt idx="86">
                  <c:v>-2.8576580718982125E-2</c:v>
                </c:pt>
                <c:pt idx="87">
                  <c:v>-2.8740344699895795E-2</c:v>
                </c:pt>
                <c:pt idx="88">
                  <c:v>-2.8903180817154983E-2</c:v>
                </c:pt>
                <c:pt idx="89">
                  <c:v>-2.9065104665723873E-2</c:v>
                </c:pt>
                <c:pt idx="90">
                  <c:v>-2.9226131408549627E-2</c:v>
                </c:pt>
                <c:pt idx="91">
                  <c:v>-2.938627579313409E-2</c:v>
                </c:pt>
                <c:pt idx="92">
                  <c:v>-2.9545552167296964E-2</c:v>
                </c:pt>
                <c:pt idx="93">
                  <c:v>-2.9703974494178283E-2</c:v>
                </c:pt>
                <c:pt idx="94">
                  <c:v>-2.9861556366524523E-2</c:v>
                </c:pt>
                <c:pt idx="95">
                  <c:v>-3.0018311020299743E-2</c:v>
                </c:pt>
                <c:pt idx="96">
                  <c:v>-3.0174251347660254E-2</c:v>
                </c:pt>
                <c:pt idx="97">
                  <c:v>-3.0329389909328944E-2</c:v>
                </c:pt>
                <c:pt idx="98">
                  <c:v>-3.0483738946402751E-2</c:v>
                </c:pt>
                <c:pt idx="99">
                  <c:v>-3.0637310391624775E-2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7C-4E42-ABE2-53E074BEE8D2}"/>
            </c:ext>
          </c:extLst>
        </c:ser>
        <c:ser>
          <c:idx val="7"/>
          <c:order val="7"/>
          <c:tx>
            <c:strRef>
              <c:f>Sheet1!$BF$137:$BF$137</c:f>
              <c:strCache>
                <c:ptCount val="1"/>
                <c:pt idx="0">
                  <c:v>0,97</c:v>
                </c:pt>
              </c:strCache>
            </c:strRef>
          </c:tx>
          <c:cat>
            <c:numRef>
              <c:f>Sheet1!$AX$138:$AX$237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Sheet1!$BF$138:$BF$237</c:f>
              <c:numCache>
                <c:formatCode>General</c:formatCode>
                <c:ptCount val="100"/>
                <c:pt idx="0">
                  <c:v>-3.4455890273388475E-3</c:v>
                </c:pt>
                <c:pt idx="1">
                  <c:v>-4.8727987328265193E-3</c:v>
                </c:pt>
                <c:pt idx="2">
                  <c:v>-5.9679352573527127E-3</c:v>
                </c:pt>
                <c:pt idx="3">
                  <c:v>-6.8911780546776951E-3</c:v>
                </c:pt>
                <c:pt idx="4">
                  <c:v>-7.7045712876570444E-3</c:v>
                </c:pt>
                <c:pt idx="5">
                  <c:v>-8.4399349803127733E-3</c:v>
                </c:pt>
                <c:pt idx="6">
                  <c:v>-9.116171686471523E-3</c:v>
                </c:pt>
                <c:pt idx="7">
                  <c:v>-9.7455974656530386E-3</c:v>
                </c:pt>
                <c:pt idx="8">
                  <c:v>-1.0336767082016543E-2</c:v>
                </c:pt>
                <c:pt idx="9">
                  <c:v>-1.0895909207274934E-2</c:v>
                </c:pt>
                <c:pt idx="10">
                  <c:v>-1.1427725985448571E-2</c:v>
                </c:pt>
                <c:pt idx="11">
                  <c:v>-1.1935870514705425E-2</c:v>
                </c:pt>
                <c:pt idx="12">
                  <c:v>-1.2423247912246308E-2</c:v>
                </c:pt>
                <c:pt idx="13">
                  <c:v>-1.2892213635929638E-2</c:v>
                </c:pt>
                <c:pt idx="14">
                  <c:v>-1.3344708920758369E-2</c:v>
                </c:pt>
                <c:pt idx="15">
                  <c:v>-1.378235610935539E-2</c:v>
                </c:pt>
                <c:pt idx="16">
                  <c:v>-1.4206527502187285E-2</c:v>
                </c:pt>
                <c:pt idx="17">
                  <c:v>-1.4618396198479556E-2</c:v>
                </c:pt>
                <c:pt idx="18">
                  <c:v>-1.501897437114264E-2</c:v>
                </c:pt>
                <c:pt idx="19">
                  <c:v>-1.5409142575314089E-2</c:v>
                </c:pt>
                <c:pt idx="20">
                  <c:v>-1.5789672531489534E-2</c:v>
                </c:pt>
                <c:pt idx="21">
                  <c:v>-1.6161245075704812E-2</c:v>
                </c:pt>
                <c:pt idx="22">
                  <c:v>-1.6524464473692057E-2</c:v>
                </c:pt>
                <c:pt idx="23">
                  <c:v>-1.6879869960625547E-2</c:v>
                </c:pt>
                <c:pt idx="24">
                  <c:v>-1.7227945136694237E-2</c:v>
                </c:pt>
                <c:pt idx="25">
                  <c:v>-1.7569125686221966E-2</c:v>
                </c:pt>
                <c:pt idx="26">
                  <c:v>-1.7903805772058141E-2</c:v>
                </c:pt>
                <c:pt idx="27">
                  <c:v>-1.8232343372943046E-2</c:v>
                </c:pt>
                <c:pt idx="28">
                  <c:v>-1.8555064769873966E-2</c:v>
                </c:pt>
                <c:pt idx="29">
                  <c:v>-1.8872268341657714E-2</c:v>
                </c:pt>
                <c:pt idx="30">
                  <c:v>-1.9184227795375392E-2</c:v>
                </c:pt>
                <c:pt idx="31">
                  <c:v>-1.9491194931306077E-2</c:v>
                </c:pt>
                <c:pt idx="32">
                  <c:v>-1.9793402021772041E-2</c:v>
                </c:pt>
                <c:pt idx="33">
                  <c:v>-2.0091063867819631E-2</c:v>
                </c:pt>
                <c:pt idx="34">
                  <c:v>-2.0384379585509226E-2</c:v>
                </c:pt>
                <c:pt idx="35">
                  <c:v>-2.0673534164033086E-2</c:v>
                </c:pt>
                <c:pt idx="36">
                  <c:v>-2.0958699830303427E-2</c:v>
                </c:pt>
                <c:pt idx="37">
                  <c:v>-2.1240037248603846E-2</c:v>
                </c:pt>
                <c:pt idx="38">
                  <c:v>-2.1517696579034587E-2</c:v>
                </c:pt>
                <c:pt idx="39">
                  <c:v>-2.1791818414549868E-2</c:v>
                </c:pt>
                <c:pt idx="40">
                  <c:v>-2.2062534613186049E-2</c:v>
                </c:pt>
                <c:pt idx="41">
                  <c:v>-2.2329969039462425E-2</c:v>
                </c:pt>
                <c:pt idx="42">
                  <c:v>-2.2594238226784018E-2</c:v>
                </c:pt>
                <c:pt idx="43">
                  <c:v>-2.2855451970897143E-2</c:v>
                </c:pt>
                <c:pt idx="44">
                  <c:v>-2.3113713862971133E-2</c:v>
                </c:pt>
                <c:pt idx="45">
                  <c:v>-2.3369121769647696E-2</c:v>
                </c:pt>
                <c:pt idx="46">
                  <c:v>-2.362176826636693E-2</c:v>
                </c:pt>
                <c:pt idx="47">
                  <c:v>-2.3871741029410851E-2</c:v>
                </c:pt>
                <c:pt idx="48">
                  <c:v>-2.4119123191371931E-2</c:v>
                </c:pt>
                <c:pt idx="49">
                  <c:v>-2.4363993664132597E-2</c:v>
                </c:pt>
                <c:pt idx="50">
                  <c:v>-2.4606427432912956E-2</c:v>
                </c:pt>
                <c:pt idx="51">
                  <c:v>-2.4846495824492616E-2</c:v>
                </c:pt>
                <c:pt idx="52">
                  <c:v>-2.5084266752325984E-2</c:v>
                </c:pt>
                <c:pt idx="53">
                  <c:v>-2.5319804940938325E-2</c:v>
                </c:pt>
                <c:pt idx="54">
                  <c:v>-2.5553172131703779E-2</c:v>
                </c:pt>
                <c:pt idx="55">
                  <c:v>-2.5784427271859277E-2</c:v>
                </c:pt>
                <c:pt idx="56">
                  <c:v>-2.6013626688393882E-2</c:v>
                </c:pt>
                <c:pt idx="57">
                  <c:v>-2.6240824248266979E-2</c:v>
                </c:pt>
                <c:pt idx="58">
                  <c:v>-2.6466071506246521E-2</c:v>
                </c:pt>
                <c:pt idx="59">
                  <c:v>-2.6689417841516738E-2</c:v>
                </c:pt>
                <c:pt idx="60">
                  <c:v>-2.6910910584080756E-2</c:v>
                </c:pt>
                <c:pt idx="61">
                  <c:v>-2.7130595131874782E-2</c:v>
                </c:pt>
                <c:pt idx="62">
                  <c:v>-2.7348515059414571E-2</c:v>
                </c:pt>
                <c:pt idx="63">
                  <c:v>-2.756471221871078E-2</c:v>
                </c:pt>
                <c:pt idx="64">
                  <c:v>-2.7779226833115084E-2</c:v>
                </c:pt>
                <c:pt idx="65">
                  <c:v>-2.7992097584693062E-2</c:v>
                </c:pt>
                <c:pt idx="66">
                  <c:v>-2.8203361695661337E-2</c:v>
                </c:pt>
                <c:pt idx="67">
                  <c:v>-2.841305500437457E-2</c:v>
                </c:pt>
                <c:pt idx="68">
                  <c:v>-2.8621212036301549E-2</c:v>
                </c:pt>
                <c:pt idx="69">
                  <c:v>-2.8827866070388397E-2</c:v>
                </c:pt>
                <c:pt idx="70">
                  <c:v>-2.9033049201170183E-2</c:v>
                </c:pt>
                <c:pt idx="71">
                  <c:v>-2.9236792396959112E-2</c:v>
                </c:pt>
                <c:pt idx="72">
                  <c:v>-2.9439125554408099E-2</c:v>
                </c:pt>
                <c:pt idx="73">
                  <c:v>-2.9640077549721797E-2</c:v>
                </c:pt>
                <c:pt idx="74">
                  <c:v>-2.983967628676357E-2</c:v>
                </c:pt>
                <c:pt idx="75">
                  <c:v>-3.003794874228528E-2</c:v>
                </c:pt>
                <c:pt idx="76">
                  <c:v>-3.0234921008487448E-2</c:v>
                </c:pt>
                <c:pt idx="77">
                  <c:v>-3.0430618333099867E-2</c:v>
                </c:pt>
                <c:pt idx="78">
                  <c:v>-3.0625065157156992E-2</c:v>
                </c:pt>
                <c:pt idx="79">
                  <c:v>-3.0818285150628177E-2</c:v>
                </c:pt>
                <c:pt idx="80">
                  <c:v>-3.1010301246049629E-2</c:v>
                </c:pt>
                <c:pt idx="81">
                  <c:v>-3.1201135670293558E-2</c:v>
                </c:pt>
                <c:pt idx="82">
                  <c:v>-3.1390809974598984E-2</c:v>
                </c:pt>
                <c:pt idx="83">
                  <c:v>-3.1579345062979068E-2</c:v>
                </c:pt>
                <c:pt idx="84">
                  <c:v>-3.176676121911106E-2</c:v>
                </c:pt>
                <c:pt idx="85">
                  <c:v>-3.1953078131806589E-2</c:v>
                </c:pt>
                <c:pt idx="86">
                  <c:v>-3.2138314919153033E-2</c:v>
                </c:pt>
                <c:pt idx="87">
                  <c:v>-3.2322490151409623E-2</c:v>
                </c:pt>
                <c:pt idx="88">
                  <c:v>-3.2505621872735951E-2</c:v>
                </c:pt>
                <c:pt idx="89">
                  <c:v>-3.26877276218248E-2</c:v>
                </c:pt>
                <c:pt idx="90">
                  <c:v>-3.2868824451506108E-2</c:v>
                </c:pt>
                <c:pt idx="91">
                  <c:v>-3.3048928947384114E-2</c:v>
                </c:pt>
                <c:pt idx="92">
                  <c:v>-3.3228057245565254E-2</c:v>
                </c:pt>
                <c:pt idx="93">
                  <c:v>-3.3406225049530509E-2</c:v>
                </c:pt>
                <c:pt idx="94">
                  <c:v>-3.3583447646202094E-2</c:v>
                </c:pt>
                <c:pt idx="95">
                  <c:v>-3.3759739921251093E-2</c:v>
                </c:pt>
                <c:pt idx="96">
                  <c:v>-3.3935116373689254E-2</c:v>
                </c:pt>
                <c:pt idx="97">
                  <c:v>-3.4109591129785635E-2</c:v>
                </c:pt>
                <c:pt idx="98">
                  <c:v>-3.4283177956345716E-2</c:v>
                </c:pt>
                <c:pt idx="99">
                  <c:v>-3.4455890273388474E-2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7C-4E42-ABE2-53E074BEE8D2}"/>
            </c:ext>
          </c:extLst>
        </c:ser>
        <c:ser>
          <c:idx val="8"/>
          <c:order val="8"/>
          <c:tx>
            <c:strRef>
              <c:f>Sheet1!$BG$137:$BG$137</c:f>
              <c:strCache>
                <c:ptCount val="1"/>
                <c:pt idx="0">
                  <c:v>0,98</c:v>
                </c:pt>
              </c:strCache>
            </c:strRef>
          </c:tx>
          <c:cat>
            <c:numRef>
              <c:f>Sheet1!$AX$138:$AX$237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Sheet1!$BG$138:$BG$237</c:f>
              <c:numCache>
                <c:formatCode>General</c:formatCode>
                <c:ptCount val="100"/>
                <c:pt idx="0">
                  <c:v>-3.953202693877585E-3</c:v>
                </c:pt>
                <c:pt idx="1">
                  <c:v>-5.5906728644915362E-3</c:v>
                </c:pt>
                <c:pt idx="2">
                  <c:v>-6.8471479184141317E-3</c:v>
                </c:pt>
                <c:pt idx="3">
                  <c:v>-7.90640538775517E-3</c:v>
                </c:pt>
                <c:pt idx="4">
                  <c:v>-8.8396299523455721E-3</c:v>
                </c:pt>
                <c:pt idx="5">
                  <c:v>-9.6833294497959722E-3</c:v>
                </c:pt>
                <c:pt idx="6">
                  <c:v>-1.0459191210230692E-2</c:v>
                </c:pt>
                <c:pt idx="7">
                  <c:v>-1.1181345728983072E-2</c:v>
                </c:pt>
                <c:pt idx="8">
                  <c:v>-1.1859608081632755E-2</c:v>
                </c:pt>
                <c:pt idx="9">
                  <c:v>-1.2501124564966545E-2</c:v>
                </c:pt>
                <c:pt idx="10">
                  <c:v>-1.3111290055814148E-2</c:v>
                </c:pt>
                <c:pt idx="11">
                  <c:v>-1.3694295836828263E-2</c:v>
                </c:pt>
                <c:pt idx="12">
                  <c:v>-1.4253475015078005E-2</c:v>
                </c:pt>
                <c:pt idx="13">
                  <c:v>-1.479153006096171E-2</c:v>
                </c:pt>
                <c:pt idx="14">
                  <c:v>-1.5310688197570185E-2</c:v>
                </c:pt>
                <c:pt idx="15">
                  <c:v>-1.581281077551034E-2</c:v>
                </c:pt>
                <c:pt idx="16">
                  <c:v>-1.6299472266333562E-2</c:v>
                </c:pt>
                <c:pt idx="17">
                  <c:v>-1.6772018593474606E-2</c:v>
                </c:pt>
                <c:pt idx="18">
                  <c:v>-1.7231611045945151E-2</c:v>
                </c:pt>
                <c:pt idx="19">
                  <c:v>-1.7679259904691144E-2</c:v>
                </c:pt>
                <c:pt idx="20">
                  <c:v>-1.8115850582197373E-2</c:v>
                </c:pt>
                <c:pt idx="21">
                  <c:v>-1.8542164217139862E-2</c:v>
                </c:pt>
                <c:pt idx="22">
                  <c:v>-1.8958894097342884E-2</c:v>
                </c:pt>
                <c:pt idx="23">
                  <c:v>-1.9366658899591944E-2</c:v>
                </c:pt>
                <c:pt idx="24">
                  <c:v>-1.9766013469387923E-2</c:v>
                </c:pt>
                <c:pt idx="25">
                  <c:v>-2.0157457677269369E-2</c:v>
                </c:pt>
                <c:pt idx="26">
                  <c:v>-2.0541443755242396E-2</c:v>
                </c:pt>
                <c:pt idx="27">
                  <c:v>-2.0918382420461384E-2</c:v>
                </c:pt>
                <c:pt idx="28">
                  <c:v>-2.1288648022538884E-2</c:v>
                </c:pt>
                <c:pt idx="29">
                  <c:v>-2.1652582898269431E-2</c:v>
                </c:pt>
                <c:pt idx="30">
                  <c:v>-2.2010501078015256E-2</c:v>
                </c:pt>
                <c:pt idx="31">
                  <c:v>-2.2362691457966145E-2</c:v>
                </c:pt>
                <c:pt idx="32">
                  <c:v>-2.2709420529442685E-2</c:v>
                </c:pt>
                <c:pt idx="33">
                  <c:v>-2.3050934738573052E-2</c:v>
                </c:pt>
                <c:pt idx="34">
                  <c:v>-2.338746253574412E-2</c:v>
                </c:pt>
                <c:pt idx="35">
                  <c:v>-2.371921616326551E-2</c:v>
                </c:pt>
                <c:pt idx="36">
                  <c:v>-2.4046393220992557E-2</c:v>
                </c:pt>
                <c:pt idx="37">
                  <c:v>-2.4369178042713664E-2</c:v>
                </c:pt>
                <c:pt idx="38">
                  <c:v>-2.4687742910528675E-2</c:v>
                </c:pt>
                <c:pt idx="39">
                  <c:v>-2.5002249129933089E-2</c:v>
                </c:pt>
                <c:pt idx="40">
                  <c:v>-2.5312847984652394E-2</c:v>
                </c:pt>
                <c:pt idx="41">
                  <c:v>-2.5619681587268055E-2</c:v>
                </c:pt>
                <c:pt idx="42">
                  <c:v>-2.5922883639207323E-2</c:v>
                </c:pt>
                <c:pt idx="43">
                  <c:v>-2.6222580111628296E-2</c:v>
                </c:pt>
                <c:pt idx="44">
                  <c:v>-2.6518889857036716E-2</c:v>
                </c:pt>
                <c:pt idx="45">
                  <c:v>-2.6811925160057527E-2</c:v>
                </c:pt>
                <c:pt idx="46">
                  <c:v>-2.7101792234599666E-2</c:v>
                </c:pt>
                <c:pt idx="47">
                  <c:v>-2.7388591673656527E-2</c:v>
                </c:pt>
                <c:pt idx="48">
                  <c:v>-2.7672418857143097E-2</c:v>
                </c:pt>
                <c:pt idx="49">
                  <c:v>-2.7953364322457677E-2</c:v>
                </c:pt>
                <c:pt idx="50">
                  <c:v>-2.8231514101849566E-2</c:v>
                </c:pt>
                <c:pt idx="51">
                  <c:v>-2.8506950030156009E-2</c:v>
                </c:pt>
                <c:pt idx="52">
                  <c:v>-2.8779750026028592E-2</c:v>
                </c:pt>
                <c:pt idx="53">
                  <c:v>-2.9049988349387917E-2</c:v>
                </c:pt>
                <c:pt idx="54">
                  <c:v>-2.9317735837517445E-2</c:v>
                </c:pt>
                <c:pt idx="55">
                  <c:v>-2.9583060121923421E-2</c:v>
                </c:pt>
                <c:pt idx="56">
                  <c:v>-2.9846025827842085E-2</c:v>
                </c:pt>
                <c:pt idx="57">
                  <c:v>-3.0106694758061665E-2</c:v>
                </c:pt>
                <c:pt idx="58">
                  <c:v>-3.0365126062540538E-2</c:v>
                </c:pt>
                <c:pt idx="59">
                  <c:v>-3.0621376395140371E-2</c:v>
                </c:pt>
                <c:pt idx="60">
                  <c:v>-3.087550005865072E-2</c:v>
                </c:pt>
                <c:pt idx="61">
                  <c:v>-3.1127549139156808E-2</c:v>
                </c:pt>
                <c:pt idx="62">
                  <c:v>-3.1377573630692074E-2</c:v>
                </c:pt>
                <c:pt idx="63">
                  <c:v>-3.162562155102068E-2</c:v>
                </c:pt>
                <c:pt idx="64">
                  <c:v>-3.1871739049309254E-2</c:v>
                </c:pt>
                <c:pt idx="65">
                  <c:v>-3.2115970506371841E-2</c:v>
                </c:pt>
                <c:pt idx="66">
                  <c:v>-3.235835862810453E-2</c:v>
                </c:pt>
                <c:pt idx="67">
                  <c:v>-3.2598944532667123E-2</c:v>
                </c:pt>
                <c:pt idx="68">
                  <c:v>-3.2837767831915568E-2</c:v>
                </c:pt>
                <c:pt idx="69">
                  <c:v>-3.3074866707541992E-2</c:v>
                </c:pt>
                <c:pt idx="70">
                  <c:v>-3.3310277982336788E-2</c:v>
                </c:pt>
                <c:pt idx="71">
                  <c:v>-3.3544037186949212E-2</c:v>
                </c:pt>
                <c:pt idx="72">
                  <c:v>-3.3776178622489439E-2</c:v>
                </c:pt>
                <c:pt idx="73">
                  <c:v>-3.4006735419284125E-2</c:v>
                </c:pt>
                <c:pt idx="74">
                  <c:v>-3.4235739592070664E-2</c:v>
                </c:pt>
                <c:pt idx="75">
                  <c:v>-3.4463222091890303E-2</c:v>
                </c:pt>
                <c:pt idx="76">
                  <c:v>-3.4689212854918411E-2</c:v>
                </c:pt>
                <c:pt idx="77">
                  <c:v>-3.4913740848449878E-2</c:v>
                </c:pt>
                <c:pt idx="78">
                  <c:v>-3.51368341142397E-2</c:v>
                </c:pt>
                <c:pt idx="79">
                  <c:v>-3.5358519809382288E-2</c:v>
                </c:pt>
                <c:pt idx="80">
                  <c:v>-3.5578824244898263E-2</c:v>
                </c:pt>
                <c:pt idx="81">
                  <c:v>-3.5797772922183883E-2</c:v>
                </c:pt>
                <c:pt idx="82">
                  <c:v>-3.6015390567466055E-2</c:v>
                </c:pt>
                <c:pt idx="83">
                  <c:v>-3.6231701164394746E-2</c:v>
                </c:pt>
                <c:pt idx="84">
                  <c:v>-3.64467279848944E-2</c:v>
                </c:pt>
                <c:pt idx="85">
                  <c:v>-3.6660493618386615E-2</c:v>
                </c:pt>
                <c:pt idx="86">
                  <c:v>-3.6873019999488062E-2</c:v>
                </c:pt>
                <c:pt idx="87">
                  <c:v>-3.7084328434279723E-2</c:v>
                </c:pt>
                <c:pt idx="88">
                  <c:v>-3.7294439625236472E-2</c:v>
                </c:pt>
                <c:pt idx="89">
                  <c:v>-3.750337369489963E-2</c:v>
                </c:pt>
                <c:pt idx="90">
                  <c:v>-3.7711150208369015E-2</c:v>
                </c:pt>
                <c:pt idx="91">
                  <c:v>-3.7917788194685768E-2</c:v>
                </c:pt>
                <c:pt idx="92">
                  <c:v>-3.8123306167171973E-2</c:v>
                </c:pt>
                <c:pt idx="93">
                  <c:v>-3.8327722142788678E-2</c:v>
                </c:pt>
                <c:pt idx="94">
                  <c:v>-3.8531053660569602E-2</c:v>
                </c:pt>
                <c:pt idx="95">
                  <c:v>-3.8733317799183889E-2</c:v>
                </c:pt>
                <c:pt idx="96">
                  <c:v>-3.8934531193677631E-2</c:v>
                </c:pt>
                <c:pt idx="97">
                  <c:v>-3.9134710051440751E-2</c:v>
                </c:pt>
                <c:pt idx="98">
                  <c:v>-3.9333870167442442E-2</c:v>
                </c:pt>
                <c:pt idx="99">
                  <c:v>-3.9532026938775847E-2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7C-4E42-ABE2-53E074BEE8D2}"/>
            </c:ext>
          </c:extLst>
        </c:ser>
        <c:ser>
          <c:idx val="9"/>
          <c:order val="9"/>
          <c:tx>
            <c:strRef>
              <c:f>Sheet1!$BH$137:$BH$137</c:f>
              <c:strCache>
                <c:ptCount val="1"/>
                <c:pt idx="0">
                  <c:v>0,99</c:v>
                </c:pt>
              </c:strCache>
            </c:strRef>
          </c:tx>
          <c:cat>
            <c:numRef>
              <c:f>Sheet1!$AX$138:$AX$237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Sheet1!$BH$138:$BH$237</c:f>
              <c:numCache>
                <c:formatCode>General</c:formatCode>
                <c:ptCount val="100"/>
                <c:pt idx="0">
                  <c:v>-4.7532646597502701E-3</c:v>
                </c:pt>
                <c:pt idx="1">
                  <c:v>-6.7221313473675671E-3</c:v>
                </c:pt>
                <c:pt idx="2">
                  <c:v>-8.2328958925090602E-3</c:v>
                </c:pt>
                <c:pt idx="3">
                  <c:v>-9.5065293195005403E-3</c:v>
                </c:pt>
                <c:pt idx="4">
                  <c:v>-1.0628622894249012E-2</c:v>
                </c:pt>
                <c:pt idx="5">
                  <c:v>-1.1643073028792059E-2</c:v>
                </c:pt>
                <c:pt idx="6">
                  <c:v>-1.2575956205371263E-2</c:v>
                </c:pt>
                <c:pt idx="7">
                  <c:v>-1.3444262694735134E-2</c:v>
                </c:pt>
                <c:pt idx="8">
                  <c:v>-1.425979397925081E-2</c:v>
                </c:pt>
                <c:pt idx="9">
                  <c:v>-1.5031142646396134E-2</c:v>
                </c:pt>
                <c:pt idx="10">
                  <c:v>-1.5764795405647972E-2</c:v>
                </c:pt>
                <c:pt idx="11">
                  <c:v>-1.646579178501812E-2</c:v>
                </c:pt>
                <c:pt idx="12">
                  <c:v>-1.7138139456580492E-2</c:v>
                </c:pt>
                <c:pt idx="13">
                  <c:v>-1.7785087825446123E-2</c:v>
                </c:pt>
                <c:pt idx="14">
                  <c:v>-1.8409314867329062E-2</c:v>
                </c:pt>
                <c:pt idx="15">
                  <c:v>-1.9013058639001081E-2</c:v>
                </c:pt>
                <c:pt idx="16">
                  <c:v>-1.9598212258665954E-2</c:v>
                </c:pt>
                <c:pt idx="17">
                  <c:v>-2.01663940421027E-2</c:v>
                </c:pt>
                <c:pt idx="18">
                  <c:v>-2.0719000303754672E-2</c:v>
                </c:pt>
                <c:pt idx="19">
                  <c:v>-2.1257245788498025E-2</c:v>
                </c:pt>
                <c:pt idx="20">
                  <c:v>-2.1782195101464126E-2</c:v>
                </c:pt>
                <c:pt idx="21">
                  <c:v>-2.229478747070442E-2</c:v>
                </c:pt>
                <c:pt idx="22">
                  <c:v>-2.2795856493878653E-2</c:v>
                </c:pt>
                <c:pt idx="23">
                  <c:v>-2.3286146057584119E-2</c:v>
                </c:pt>
                <c:pt idx="24">
                  <c:v>-2.3766323298751349E-2</c:v>
                </c:pt>
                <c:pt idx="25">
                  <c:v>-2.4236989253337594E-2</c:v>
                </c:pt>
                <c:pt idx="26">
                  <c:v>-2.4698687677527181E-2</c:v>
                </c:pt>
                <c:pt idx="27">
                  <c:v>-2.5151912410742525E-2</c:v>
                </c:pt>
                <c:pt idx="28">
                  <c:v>-2.5597113564683315E-2</c:v>
                </c:pt>
                <c:pt idx="29">
                  <c:v>-2.6034702759373411E-2</c:v>
                </c:pt>
                <c:pt idx="30">
                  <c:v>-2.6465057579656923E-2</c:v>
                </c:pt>
                <c:pt idx="31">
                  <c:v>-2.6888525389470268E-2</c:v>
                </c:pt>
                <c:pt idx="32">
                  <c:v>-2.7305426613510694E-2</c:v>
                </c:pt>
                <c:pt idx="33">
                  <c:v>-2.7716057574472042E-2</c:v>
                </c:pt>
                <c:pt idx="34">
                  <c:v>-2.812069295727045E-2</c:v>
                </c:pt>
                <c:pt idx="35">
                  <c:v>-2.8519587958501621E-2</c:v>
                </c:pt>
                <c:pt idx="36">
                  <c:v>-2.8912980168919657E-2</c:v>
                </c:pt>
                <c:pt idx="37">
                  <c:v>-2.9301091228382131E-2</c:v>
                </c:pt>
                <c:pt idx="38">
                  <c:v>-2.9684128285998281E-2</c:v>
                </c:pt>
                <c:pt idx="39">
                  <c:v>-3.0062285292792267E-2</c:v>
                </c:pt>
                <c:pt idx="40">
                  <c:v>-3.0435744149779956E-2</c:v>
                </c:pt>
                <c:pt idx="41">
                  <c:v>-3.0804675730747366E-2</c:v>
                </c:pt>
                <c:pt idx="42">
                  <c:v>-3.1169240796049661E-2</c:v>
                </c:pt>
                <c:pt idx="43">
                  <c:v>-3.1529590811295943E-2</c:v>
                </c:pt>
                <c:pt idx="44">
                  <c:v>-3.1885868682747037E-2</c:v>
                </c:pt>
                <c:pt idx="45">
                  <c:v>-3.2238209419553986E-2</c:v>
                </c:pt>
                <c:pt idx="46">
                  <c:v>-3.2586740731540643E-2</c:v>
                </c:pt>
                <c:pt idx="47">
                  <c:v>-3.2931583570036241E-2</c:v>
                </c:pt>
                <c:pt idx="48">
                  <c:v>-3.3272852618251893E-2</c:v>
                </c:pt>
                <c:pt idx="49">
                  <c:v>-3.3610656736837836E-2</c:v>
                </c:pt>
                <c:pt idx="50">
                  <c:v>-3.3945099369528636E-2</c:v>
                </c:pt>
                <c:pt idx="51">
                  <c:v>-3.4276278913160985E-2</c:v>
                </c:pt>
                <c:pt idx="52">
                  <c:v>-3.4604289055815536E-2</c:v>
                </c:pt>
                <c:pt idx="53">
                  <c:v>-3.4929219086376181E-2</c:v>
                </c:pt>
                <c:pt idx="54">
                  <c:v>-3.5251154178405235E-2</c:v>
                </c:pt>
                <c:pt idx="55">
                  <c:v>-3.5570175650892245E-2</c:v>
                </c:pt>
                <c:pt idx="56">
                  <c:v>-3.5886361208138096E-2</c:v>
                </c:pt>
                <c:pt idx="57">
                  <c:v>-3.6199785160779471E-2</c:v>
                </c:pt>
                <c:pt idx="58">
                  <c:v>-3.6510518629734916E-2</c:v>
                </c:pt>
                <c:pt idx="59">
                  <c:v>-3.6818629734658125E-2</c:v>
                </c:pt>
                <c:pt idx="60">
                  <c:v>-3.7124183768313099E-2</c:v>
                </c:pt>
                <c:pt idx="61">
                  <c:v>-3.7427243358135701E-2</c:v>
                </c:pt>
                <c:pt idx="62">
                  <c:v>-3.772786861611379E-2</c:v>
                </c:pt>
                <c:pt idx="63">
                  <c:v>-3.8026117278002161E-2</c:v>
                </c:pt>
                <c:pt idx="64">
                  <c:v>-3.8322044832785285E-2</c:v>
                </c:pt>
                <c:pt idx="65">
                  <c:v>-3.8615704643210076E-2</c:v>
                </c:pt>
                <c:pt idx="66">
                  <c:v>-3.8907148058130232E-2</c:v>
                </c:pt>
                <c:pt idx="67">
                  <c:v>-3.9196424517331907E-2</c:v>
                </c:pt>
                <c:pt idx="68">
                  <c:v>-3.9483581649446757E-2</c:v>
                </c:pt>
                <c:pt idx="69">
                  <c:v>-3.9768665363501446E-2</c:v>
                </c:pt>
                <c:pt idx="70">
                  <c:v>-4.0051719934601944E-2</c:v>
                </c:pt>
                <c:pt idx="71">
                  <c:v>-4.0332788084205401E-2</c:v>
                </c:pt>
                <c:pt idx="72">
                  <c:v>-4.0611911055391768E-2</c:v>
                </c:pt>
                <c:pt idx="73">
                  <c:v>-4.0889128683510523E-2</c:v>
                </c:pt>
                <c:pt idx="74">
                  <c:v>-4.1164479462545304E-2</c:v>
                </c:pt>
                <c:pt idx="75">
                  <c:v>-4.1438000607509344E-2</c:v>
                </c:pt>
                <c:pt idx="76">
                  <c:v>-4.1709728113158158E-2</c:v>
                </c:pt>
                <c:pt idx="77">
                  <c:v>-4.197969680928159E-2</c:v>
                </c:pt>
                <c:pt idx="78">
                  <c:v>-4.2247940412815835E-2</c:v>
                </c:pt>
                <c:pt idx="79">
                  <c:v>-4.251449157699605E-2</c:v>
                </c:pt>
                <c:pt idx="80">
                  <c:v>-4.277938193775243E-2</c:v>
                </c:pt>
                <c:pt idx="81">
                  <c:v>-4.3042642157536407E-2</c:v>
                </c:pt>
                <c:pt idx="82">
                  <c:v>-4.3304301966748761E-2</c:v>
                </c:pt>
                <c:pt idx="83">
                  <c:v>-4.3564390202928252E-2</c:v>
                </c:pt>
                <c:pt idx="84">
                  <c:v>-4.3822934847846766E-2</c:v>
                </c:pt>
                <c:pt idx="85">
                  <c:v>-4.4079963062646201E-2</c:v>
                </c:pt>
                <c:pt idx="86">
                  <c:v>-4.4335501221142007E-2</c:v>
                </c:pt>
                <c:pt idx="87">
                  <c:v>-4.458957494140884E-2</c:v>
                </c:pt>
                <c:pt idx="88">
                  <c:v>-4.4842209115755496E-2</c:v>
                </c:pt>
                <c:pt idx="89">
                  <c:v>-4.5093427939188399E-2</c:v>
                </c:pt>
                <c:pt idx="90">
                  <c:v>-4.5343254936455621E-2</c:v>
                </c:pt>
                <c:pt idx="91">
                  <c:v>-4.5591712987757306E-2</c:v>
                </c:pt>
                <c:pt idx="92">
                  <c:v>-4.5838824353201614E-2</c:v>
                </c:pt>
                <c:pt idx="93">
                  <c:v>-4.6084610696080532E-2</c:v>
                </c:pt>
                <c:pt idx="94">
                  <c:v>-4.6329093105034233E-2</c:v>
                </c:pt>
                <c:pt idx="95">
                  <c:v>-4.6572292115168237E-2</c:v>
                </c:pt>
                <c:pt idx="96">
                  <c:v>-4.6814227728183153E-2</c:v>
                </c:pt>
                <c:pt idx="97">
                  <c:v>-4.7054919431572972E-2</c:v>
                </c:pt>
                <c:pt idx="98">
                  <c:v>-4.7294386216943915E-2</c:v>
                </c:pt>
                <c:pt idx="99">
                  <c:v>-4.7532646597502698E-2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7C-4E42-ABE2-53E074BEE8D2}"/>
            </c:ext>
          </c:extLst>
        </c:ser>
        <c:ser>
          <c:idx val="10"/>
          <c:order val="10"/>
          <c:tx>
            <c:strRef>
              <c:f>Sheet1!$BI$137:$BI$137</c:f>
              <c:strCache>
                <c:ptCount val="1"/>
                <c:pt idx="0">
                  <c:v>0,995</c:v>
                </c:pt>
              </c:strCache>
            </c:strRef>
          </c:tx>
          <c:cat>
            <c:numRef>
              <c:f>Sheet1!$AX$138:$AX$237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Sheet1!$BI$138:$BI$237</c:f>
              <c:numCache>
                <c:formatCode>General</c:formatCode>
                <c:ptCount val="100"/>
                <c:pt idx="0">
                  <c:v>-5.4854780197895626E-3</c:v>
                </c:pt>
                <c:pt idx="1">
                  <c:v>-7.7576374116859088E-3</c:v>
                </c:pt>
                <c:pt idx="2">
                  <c:v>-9.5011266340778375E-3</c:v>
                </c:pt>
                <c:pt idx="3">
                  <c:v>-1.0970956039579125E-2</c:v>
                </c:pt>
                <c:pt idx="4">
                  <c:v>-1.2265901741330399E-2</c:v>
                </c:pt>
                <c:pt idx="5">
                  <c:v>-1.3436622143737111E-2</c:v>
                </c:pt>
                <c:pt idx="6">
                  <c:v>-1.451321066267423E-2</c:v>
                </c:pt>
                <c:pt idx="7">
                  <c:v>-1.5515274823371818E-2</c:v>
                </c:pt>
                <c:pt idx="8">
                  <c:v>-1.6456434059368689E-2</c:v>
                </c:pt>
                <c:pt idx="9">
                  <c:v>-1.7346604597325215E-2</c:v>
                </c:pt>
                <c:pt idx="10">
                  <c:v>-1.8193272387383712E-2</c:v>
                </c:pt>
                <c:pt idx="11">
                  <c:v>-1.9002253268155675E-2</c:v>
                </c:pt>
                <c:pt idx="12">
                  <c:v>-1.9778172270781935E-2</c:v>
                </c:pt>
                <c:pt idx="13">
                  <c:v>-2.0524779352731708E-2</c:v>
                </c:pt>
                <c:pt idx="14">
                  <c:v>-2.1245165016631817E-2</c:v>
                </c:pt>
                <c:pt idx="15">
                  <c:v>-2.194191207915825E-2</c:v>
                </c:pt>
                <c:pt idx="16">
                  <c:v>-2.2617205282596371E-2</c:v>
                </c:pt>
                <c:pt idx="17">
                  <c:v>-2.3272912235057723E-2</c:v>
                </c:pt>
                <c:pt idx="18">
                  <c:v>-2.3910644345276313E-2</c:v>
                </c:pt>
                <c:pt idx="19">
                  <c:v>-2.4531803482660798E-2</c:v>
                </c:pt>
                <c:pt idx="20">
                  <c:v>-2.5137618248702139E-2</c:v>
                </c:pt>
                <c:pt idx="21">
                  <c:v>-2.5729172554185983E-2</c:v>
                </c:pt>
                <c:pt idx="22">
                  <c:v>-2.6307428407745817E-2</c:v>
                </c:pt>
                <c:pt idx="23">
                  <c:v>-2.6873244287474223E-2</c:v>
                </c:pt>
                <c:pt idx="24">
                  <c:v>-2.7427390098947811E-2</c:v>
                </c:pt>
                <c:pt idx="25">
                  <c:v>-2.7970559464291285E-2</c:v>
                </c:pt>
                <c:pt idx="26">
                  <c:v>-2.8503379902233512E-2</c:v>
                </c:pt>
                <c:pt idx="27">
                  <c:v>-2.902642132534846E-2</c:v>
                </c:pt>
                <c:pt idx="28">
                  <c:v>-2.9540203182480618E-2</c:v>
                </c:pt>
                <c:pt idx="29">
                  <c:v>-3.0045200501375133E-2</c:v>
                </c:pt>
                <c:pt idx="30">
                  <c:v>-3.0541849031671724E-2</c:v>
                </c:pt>
                <c:pt idx="31">
                  <c:v>-3.1030549646743635E-2</c:v>
                </c:pt>
                <c:pt idx="32">
                  <c:v>-3.1511672130888513E-2</c:v>
                </c:pt>
                <c:pt idx="33">
                  <c:v>-3.1985558453624198E-2</c:v>
                </c:pt>
                <c:pt idx="34">
                  <c:v>-3.2452525613514346E-2</c:v>
                </c:pt>
                <c:pt idx="35">
                  <c:v>-3.2912868118737379E-2</c:v>
                </c:pt>
                <c:pt idx="36">
                  <c:v>-3.3366860159550427E-2</c:v>
                </c:pt>
                <c:pt idx="37">
                  <c:v>-3.3814757518169307E-2</c:v>
                </c:pt>
                <c:pt idx="38">
                  <c:v>-3.4256799253844228E-2</c:v>
                </c:pt>
                <c:pt idx="39">
                  <c:v>-3.469320919465043E-2</c:v>
                </c:pt>
                <c:pt idx="40">
                  <c:v>-3.5124197262419693E-2</c:v>
                </c:pt>
                <c:pt idx="41">
                  <c:v>-3.5549960653071977E-2</c:v>
                </c:pt>
                <c:pt idx="42">
                  <c:v>-3.5970684891179931E-2</c:v>
                </c:pt>
                <c:pt idx="43">
                  <c:v>-3.6386544774767424E-2</c:v>
                </c:pt>
                <c:pt idx="44">
                  <c:v>-3.6797705223991201E-2</c:v>
                </c:pt>
                <c:pt idx="45">
                  <c:v>-3.7204322045393375E-2</c:v>
                </c:pt>
                <c:pt idx="46">
                  <c:v>-3.7606542621769122E-2</c:v>
                </c:pt>
                <c:pt idx="47">
                  <c:v>-3.800450653631135E-2</c:v>
                </c:pt>
                <c:pt idx="48">
                  <c:v>-3.839834613852694E-2</c:v>
                </c:pt>
                <c:pt idx="49">
                  <c:v>-3.8788187058429541E-2</c:v>
                </c:pt>
                <c:pt idx="50">
                  <c:v>-3.9174148674672123E-2</c:v>
                </c:pt>
                <c:pt idx="51">
                  <c:v>-3.955634454156387E-2</c:v>
                </c:pt>
                <c:pt idx="52">
                  <c:v>-3.9934882779300906E-2</c:v>
                </c:pt>
                <c:pt idx="53">
                  <c:v>-4.0309866431211337E-2</c:v>
                </c:pt>
                <c:pt idx="54">
                  <c:v>-4.068139379135987E-2</c:v>
                </c:pt>
                <c:pt idx="55">
                  <c:v>-4.1049558705463417E-2</c:v>
                </c:pt>
                <c:pt idx="56">
                  <c:v>-4.1414450847728046E-2</c:v>
                </c:pt>
                <c:pt idx="57">
                  <c:v>-4.1776155975920957E-2</c:v>
                </c:pt>
                <c:pt idx="58">
                  <c:v>-4.213475616673331E-2</c:v>
                </c:pt>
                <c:pt idx="59">
                  <c:v>-4.2490330033263635E-2</c:v>
                </c:pt>
                <c:pt idx="60">
                  <c:v>-4.2842952926254507E-2</c:v>
                </c:pt>
                <c:pt idx="61">
                  <c:v>-4.3192697120541731E-2</c:v>
                </c:pt>
                <c:pt idx="62">
                  <c:v>-4.3539631988022694E-2</c:v>
                </c:pt>
                <c:pt idx="63">
                  <c:v>-4.3883824158316501E-2</c:v>
                </c:pt>
                <c:pt idx="64">
                  <c:v>-4.422533766816978E-2</c:v>
                </c:pt>
                <c:pt idx="65">
                  <c:v>-4.4564234100556828E-2</c:v>
                </c:pt>
                <c:pt idx="66">
                  <c:v>-4.4900572714329894E-2</c:v>
                </c:pt>
                <c:pt idx="67">
                  <c:v>-4.5234410565192743E-2</c:v>
                </c:pt>
                <c:pt idx="68">
                  <c:v>-4.5565802618696569E-2</c:v>
                </c:pt>
                <c:pt idx="69">
                  <c:v>-4.5894801855892238E-2</c:v>
                </c:pt>
                <c:pt idx="70">
                  <c:v>-4.6221459372213725E-2</c:v>
                </c:pt>
                <c:pt idx="71">
                  <c:v>-4.6545824470115446E-2</c:v>
                </c:pt>
                <c:pt idx="72">
                  <c:v>-4.6867944745939014E-2</c:v>
                </c:pt>
                <c:pt idx="73">
                  <c:v>-4.7187866171442709E-2</c:v>
                </c:pt>
                <c:pt idx="74">
                  <c:v>-4.7505633170389194E-2</c:v>
                </c:pt>
                <c:pt idx="75">
                  <c:v>-4.7821288690552625E-2</c:v>
                </c:pt>
                <c:pt idx="76">
                  <c:v>-4.8134874271475669E-2</c:v>
                </c:pt>
                <c:pt idx="77">
                  <c:v>-4.8446430108279037E-2</c:v>
                </c:pt>
                <c:pt idx="78">
                  <c:v>-4.8755995111800961E-2</c:v>
                </c:pt>
                <c:pt idx="79">
                  <c:v>-4.9063606965321596E-2</c:v>
                </c:pt>
                <c:pt idx="80">
                  <c:v>-4.9369302178106061E-2</c:v>
                </c:pt>
                <c:pt idx="81">
                  <c:v>-4.9673116135981875E-2</c:v>
                </c:pt>
                <c:pt idx="82">
                  <c:v>-4.9975083149148808E-2</c:v>
                </c:pt>
                <c:pt idx="83">
                  <c:v>-5.0275236497404278E-2</c:v>
                </c:pt>
                <c:pt idx="84">
                  <c:v>-5.0573608472952822E-2</c:v>
                </c:pt>
                <c:pt idx="85">
                  <c:v>-5.0870230420955634E-2</c:v>
                </c:pt>
                <c:pt idx="86">
                  <c:v>-5.1165132777964278E-2</c:v>
                </c:pt>
                <c:pt idx="87">
                  <c:v>-5.1458345108371967E-2</c:v>
                </c:pt>
                <c:pt idx="88">
                  <c:v>-5.1749896139005949E-2</c:v>
                </c:pt>
                <c:pt idx="89">
                  <c:v>-5.2039813791975642E-2</c:v>
                </c:pt>
                <c:pt idx="90">
                  <c:v>-5.2328125215882634E-2</c:v>
                </c:pt>
                <c:pt idx="91">
                  <c:v>-5.2614856815491634E-2</c:v>
                </c:pt>
                <c:pt idx="92">
                  <c:v>-5.2900034279953739E-2</c:v>
                </c:pt>
                <c:pt idx="93">
                  <c:v>-5.318368260966775E-2</c:v>
                </c:pt>
                <c:pt idx="94">
                  <c:v>-5.3465826141858776E-2</c:v>
                </c:pt>
                <c:pt idx="95">
                  <c:v>-5.3746488574948445E-2</c:v>
                </c:pt>
                <c:pt idx="96">
                  <c:v>-5.4025692991785473E-2</c:v>
                </c:pt>
                <c:pt idx="97">
                  <c:v>-5.4303461881801358E-2</c:v>
                </c:pt>
                <c:pt idx="98">
                  <c:v>-5.4579817162151135E-2</c:v>
                </c:pt>
                <c:pt idx="99">
                  <c:v>-5.4854780197895622E-2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7C-4E42-ABE2-53E074BEE8D2}"/>
            </c:ext>
          </c:extLst>
        </c:ser>
        <c:bandFmts/>
        <c:axId val="451775584"/>
        <c:axId val="451775224"/>
        <c:axId val="455917600"/>
      </c:surface3DChart>
      <c:valAx>
        <c:axId val="451775224"/>
        <c:scaling>
          <c:orientation val="minMax"/>
        </c:scaling>
        <c:delete val="0"/>
        <c:axPos val="r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it-IT"/>
          </a:p>
        </c:txPr>
        <c:crossAx val="451775584"/>
        <c:crosses val="autoZero"/>
        <c:crossBetween val="midCat"/>
      </c:valAx>
      <c:catAx>
        <c:axId val="45177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8" cap="flat">
            <a:solidFill>
              <a:srgbClr val="D9D9D9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it-IT"/>
          </a:p>
        </c:txPr>
        <c:crossAx val="451775224"/>
        <c:crosses val="autoZero"/>
        <c:auto val="1"/>
        <c:lblAlgn val="ctr"/>
        <c:lblOffset val="100"/>
        <c:noMultiLvlLbl val="0"/>
      </c:catAx>
      <c:serAx>
        <c:axId val="455917600"/>
        <c:scaling>
          <c:orientation val="minMax"/>
        </c:scaling>
        <c:delete val="0"/>
        <c:axPos val="b"/>
        <c:majorTickMark val="out"/>
        <c:minorTickMark val="none"/>
        <c:tickLblPos val="low"/>
        <c:spPr>
          <a:noFill/>
          <a:ln w="9528" cap="flat">
            <a:solidFill>
              <a:srgbClr val="D9D9D9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it-IT"/>
          </a:p>
        </c:txPr>
        <c:crossAx val="451775224"/>
        <c:crosses val="autoZero"/>
      </c:serAx>
      <c:spPr>
        <a:noFill/>
        <a:ln>
          <a:noFill/>
        </a:ln>
      </c:spPr>
    </c:plotArea>
    <c:plotVisOnly val="1"/>
    <c:dispBlanksAs val="zero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it-IT" sz="1000" b="0" i="0" u="none" strike="noStrike" kern="1200" baseline="0">
          <a:solidFill>
            <a:srgbClr val="000000"/>
          </a:solidFill>
          <a:latin typeface="Calibri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Non-Additivity MonteCarlo</a:t>
            </a:r>
            <a:r>
              <a:rPr lang="it-IT" baseline="0"/>
              <a:t> simulation Var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130"/>
      <c:depthPercent val="29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5933945756780399E-2"/>
          <c:y val="0.21337962962962964"/>
          <c:w val="0.88110061242344706"/>
          <c:h val="0.56384113444152817"/>
        </c:manualLayout>
      </c:layout>
      <c:surface3DChart>
        <c:wireframe val="0"/>
        <c:ser>
          <c:idx val="0"/>
          <c:order val="0"/>
          <c:tx>
            <c:strRef>
              <c:f>Sheet1!$AD$3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Sheet1!$AC$4:$AC$103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Sheet1!$AD$4:$AD$103</c:f>
              <c:numCache>
                <c:formatCode>General</c:formatCode>
                <c:ptCount val="100"/>
                <c:pt idx="0">
                  <c:v>-1.7382400525334241E-3</c:v>
                </c:pt>
                <c:pt idx="1">
                  <c:v>-1.9722632462260137E-3</c:v>
                </c:pt>
                <c:pt idx="2">
                  <c:v>-3.8022137282818225E-3</c:v>
                </c:pt>
                <c:pt idx="3">
                  <c:v>-3.2507619299380064E-3</c:v>
                </c:pt>
                <c:pt idx="4">
                  <c:v>-3.9130514759060375E-3</c:v>
                </c:pt>
                <c:pt idx="5">
                  <c:v>-3.9141659246850757E-3</c:v>
                </c:pt>
                <c:pt idx="6">
                  <c:v>-4.5159976891733233E-3</c:v>
                </c:pt>
                <c:pt idx="7">
                  <c:v>-4.1218822338791039E-3</c:v>
                </c:pt>
                <c:pt idx="8">
                  <c:v>-4.4541240731359455E-3</c:v>
                </c:pt>
                <c:pt idx="9">
                  <c:v>-5.8485223590474256E-3</c:v>
                </c:pt>
                <c:pt idx="10">
                  <c:v>-4.126348570144156E-3</c:v>
                </c:pt>
                <c:pt idx="11">
                  <c:v>-5.905642545010803E-3</c:v>
                </c:pt>
                <c:pt idx="12">
                  <c:v>-7.5440946480154203E-3</c:v>
                </c:pt>
                <c:pt idx="13">
                  <c:v>-6.813701698082486E-3</c:v>
                </c:pt>
                <c:pt idx="14">
                  <c:v>-6.0947398866937341E-3</c:v>
                </c:pt>
                <c:pt idx="15">
                  <c:v>-6.0844920838309946E-3</c:v>
                </c:pt>
                <c:pt idx="16">
                  <c:v>-7.7093817134441522E-3</c:v>
                </c:pt>
                <c:pt idx="17">
                  <c:v>-6.349705619320245E-3</c:v>
                </c:pt>
                <c:pt idx="18">
                  <c:v>-7.2373327779293728E-3</c:v>
                </c:pt>
                <c:pt idx="19">
                  <c:v>-9.8956237226854871E-3</c:v>
                </c:pt>
                <c:pt idx="20">
                  <c:v>-8.1808235173157495E-3</c:v>
                </c:pt>
                <c:pt idx="21">
                  <c:v>-8.7136684069888393E-3</c:v>
                </c:pt>
                <c:pt idx="22">
                  <c:v>-7.9404551472921359E-3</c:v>
                </c:pt>
                <c:pt idx="23">
                  <c:v>-7.6071969969524478E-3</c:v>
                </c:pt>
                <c:pt idx="24">
                  <c:v>-7.2879983907512269E-3</c:v>
                </c:pt>
                <c:pt idx="25">
                  <c:v>-8.1192278264237139E-3</c:v>
                </c:pt>
                <c:pt idx="26">
                  <c:v>-1.0010693205236176E-2</c:v>
                </c:pt>
                <c:pt idx="27">
                  <c:v>-1.0351058340281494E-2</c:v>
                </c:pt>
                <c:pt idx="28">
                  <c:v>-8.4467970400898817E-3</c:v>
                </c:pt>
                <c:pt idx="29">
                  <c:v>-1.0716543959655489E-2</c:v>
                </c:pt>
                <c:pt idx="30">
                  <c:v>-1.2945475259357853E-2</c:v>
                </c:pt>
                <c:pt idx="31">
                  <c:v>-1.0174807442143274E-2</c:v>
                </c:pt>
                <c:pt idx="32">
                  <c:v>-1.142022136917209E-2</c:v>
                </c:pt>
                <c:pt idx="33">
                  <c:v>-9.8392686571973087E-3</c:v>
                </c:pt>
                <c:pt idx="34">
                  <c:v>-9.6684056202260837E-3</c:v>
                </c:pt>
                <c:pt idx="35">
                  <c:v>-9.8129651448370936E-3</c:v>
                </c:pt>
                <c:pt idx="36">
                  <c:v>-9.0158632601780031E-3</c:v>
                </c:pt>
                <c:pt idx="37">
                  <c:v>-1.0400070358288716E-2</c:v>
                </c:pt>
                <c:pt idx="38">
                  <c:v>-1.184816272698419E-2</c:v>
                </c:pt>
                <c:pt idx="39">
                  <c:v>-1.0996290571756662E-2</c:v>
                </c:pt>
                <c:pt idx="40">
                  <c:v>-1.1463946802805491E-2</c:v>
                </c:pt>
                <c:pt idx="41">
                  <c:v>-1.191917291111988E-2</c:v>
                </c:pt>
                <c:pt idx="42">
                  <c:v>-9.877023912356897E-3</c:v>
                </c:pt>
                <c:pt idx="43">
                  <c:v>-9.2473830208530394E-3</c:v>
                </c:pt>
                <c:pt idx="44">
                  <c:v>-9.6162947231359652E-3</c:v>
                </c:pt>
                <c:pt idx="45">
                  <c:v>-1.2248741305100008E-2</c:v>
                </c:pt>
                <c:pt idx="46">
                  <c:v>-1.133379604551199E-2</c:v>
                </c:pt>
                <c:pt idx="47">
                  <c:v>-1.1964059642581626E-2</c:v>
                </c:pt>
                <c:pt idx="48">
                  <c:v>-9.3206856076382127E-3</c:v>
                </c:pt>
                <c:pt idx="49">
                  <c:v>-1.0009311610541971E-2</c:v>
                </c:pt>
                <c:pt idx="50">
                  <c:v>-1.4607557208803579E-2</c:v>
                </c:pt>
                <c:pt idx="51">
                  <c:v>-1.2242871421752843E-2</c:v>
                </c:pt>
                <c:pt idx="52">
                  <c:v>-1.2332170192764336E-2</c:v>
                </c:pt>
                <c:pt idx="53">
                  <c:v>-1.3651442521873225E-2</c:v>
                </c:pt>
                <c:pt idx="54">
                  <c:v>-1.2486800918861229E-2</c:v>
                </c:pt>
                <c:pt idx="55">
                  <c:v>-9.7035205635034316E-3</c:v>
                </c:pt>
                <c:pt idx="56">
                  <c:v>-1.1514711515997256E-2</c:v>
                </c:pt>
                <c:pt idx="57">
                  <c:v>-1.2387124732708088E-2</c:v>
                </c:pt>
                <c:pt idx="58">
                  <c:v>-1.0309089932594828E-2</c:v>
                </c:pt>
                <c:pt idx="59">
                  <c:v>-9.5516559073767215E-3</c:v>
                </c:pt>
                <c:pt idx="60">
                  <c:v>-1.4571582924003845E-2</c:v>
                </c:pt>
                <c:pt idx="61">
                  <c:v>-1.5594481447630315E-2</c:v>
                </c:pt>
                <c:pt idx="62">
                  <c:v>-1.2750446431353923E-2</c:v>
                </c:pt>
                <c:pt idx="63">
                  <c:v>-1.0011876507564299E-2</c:v>
                </c:pt>
                <c:pt idx="64">
                  <c:v>-1.4216646797467369E-2</c:v>
                </c:pt>
                <c:pt idx="65">
                  <c:v>-1.0279119322735619E-2</c:v>
                </c:pt>
                <c:pt idx="66">
                  <c:v>-1.4249462024873649E-2</c:v>
                </c:pt>
                <c:pt idx="67">
                  <c:v>-1.4620899029685219E-2</c:v>
                </c:pt>
                <c:pt idx="68">
                  <c:v>-1.3225158757901756E-2</c:v>
                </c:pt>
                <c:pt idx="69">
                  <c:v>-1.493103979544097E-2</c:v>
                </c:pt>
                <c:pt idx="70">
                  <c:v>-1.4519234152084781E-2</c:v>
                </c:pt>
                <c:pt idx="71">
                  <c:v>-1.5359251768453985E-2</c:v>
                </c:pt>
                <c:pt idx="72">
                  <c:v>-1.2939088681855671E-2</c:v>
                </c:pt>
                <c:pt idx="73">
                  <c:v>-1.4886953949507786E-2</c:v>
                </c:pt>
                <c:pt idx="74">
                  <c:v>-1.1371068793419425E-2</c:v>
                </c:pt>
                <c:pt idx="75">
                  <c:v>-1.4498920593414288E-2</c:v>
                </c:pt>
                <c:pt idx="76">
                  <c:v>-1.5040289458856382E-2</c:v>
                </c:pt>
                <c:pt idx="77">
                  <c:v>-1.7275665863309753E-2</c:v>
                </c:pt>
                <c:pt idx="78">
                  <c:v>-1.420080652982425E-2</c:v>
                </c:pt>
                <c:pt idx="79">
                  <c:v>-1.3317092341702308E-2</c:v>
                </c:pt>
                <c:pt idx="80">
                  <c:v>-1.7092866475947321E-2</c:v>
                </c:pt>
                <c:pt idx="81">
                  <c:v>-1.4273205039964099E-2</c:v>
                </c:pt>
                <c:pt idx="82">
                  <c:v>-1.4081510601754887E-2</c:v>
                </c:pt>
                <c:pt idx="83">
                  <c:v>-1.6831662320218488E-2</c:v>
                </c:pt>
                <c:pt idx="84">
                  <c:v>-1.7227239726805843E-2</c:v>
                </c:pt>
                <c:pt idx="85">
                  <c:v>-1.7196019235310223E-2</c:v>
                </c:pt>
                <c:pt idx="86">
                  <c:v>-1.5034721291839581E-2</c:v>
                </c:pt>
                <c:pt idx="87">
                  <c:v>-1.5694767194911474E-2</c:v>
                </c:pt>
                <c:pt idx="88">
                  <c:v>-1.2154021048628838E-2</c:v>
                </c:pt>
                <c:pt idx="89">
                  <c:v>-1.7684274680086931E-2</c:v>
                </c:pt>
                <c:pt idx="90">
                  <c:v>-1.8526831592313719E-2</c:v>
                </c:pt>
                <c:pt idx="91">
                  <c:v>-1.3319245803374402E-2</c:v>
                </c:pt>
                <c:pt idx="92">
                  <c:v>-1.8675030983618113E-2</c:v>
                </c:pt>
                <c:pt idx="93">
                  <c:v>-1.6539432908345697E-2</c:v>
                </c:pt>
                <c:pt idx="94">
                  <c:v>-1.6881230043293227E-2</c:v>
                </c:pt>
                <c:pt idx="95">
                  <c:v>-1.4887211776829279E-2</c:v>
                </c:pt>
                <c:pt idx="96">
                  <c:v>-1.7187883253372505E-2</c:v>
                </c:pt>
                <c:pt idx="97">
                  <c:v>-1.8607079734656251E-2</c:v>
                </c:pt>
                <c:pt idx="98">
                  <c:v>-2.0520089671188568E-2</c:v>
                </c:pt>
                <c:pt idx="99">
                  <c:v>-1.2997135797890635E-2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D84-903E-1FDBBF15C7E0}"/>
            </c:ext>
          </c:extLst>
        </c:ser>
        <c:ser>
          <c:idx val="1"/>
          <c:order val="1"/>
          <c:tx>
            <c:strRef>
              <c:f>Sheet1!$AE$3</c:f>
              <c:strCache>
                <c:ptCount val="1"/>
                <c:pt idx="0">
                  <c:v>0,91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Sheet1!$AC$4:$AC$103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Sheet1!$AE$4:$AE$103</c:f>
              <c:numCache>
                <c:formatCode>General</c:formatCode>
                <c:ptCount val="100"/>
                <c:pt idx="0">
                  <c:v>-1.9756957372831785E-3</c:v>
                </c:pt>
                <c:pt idx="1">
                  <c:v>-2.1141490377218908E-3</c:v>
                </c:pt>
                <c:pt idx="2">
                  <c:v>-3.0808962121924299E-3</c:v>
                </c:pt>
                <c:pt idx="3">
                  <c:v>-3.2634675458420581E-3</c:v>
                </c:pt>
                <c:pt idx="4">
                  <c:v>-3.842368997590162E-3</c:v>
                </c:pt>
                <c:pt idx="5">
                  <c:v>-3.7424898347122593E-3</c:v>
                </c:pt>
                <c:pt idx="6">
                  <c:v>-4.6378822762027649E-3</c:v>
                </c:pt>
                <c:pt idx="7">
                  <c:v>-4.7642696534806461E-3</c:v>
                </c:pt>
                <c:pt idx="8">
                  <c:v>-4.7240139316069296E-3</c:v>
                </c:pt>
                <c:pt idx="9">
                  <c:v>-4.3201327982225202E-3</c:v>
                </c:pt>
                <c:pt idx="10">
                  <c:v>-5.1371671060207458E-3</c:v>
                </c:pt>
                <c:pt idx="11">
                  <c:v>-6.1702726935715102E-3</c:v>
                </c:pt>
                <c:pt idx="12">
                  <c:v>-6.8671052401700905E-3</c:v>
                </c:pt>
                <c:pt idx="13">
                  <c:v>-5.2560053935415407E-3</c:v>
                </c:pt>
                <c:pt idx="14">
                  <c:v>-7.6274800665876441E-3</c:v>
                </c:pt>
                <c:pt idx="15">
                  <c:v>-7.8233429898832973E-3</c:v>
                </c:pt>
                <c:pt idx="16">
                  <c:v>-7.8277360071048463E-3</c:v>
                </c:pt>
                <c:pt idx="17">
                  <c:v>-6.8885542016647872E-3</c:v>
                </c:pt>
                <c:pt idx="18">
                  <c:v>-7.6501994692710351E-3</c:v>
                </c:pt>
                <c:pt idx="19">
                  <c:v>-6.9421302302392629E-3</c:v>
                </c:pt>
                <c:pt idx="20">
                  <c:v>-6.5874209088785385E-3</c:v>
                </c:pt>
                <c:pt idx="21">
                  <c:v>-8.3810383966087532E-3</c:v>
                </c:pt>
                <c:pt idx="22">
                  <c:v>-8.662581174922801E-3</c:v>
                </c:pt>
                <c:pt idx="23">
                  <c:v>-7.6845871044004532E-3</c:v>
                </c:pt>
                <c:pt idx="24">
                  <c:v>-8.0762648676424575E-3</c:v>
                </c:pt>
                <c:pt idx="25">
                  <c:v>-8.8680532223202047E-3</c:v>
                </c:pt>
                <c:pt idx="26">
                  <c:v>-9.336114350595226E-3</c:v>
                </c:pt>
                <c:pt idx="27">
                  <c:v>-9.4288948616698676E-3</c:v>
                </c:pt>
                <c:pt idx="28">
                  <c:v>-8.7153770321539703E-3</c:v>
                </c:pt>
                <c:pt idx="29">
                  <c:v>-9.548085191487532E-3</c:v>
                </c:pt>
                <c:pt idx="30">
                  <c:v>-8.5644475846746726E-3</c:v>
                </c:pt>
                <c:pt idx="31">
                  <c:v>-9.4293999081609403E-3</c:v>
                </c:pt>
                <c:pt idx="32">
                  <c:v>-1.0121235433718789E-2</c:v>
                </c:pt>
                <c:pt idx="33">
                  <c:v>-9.7373851450142102E-3</c:v>
                </c:pt>
                <c:pt idx="34">
                  <c:v>-7.6945168352402504E-3</c:v>
                </c:pt>
                <c:pt idx="35">
                  <c:v>-1.1841956554085264E-2</c:v>
                </c:pt>
                <c:pt idx="36">
                  <c:v>-1.1609827800506345E-2</c:v>
                </c:pt>
                <c:pt idx="37">
                  <c:v>-1.1177153033223419E-2</c:v>
                </c:pt>
                <c:pt idx="38">
                  <c:v>-1.2159728703919237E-2</c:v>
                </c:pt>
                <c:pt idx="39">
                  <c:v>-1.1750760499144031E-2</c:v>
                </c:pt>
                <c:pt idx="40">
                  <c:v>-1.2895152026193291E-2</c:v>
                </c:pt>
                <c:pt idx="41">
                  <c:v>-1.0181629517515223E-2</c:v>
                </c:pt>
                <c:pt idx="42">
                  <c:v>-1.2115863881751121E-2</c:v>
                </c:pt>
                <c:pt idx="43">
                  <c:v>-1.1737646133905155E-2</c:v>
                </c:pt>
                <c:pt idx="44">
                  <c:v>-1.1455905835303648E-2</c:v>
                </c:pt>
                <c:pt idx="45">
                  <c:v>-1.1464161067895606E-2</c:v>
                </c:pt>
                <c:pt idx="46">
                  <c:v>-8.5053470234186523E-3</c:v>
                </c:pt>
                <c:pt idx="47">
                  <c:v>-1.2450843550786406E-2</c:v>
                </c:pt>
                <c:pt idx="48">
                  <c:v>-1.510928856851157E-2</c:v>
                </c:pt>
                <c:pt idx="49">
                  <c:v>-1.1600511546784986E-2</c:v>
                </c:pt>
                <c:pt idx="50">
                  <c:v>-1.4709033087675794E-2</c:v>
                </c:pt>
                <c:pt idx="51">
                  <c:v>-1.691893964500002E-2</c:v>
                </c:pt>
                <c:pt idx="52">
                  <c:v>-1.2056302075733827E-2</c:v>
                </c:pt>
                <c:pt idx="53">
                  <c:v>-1.2238723802647566E-2</c:v>
                </c:pt>
                <c:pt idx="54">
                  <c:v>-1.3251314600032371E-2</c:v>
                </c:pt>
                <c:pt idx="55">
                  <c:v>-1.1234055679318455E-2</c:v>
                </c:pt>
                <c:pt idx="56">
                  <c:v>-1.3021107922156494E-2</c:v>
                </c:pt>
                <c:pt idx="57">
                  <c:v>-1.4983319842821974E-2</c:v>
                </c:pt>
                <c:pt idx="58">
                  <c:v>-1.1562547020899538E-2</c:v>
                </c:pt>
                <c:pt idx="59">
                  <c:v>-1.5348720582493147E-2</c:v>
                </c:pt>
                <c:pt idx="60">
                  <c:v>-1.4179381134626468E-2</c:v>
                </c:pt>
                <c:pt idx="61">
                  <c:v>-1.241295790867869E-2</c:v>
                </c:pt>
                <c:pt idx="62">
                  <c:v>-1.3407491044209241E-2</c:v>
                </c:pt>
                <c:pt idx="63">
                  <c:v>-1.2305840040819804E-2</c:v>
                </c:pt>
                <c:pt idx="64">
                  <c:v>-1.2631537848786234E-2</c:v>
                </c:pt>
                <c:pt idx="65">
                  <c:v>-1.5464825689995187E-2</c:v>
                </c:pt>
                <c:pt idx="66">
                  <c:v>-1.4192167535228339E-2</c:v>
                </c:pt>
                <c:pt idx="67">
                  <c:v>-1.4228506095951055E-2</c:v>
                </c:pt>
                <c:pt idx="68">
                  <c:v>-1.4030101236270687E-2</c:v>
                </c:pt>
                <c:pt idx="69">
                  <c:v>-1.4956079383823928E-2</c:v>
                </c:pt>
                <c:pt idx="70">
                  <c:v>-1.5208160931637016E-2</c:v>
                </c:pt>
                <c:pt idx="71">
                  <c:v>-1.5623902650024224E-2</c:v>
                </c:pt>
                <c:pt idx="72">
                  <c:v>-1.6186226100502799E-2</c:v>
                </c:pt>
                <c:pt idx="73">
                  <c:v>-1.2536510014014679E-2</c:v>
                </c:pt>
                <c:pt idx="74">
                  <c:v>-1.3934880257027604E-2</c:v>
                </c:pt>
                <c:pt idx="75">
                  <c:v>-1.5565648754708006E-2</c:v>
                </c:pt>
                <c:pt idx="76">
                  <c:v>-1.4046039461576232E-2</c:v>
                </c:pt>
                <c:pt idx="77">
                  <c:v>-1.7104726277041626E-2</c:v>
                </c:pt>
                <c:pt idx="78">
                  <c:v>-1.5668962064830705E-2</c:v>
                </c:pt>
                <c:pt idx="79">
                  <c:v>-1.6996287401676691E-2</c:v>
                </c:pt>
                <c:pt idx="80">
                  <c:v>-1.9281570965252071E-2</c:v>
                </c:pt>
                <c:pt idx="81">
                  <c:v>-1.2709816206841085E-2</c:v>
                </c:pt>
                <c:pt idx="82">
                  <c:v>-1.6863469584839974E-2</c:v>
                </c:pt>
                <c:pt idx="83">
                  <c:v>-1.6397921056223952E-2</c:v>
                </c:pt>
                <c:pt idx="84">
                  <c:v>-1.3806401665079404E-2</c:v>
                </c:pt>
                <c:pt idx="85">
                  <c:v>-1.7606763315609841E-2</c:v>
                </c:pt>
                <c:pt idx="86">
                  <c:v>-1.1309323405295446E-2</c:v>
                </c:pt>
                <c:pt idx="87">
                  <c:v>-1.6764161743926032E-2</c:v>
                </c:pt>
                <c:pt idx="88">
                  <c:v>-1.5985925584637073E-2</c:v>
                </c:pt>
                <c:pt idx="89">
                  <c:v>-2.0136441338072908E-2</c:v>
                </c:pt>
                <c:pt idx="90">
                  <c:v>-1.7942274782949852E-2</c:v>
                </c:pt>
                <c:pt idx="91">
                  <c:v>-1.8591543981143488E-2</c:v>
                </c:pt>
                <c:pt idx="92">
                  <c:v>-1.6597350722327819E-2</c:v>
                </c:pt>
                <c:pt idx="93">
                  <c:v>-1.586377407748274E-2</c:v>
                </c:pt>
                <c:pt idx="94">
                  <c:v>-1.8198795833030301E-2</c:v>
                </c:pt>
                <c:pt idx="95">
                  <c:v>-1.2950444078165813E-2</c:v>
                </c:pt>
                <c:pt idx="96">
                  <c:v>-1.800109875482403E-2</c:v>
                </c:pt>
                <c:pt idx="97">
                  <c:v>-1.5289188995827097E-2</c:v>
                </c:pt>
                <c:pt idx="98">
                  <c:v>-2.0552520241220895E-2</c:v>
                </c:pt>
                <c:pt idx="99">
                  <c:v>-2.0190784253212968E-2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D84-903E-1FDBBF15C7E0}"/>
            </c:ext>
          </c:extLst>
        </c:ser>
        <c:ser>
          <c:idx val="2"/>
          <c:order val="2"/>
          <c:tx>
            <c:strRef>
              <c:f>Sheet1!$AF$3</c:f>
              <c:strCache>
                <c:ptCount val="1"/>
                <c:pt idx="0">
                  <c:v>0,92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Sheet1!$AC$4:$AC$103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Sheet1!$AF$4:$AF$103</c:f>
              <c:numCache>
                <c:formatCode>General</c:formatCode>
                <c:ptCount val="100"/>
                <c:pt idx="0">
                  <c:v>-1.7981164923575044E-3</c:v>
                </c:pt>
                <c:pt idx="1">
                  <c:v>-2.6067361443504744E-3</c:v>
                </c:pt>
                <c:pt idx="2">
                  <c:v>-3.043652915804218E-3</c:v>
                </c:pt>
                <c:pt idx="3">
                  <c:v>-3.5621999997557108E-3</c:v>
                </c:pt>
                <c:pt idx="4">
                  <c:v>-4.137862346275778E-3</c:v>
                </c:pt>
                <c:pt idx="5">
                  <c:v>-4.8625996082967138E-3</c:v>
                </c:pt>
                <c:pt idx="6">
                  <c:v>-4.687940605198504E-3</c:v>
                </c:pt>
                <c:pt idx="7">
                  <c:v>-6.7298397140540533E-3</c:v>
                </c:pt>
                <c:pt idx="8">
                  <c:v>-5.8541486981165125E-3</c:v>
                </c:pt>
                <c:pt idx="9">
                  <c:v>-4.8738129110326156E-3</c:v>
                </c:pt>
                <c:pt idx="10">
                  <c:v>-7.6294640699210436E-3</c:v>
                </c:pt>
                <c:pt idx="11">
                  <c:v>-7.8393340779907561E-3</c:v>
                </c:pt>
                <c:pt idx="12">
                  <c:v>-6.4444303420021498E-3</c:v>
                </c:pt>
                <c:pt idx="13">
                  <c:v>-6.274326992625312E-3</c:v>
                </c:pt>
                <c:pt idx="14">
                  <c:v>-7.2670266280769891E-3</c:v>
                </c:pt>
                <c:pt idx="15">
                  <c:v>-8.2803636807076142E-3</c:v>
                </c:pt>
                <c:pt idx="16">
                  <c:v>-8.2264545836010505E-3</c:v>
                </c:pt>
                <c:pt idx="17">
                  <c:v>-8.4341964534191405E-3</c:v>
                </c:pt>
                <c:pt idx="18">
                  <c:v>-8.3616052236041849E-3</c:v>
                </c:pt>
                <c:pt idx="19">
                  <c:v>-8.9869298275364606E-3</c:v>
                </c:pt>
                <c:pt idx="20">
                  <c:v>-8.5513042212184143E-3</c:v>
                </c:pt>
                <c:pt idx="21">
                  <c:v>-9.5485506834114275E-3</c:v>
                </c:pt>
                <c:pt idx="22">
                  <c:v>-7.8675889770070118E-3</c:v>
                </c:pt>
                <c:pt idx="23">
                  <c:v>-8.1694381192127796E-3</c:v>
                </c:pt>
                <c:pt idx="24">
                  <c:v>-8.4185152657518802E-3</c:v>
                </c:pt>
                <c:pt idx="25">
                  <c:v>-1.0052674327724054E-2</c:v>
                </c:pt>
                <c:pt idx="26">
                  <c:v>-8.791716786914483E-3</c:v>
                </c:pt>
                <c:pt idx="27">
                  <c:v>-1.0985928202080109E-2</c:v>
                </c:pt>
                <c:pt idx="28">
                  <c:v>-7.5156004033594126E-3</c:v>
                </c:pt>
                <c:pt idx="29">
                  <c:v>-1.1331144311775621E-2</c:v>
                </c:pt>
                <c:pt idx="30">
                  <c:v>-8.6372466876862841E-3</c:v>
                </c:pt>
                <c:pt idx="31">
                  <c:v>-1.0282052303425493E-2</c:v>
                </c:pt>
                <c:pt idx="32">
                  <c:v>-8.0539580531966415E-3</c:v>
                </c:pt>
                <c:pt idx="33">
                  <c:v>-1.2008549007408664E-2</c:v>
                </c:pt>
                <c:pt idx="34">
                  <c:v>-9.4885841081207012E-3</c:v>
                </c:pt>
                <c:pt idx="35">
                  <c:v>-1.0485565776632289E-2</c:v>
                </c:pt>
                <c:pt idx="36">
                  <c:v>-1.2007658450099656E-2</c:v>
                </c:pt>
                <c:pt idx="37">
                  <c:v>-1.3314633385525187E-2</c:v>
                </c:pt>
                <c:pt idx="38">
                  <c:v>-9.7451552929572749E-3</c:v>
                </c:pt>
                <c:pt idx="39">
                  <c:v>-1.2754715412381046E-2</c:v>
                </c:pt>
                <c:pt idx="40">
                  <c:v>-1.2425993480131403E-2</c:v>
                </c:pt>
                <c:pt idx="41">
                  <c:v>-1.3458451621821022E-2</c:v>
                </c:pt>
                <c:pt idx="42">
                  <c:v>-1.2568489067723121E-2</c:v>
                </c:pt>
                <c:pt idx="43">
                  <c:v>-8.7605466842279878E-3</c:v>
                </c:pt>
                <c:pt idx="44">
                  <c:v>-9.9644536403853401E-3</c:v>
                </c:pt>
                <c:pt idx="45">
                  <c:v>-1.5524985647189515E-2</c:v>
                </c:pt>
                <c:pt idx="46">
                  <c:v>-1.4305618384415686E-2</c:v>
                </c:pt>
                <c:pt idx="47">
                  <c:v>-1.2233089623083337E-2</c:v>
                </c:pt>
                <c:pt idx="48">
                  <c:v>-1.3719745767437619E-2</c:v>
                </c:pt>
                <c:pt idx="49">
                  <c:v>-1.3304800278899132E-2</c:v>
                </c:pt>
                <c:pt idx="50">
                  <c:v>-1.4104566329004919E-2</c:v>
                </c:pt>
                <c:pt idx="51">
                  <c:v>-1.1429416647981805E-2</c:v>
                </c:pt>
                <c:pt idx="52">
                  <c:v>-1.4262433938976304E-2</c:v>
                </c:pt>
                <c:pt idx="53">
                  <c:v>-1.2173438453685792E-2</c:v>
                </c:pt>
                <c:pt idx="54">
                  <c:v>-1.371108997553816E-2</c:v>
                </c:pt>
                <c:pt idx="55">
                  <c:v>-1.4886930444614421E-2</c:v>
                </c:pt>
                <c:pt idx="56">
                  <c:v>-1.3043498700151979E-2</c:v>
                </c:pt>
                <c:pt idx="57">
                  <c:v>-1.5950498447284911E-2</c:v>
                </c:pt>
                <c:pt idx="58">
                  <c:v>-1.3522514248595741E-2</c:v>
                </c:pt>
                <c:pt idx="59">
                  <c:v>-1.2957807088205264E-2</c:v>
                </c:pt>
                <c:pt idx="60">
                  <c:v>-1.474376800196997E-2</c:v>
                </c:pt>
                <c:pt idx="61">
                  <c:v>-1.4943302612405063E-2</c:v>
                </c:pt>
                <c:pt idx="62">
                  <c:v>-1.5535481675437612E-2</c:v>
                </c:pt>
                <c:pt idx="63">
                  <c:v>-1.6083959702646089E-2</c:v>
                </c:pt>
                <c:pt idx="64">
                  <c:v>-1.448110103884237E-2</c:v>
                </c:pt>
                <c:pt idx="65">
                  <c:v>-1.5879931200626141E-2</c:v>
                </c:pt>
                <c:pt idx="66">
                  <c:v>-1.5642931954859218E-2</c:v>
                </c:pt>
                <c:pt idx="67">
                  <c:v>-1.5416576674503579E-2</c:v>
                </c:pt>
                <c:pt idx="68">
                  <c:v>-1.2388307572795076E-2</c:v>
                </c:pt>
                <c:pt idx="69">
                  <c:v>-1.4313275151265126E-2</c:v>
                </c:pt>
                <c:pt idx="70">
                  <c:v>-1.6081141344750804E-2</c:v>
                </c:pt>
                <c:pt idx="71">
                  <c:v>-1.7454691363256059E-2</c:v>
                </c:pt>
                <c:pt idx="72">
                  <c:v>-1.7808493532943448E-2</c:v>
                </c:pt>
                <c:pt idx="73">
                  <c:v>-1.5455074977043681E-2</c:v>
                </c:pt>
                <c:pt idx="74">
                  <c:v>-1.8354281859626731E-2</c:v>
                </c:pt>
                <c:pt idx="75">
                  <c:v>-1.488627757457639E-2</c:v>
                </c:pt>
                <c:pt idx="76">
                  <c:v>-1.5874320591924729E-2</c:v>
                </c:pt>
                <c:pt idx="77">
                  <c:v>-1.949235357942225E-2</c:v>
                </c:pt>
                <c:pt idx="78">
                  <c:v>-1.6401569142895367E-2</c:v>
                </c:pt>
                <c:pt idx="79">
                  <c:v>-1.944219492655419E-2</c:v>
                </c:pt>
                <c:pt idx="80">
                  <c:v>-1.5413154943347385E-2</c:v>
                </c:pt>
                <c:pt idx="81">
                  <c:v>-1.5560687232877068E-2</c:v>
                </c:pt>
                <c:pt idx="82">
                  <c:v>-1.683432906536475E-2</c:v>
                </c:pt>
                <c:pt idx="83">
                  <c:v>-1.9058959906499862E-2</c:v>
                </c:pt>
                <c:pt idx="84">
                  <c:v>-1.3038607139467473E-2</c:v>
                </c:pt>
                <c:pt idx="85">
                  <c:v>-2.0237746883810193E-2</c:v>
                </c:pt>
                <c:pt idx="86">
                  <c:v>-2.0036406890007186E-2</c:v>
                </c:pt>
                <c:pt idx="87">
                  <c:v>-1.5103690676917081E-2</c:v>
                </c:pt>
                <c:pt idx="88">
                  <c:v>-1.7259342142749379E-2</c:v>
                </c:pt>
                <c:pt idx="89">
                  <c:v>-1.6318557663392186E-2</c:v>
                </c:pt>
                <c:pt idx="90">
                  <c:v>-1.5807937882447831E-2</c:v>
                </c:pt>
                <c:pt idx="91">
                  <c:v>-2.0020500217719617E-2</c:v>
                </c:pt>
                <c:pt idx="92">
                  <c:v>-1.721050945702074E-2</c:v>
                </c:pt>
                <c:pt idx="93">
                  <c:v>-1.7396053711970616E-2</c:v>
                </c:pt>
                <c:pt idx="94">
                  <c:v>-1.8970270973968528E-2</c:v>
                </c:pt>
                <c:pt idx="95">
                  <c:v>-1.726826188351005E-2</c:v>
                </c:pt>
                <c:pt idx="96">
                  <c:v>-1.9951800966146793E-2</c:v>
                </c:pt>
                <c:pt idx="97">
                  <c:v>-1.5666328228542081E-2</c:v>
                </c:pt>
                <c:pt idx="98">
                  <c:v>-2.1688568428567923E-2</c:v>
                </c:pt>
                <c:pt idx="99">
                  <c:v>-1.8677430327967093E-2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3B-4D84-903E-1FDBBF15C7E0}"/>
            </c:ext>
          </c:extLst>
        </c:ser>
        <c:ser>
          <c:idx val="3"/>
          <c:order val="3"/>
          <c:tx>
            <c:strRef>
              <c:f>Sheet1!$AG$3</c:f>
              <c:strCache>
                <c:ptCount val="1"/>
                <c:pt idx="0">
                  <c:v>0,93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Sheet1!$AC$4:$AC$103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Sheet1!$AG$4:$AG$103</c:f>
              <c:numCache>
                <c:formatCode>General</c:formatCode>
                <c:ptCount val="100"/>
                <c:pt idx="0">
                  <c:v>-2.2966564905435582E-3</c:v>
                </c:pt>
                <c:pt idx="1">
                  <c:v>-2.8884314649619824E-3</c:v>
                </c:pt>
                <c:pt idx="2">
                  <c:v>-3.2594036844928453E-3</c:v>
                </c:pt>
                <c:pt idx="3">
                  <c:v>-4.4854822703941366E-3</c:v>
                </c:pt>
                <c:pt idx="4">
                  <c:v>-3.8528569004137037E-3</c:v>
                </c:pt>
                <c:pt idx="5">
                  <c:v>-4.7699693287639455E-3</c:v>
                </c:pt>
                <c:pt idx="6">
                  <c:v>-5.0915072439456921E-3</c:v>
                </c:pt>
                <c:pt idx="7">
                  <c:v>-4.1920472660648134E-3</c:v>
                </c:pt>
                <c:pt idx="8">
                  <c:v>-6.5936839309714834E-3</c:v>
                </c:pt>
                <c:pt idx="9">
                  <c:v>-5.3530035006741361E-3</c:v>
                </c:pt>
                <c:pt idx="10">
                  <c:v>-4.5485991390643576E-3</c:v>
                </c:pt>
                <c:pt idx="11">
                  <c:v>-8.229900247422206E-3</c:v>
                </c:pt>
                <c:pt idx="12">
                  <c:v>-6.4795765148535356E-3</c:v>
                </c:pt>
                <c:pt idx="13">
                  <c:v>-7.2501595753176051E-3</c:v>
                </c:pt>
                <c:pt idx="14">
                  <c:v>-6.6660282160122541E-3</c:v>
                </c:pt>
                <c:pt idx="15">
                  <c:v>-7.0184311915844066E-3</c:v>
                </c:pt>
                <c:pt idx="16">
                  <c:v>-7.4574144445489488E-3</c:v>
                </c:pt>
                <c:pt idx="17">
                  <c:v>-7.7763232661147708E-3</c:v>
                </c:pt>
                <c:pt idx="18">
                  <c:v>-8.3097753720149381E-3</c:v>
                </c:pt>
                <c:pt idx="19">
                  <c:v>-8.1483281477843228E-3</c:v>
                </c:pt>
                <c:pt idx="20">
                  <c:v>-8.1147409896704659E-3</c:v>
                </c:pt>
                <c:pt idx="21">
                  <c:v>-8.8186770562801442E-3</c:v>
                </c:pt>
                <c:pt idx="22">
                  <c:v>-1.0503164032211076E-2</c:v>
                </c:pt>
                <c:pt idx="23">
                  <c:v>-8.4764076276850897E-3</c:v>
                </c:pt>
                <c:pt idx="24">
                  <c:v>-1.10212421495548E-2</c:v>
                </c:pt>
                <c:pt idx="25">
                  <c:v>-1.0125468358315182E-2</c:v>
                </c:pt>
                <c:pt idx="26">
                  <c:v>-1.04225191277727E-2</c:v>
                </c:pt>
                <c:pt idx="27">
                  <c:v>-1.0757766351202402E-2</c:v>
                </c:pt>
                <c:pt idx="28">
                  <c:v>-9.0068909655709462E-3</c:v>
                </c:pt>
                <c:pt idx="29">
                  <c:v>-1.107032932996499E-2</c:v>
                </c:pt>
                <c:pt idx="30">
                  <c:v>-1.2172923426231996E-2</c:v>
                </c:pt>
                <c:pt idx="31">
                  <c:v>-7.8922251760071838E-3</c:v>
                </c:pt>
                <c:pt idx="32">
                  <c:v>-1.0798421230292954E-2</c:v>
                </c:pt>
                <c:pt idx="33">
                  <c:v>-1.1966891407745539E-2</c:v>
                </c:pt>
                <c:pt idx="34">
                  <c:v>-1.0797514135598485E-2</c:v>
                </c:pt>
                <c:pt idx="35">
                  <c:v>-1.2805669570587819E-2</c:v>
                </c:pt>
                <c:pt idx="36">
                  <c:v>-1.1604761802827879E-2</c:v>
                </c:pt>
                <c:pt idx="37">
                  <c:v>-1.001939877131286E-2</c:v>
                </c:pt>
                <c:pt idx="38">
                  <c:v>-1.0153873728529605E-2</c:v>
                </c:pt>
                <c:pt idx="39">
                  <c:v>-1.1859004450872179E-2</c:v>
                </c:pt>
                <c:pt idx="40">
                  <c:v>-1.444171825119378E-2</c:v>
                </c:pt>
                <c:pt idx="41">
                  <c:v>-1.2833090002675629E-2</c:v>
                </c:pt>
                <c:pt idx="42">
                  <c:v>-1.2689736505177462E-2</c:v>
                </c:pt>
                <c:pt idx="43">
                  <c:v>-9.8200500642338096E-3</c:v>
                </c:pt>
                <c:pt idx="44">
                  <c:v>-1.2717379127554773E-2</c:v>
                </c:pt>
                <c:pt idx="45">
                  <c:v>-1.4101938636365441E-2</c:v>
                </c:pt>
                <c:pt idx="46">
                  <c:v>-1.1307031375841881E-2</c:v>
                </c:pt>
                <c:pt idx="47">
                  <c:v>-1.2870115787970482E-2</c:v>
                </c:pt>
                <c:pt idx="48">
                  <c:v>-1.2224510510978615E-2</c:v>
                </c:pt>
                <c:pt idx="49">
                  <c:v>-1.5971372439200548E-2</c:v>
                </c:pt>
                <c:pt idx="50">
                  <c:v>-1.5449683606427289E-2</c:v>
                </c:pt>
                <c:pt idx="51">
                  <c:v>-1.4504042629317038E-2</c:v>
                </c:pt>
                <c:pt idx="52">
                  <c:v>-1.2046105038703736E-2</c:v>
                </c:pt>
                <c:pt idx="53">
                  <c:v>-1.6931877585047772E-2</c:v>
                </c:pt>
                <c:pt idx="54">
                  <c:v>-1.5440987009157192E-2</c:v>
                </c:pt>
                <c:pt idx="55">
                  <c:v>-1.2720499208184632E-2</c:v>
                </c:pt>
                <c:pt idx="56">
                  <c:v>-1.4083266456258681E-2</c:v>
                </c:pt>
                <c:pt idx="57">
                  <c:v>-1.2834706329582168E-2</c:v>
                </c:pt>
                <c:pt idx="58">
                  <c:v>-1.7572129105317913E-2</c:v>
                </c:pt>
                <c:pt idx="59">
                  <c:v>-1.6769306084197355E-2</c:v>
                </c:pt>
                <c:pt idx="60">
                  <c:v>-1.4713958306236563E-2</c:v>
                </c:pt>
                <c:pt idx="61">
                  <c:v>-1.3649146043166027E-2</c:v>
                </c:pt>
                <c:pt idx="62">
                  <c:v>-1.4367275692587445E-2</c:v>
                </c:pt>
                <c:pt idx="63">
                  <c:v>-1.5522079146105705E-2</c:v>
                </c:pt>
                <c:pt idx="64">
                  <c:v>-1.7458632191971857E-2</c:v>
                </c:pt>
                <c:pt idx="65">
                  <c:v>-1.6283540595856572E-2</c:v>
                </c:pt>
                <c:pt idx="66">
                  <c:v>-1.6947767254842816E-2</c:v>
                </c:pt>
                <c:pt idx="67">
                  <c:v>-1.2425570423046928E-2</c:v>
                </c:pt>
                <c:pt idx="68">
                  <c:v>-1.731580933233956E-2</c:v>
                </c:pt>
                <c:pt idx="69">
                  <c:v>-1.7908993921338379E-2</c:v>
                </c:pt>
                <c:pt idx="70">
                  <c:v>-1.3314517356482147E-2</c:v>
                </c:pt>
                <c:pt idx="71">
                  <c:v>-1.7192124946554088E-2</c:v>
                </c:pt>
                <c:pt idx="72">
                  <c:v>-1.4397341494702509E-2</c:v>
                </c:pt>
                <c:pt idx="73">
                  <c:v>-1.3753858102259819E-2</c:v>
                </c:pt>
                <c:pt idx="74">
                  <c:v>-1.9194476126878524E-2</c:v>
                </c:pt>
                <c:pt idx="75">
                  <c:v>-1.5807886042409347E-2</c:v>
                </c:pt>
                <c:pt idx="76">
                  <c:v>-1.6848659140095146E-2</c:v>
                </c:pt>
                <c:pt idx="77">
                  <c:v>-1.971315172493382E-2</c:v>
                </c:pt>
                <c:pt idx="78">
                  <c:v>-1.5814965804135772E-2</c:v>
                </c:pt>
                <c:pt idx="79">
                  <c:v>-1.7508771173530446E-2</c:v>
                </c:pt>
                <c:pt idx="80">
                  <c:v>-1.8061667671442461E-2</c:v>
                </c:pt>
                <c:pt idx="81">
                  <c:v>-1.4009888298464945E-2</c:v>
                </c:pt>
                <c:pt idx="82">
                  <c:v>-2.1541448717201428E-2</c:v>
                </c:pt>
                <c:pt idx="83">
                  <c:v>-1.7818676353531959E-2</c:v>
                </c:pt>
                <c:pt idx="84">
                  <c:v>-1.4993390864412426E-2</c:v>
                </c:pt>
                <c:pt idx="85">
                  <c:v>-1.9576020195455346E-2</c:v>
                </c:pt>
                <c:pt idx="86">
                  <c:v>-1.5876357123562279E-2</c:v>
                </c:pt>
                <c:pt idx="87">
                  <c:v>-2.1977048022233436E-2</c:v>
                </c:pt>
                <c:pt idx="88">
                  <c:v>-1.7705614108724843E-2</c:v>
                </c:pt>
                <c:pt idx="89">
                  <c:v>-1.8375936883895161E-2</c:v>
                </c:pt>
                <c:pt idx="90">
                  <c:v>-1.779462473184279E-2</c:v>
                </c:pt>
                <c:pt idx="91">
                  <c:v>-1.7867697669599281E-2</c:v>
                </c:pt>
                <c:pt idx="92">
                  <c:v>-1.8243613226145206E-2</c:v>
                </c:pt>
                <c:pt idx="93">
                  <c:v>-1.7798266058718148E-2</c:v>
                </c:pt>
                <c:pt idx="94">
                  <c:v>-2.0965420429309045E-2</c:v>
                </c:pt>
                <c:pt idx="95">
                  <c:v>-2.2468340238922524E-2</c:v>
                </c:pt>
                <c:pt idx="96">
                  <c:v>-2.232919110201137E-2</c:v>
                </c:pt>
                <c:pt idx="97">
                  <c:v>-1.8969958255741659E-2</c:v>
                </c:pt>
                <c:pt idx="98">
                  <c:v>-2.0255203969002045E-2</c:v>
                </c:pt>
                <c:pt idx="99">
                  <c:v>-1.9195658093284829E-2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3B-4D84-903E-1FDBBF15C7E0}"/>
            </c:ext>
          </c:extLst>
        </c:ser>
        <c:ser>
          <c:idx val="4"/>
          <c:order val="4"/>
          <c:tx>
            <c:strRef>
              <c:f>Sheet1!$AH$3</c:f>
              <c:strCache>
                <c:ptCount val="1"/>
                <c:pt idx="0">
                  <c:v>0,94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Sheet1!$AC$4:$AC$103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Sheet1!$AH$4:$AH$103</c:f>
              <c:numCache>
                <c:formatCode>General</c:formatCode>
                <c:ptCount val="100"/>
                <c:pt idx="0">
                  <c:v>-2.3290277082790301E-3</c:v>
                </c:pt>
                <c:pt idx="1">
                  <c:v>-3.4579385302675458E-3</c:v>
                </c:pt>
                <c:pt idx="2">
                  <c:v>-4.2892950414317177E-3</c:v>
                </c:pt>
                <c:pt idx="3">
                  <c:v>-3.6054572506969418E-3</c:v>
                </c:pt>
                <c:pt idx="4">
                  <c:v>-4.5199456187581255E-3</c:v>
                </c:pt>
                <c:pt idx="5">
                  <c:v>-4.8630351026976992E-3</c:v>
                </c:pt>
                <c:pt idx="6">
                  <c:v>-5.1385853129199965E-3</c:v>
                </c:pt>
                <c:pt idx="7">
                  <c:v>-4.7964032188414496E-3</c:v>
                </c:pt>
                <c:pt idx="8">
                  <c:v>-6.7068369141618511E-3</c:v>
                </c:pt>
                <c:pt idx="9">
                  <c:v>-6.4975816374692741E-3</c:v>
                </c:pt>
                <c:pt idx="10">
                  <c:v>-7.0209916927828075E-3</c:v>
                </c:pt>
                <c:pt idx="11">
                  <c:v>-9.2158303574185751E-3</c:v>
                </c:pt>
                <c:pt idx="12">
                  <c:v>-6.0133607656085442E-3</c:v>
                </c:pt>
                <c:pt idx="13">
                  <c:v>-8.2620475496342216E-3</c:v>
                </c:pt>
                <c:pt idx="14">
                  <c:v>-8.4604887778574334E-3</c:v>
                </c:pt>
                <c:pt idx="15">
                  <c:v>-6.9612688835938297E-3</c:v>
                </c:pt>
                <c:pt idx="16">
                  <c:v>-8.7504501470763163E-3</c:v>
                </c:pt>
                <c:pt idx="17">
                  <c:v>-7.077388087320724E-3</c:v>
                </c:pt>
                <c:pt idx="18">
                  <c:v>-9.7199226233410929E-3</c:v>
                </c:pt>
                <c:pt idx="19">
                  <c:v>-9.4745785153560469E-3</c:v>
                </c:pt>
                <c:pt idx="20">
                  <c:v>-8.8837452100645198E-3</c:v>
                </c:pt>
                <c:pt idx="21">
                  <c:v>-1.0174705765592318E-2</c:v>
                </c:pt>
                <c:pt idx="22">
                  <c:v>-9.832946532158493E-3</c:v>
                </c:pt>
                <c:pt idx="23">
                  <c:v>-1.1105389443928804E-2</c:v>
                </c:pt>
                <c:pt idx="24">
                  <c:v>-1.1769058363186868E-2</c:v>
                </c:pt>
                <c:pt idx="25">
                  <c:v>-1.1197506022477599E-2</c:v>
                </c:pt>
                <c:pt idx="26">
                  <c:v>-1.1960055896746091E-2</c:v>
                </c:pt>
                <c:pt idx="27">
                  <c:v>-1.113814179769701E-2</c:v>
                </c:pt>
                <c:pt idx="28">
                  <c:v>-1.1833153198886226E-2</c:v>
                </c:pt>
                <c:pt idx="29">
                  <c:v>-1.0977440136881844E-2</c:v>
                </c:pt>
                <c:pt idx="30">
                  <c:v>-1.0412338174284441E-2</c:v>
                </c:pt>
                <c:pt idx="31">
                  <c:v>-1.1776542116518129E-2</c:v>
                </c:pt>
                <c:pt idx="32">
                  <c:v>-1.2017438627631716E-2</c:v>
                </c:pt>
                <c:pt idx="33">
                  <c:v>-1.3528383634621166E-2</c:v>
                </c:pt>
                <c:pt idx="34">
                  <c:v>-1.2515566605698192E-2</c:v>
                </c:pt>
                <c:pt idx="35">
                  <c:v>-1.2814672078769407E-2</c:v>
                </c:pt>
                <c:pt idx="36">
                  <c:v>-1.3774199275425669E-2</c:v>
                </c:pt>
                <c:pt idx="37">
                  <c:v>-1.1478666167671125E-2</c:v>
                </c:pt>
                <c:pt idx="38">
                  <c:v>-1.3390777120970032E-2</c:v>
                </c:pt>
                <c:pt idx="39">
                  <c:v>-1.5008037403686947E-2</c:v>
                </c:pt>
                <c:pt idx="40">
                  <c:v>-1.1261364852932276E-2</c:v>
                </c:pt>
                <c:pt idx="41">
                  <c:v>-1.2690508277791945E-2</c:v>
                </c:pt>
                <c:pt idx="42">
                  <c:v>-1.3757607483120937E-2</c:v>
                </c:pt>
                <c:pt idx="43">
                  <c:v>-1.0941199250213307E-2</c:v>
                </c:pt>
                <c:pt idx="44">
                  <c:v>-1.5823980709414709E-2</c:v>
                </c:pt>
                <c:pt idx="45">
                  <c:v>-1.352102495097296E-2</c:v>
                </c:pt>
                <c:pt idx="46">
                  <c:v>-1.1882064656351776E-2</c:v>
                </c:pt>
                <c:pt idx="47">
                  <c:v>-1.5092776772827721E-2</c:v>
                </c:pt>
                <c:pt idx="48">
                  <c:v>-1.1489345506923598E-2</c:v>
                </c:pt>
                <c:pt idx="49">
                  <c:v>-1.1676275394626012E-2</c:v>
                </c:pt>
                <c:pt idx="50">
                  <c:v>-1.6073413346555876E-2</c:v>
                </c:pt>
                <c:pt idx="51">
                  <c:v>-1.3506747796889984E-2</c:v>
                </c:pt>
                <c:pt idx="52">
                  <c:v>-1.541025270070584E-2</c:v>
                </c:pt>
                <c:pt idx="53">
                  <c:v>-1.5543508454492816E-2</c:v>
                </c:pt>
                <c:pt idx="54">
                  <c:v>-1.6068353766510723E-2</c:v>
                </c:pt>
                <c:pt idx="55">
                  <c:v>-1.6579902915792699E-2</c:v>
                </c:pt>
                <c:pt idx="56">
                  <c:v>-1.9223379724758072E-2</c:v>
                </c:pt>
                <c:pt idx="57">
                  <c:v>-1.9041626620934338E-2</c:v>
                </c:pt>
                <c:pt idx="58">
                  <c:v>-1.810411084403607E-2</c:v>
                </c:pt>
                <c:pt idx="59">
                  <c:v>-1.7989385064512531E-2</c:v>
                </c:pt>
                <c:pt idx="60">
                  <c:v>-1.7029365634200433E-2</c:v>
                </c:pt>
                <c:pt idx="61">
                  <c:v>-1.5764055795864929E-2</c:v>
                </c:pt>
                <c:pt idx="62">
                  <c:v>-1.6701787293418757E-2</c:v>
                </c:pt>
                <c:pt idx="63">
                  <c:v>-1.4648843031414671E-2</c:v>
                </c:pt>
                <c:pt idx="64">
                  <c:v>-9.3690975489153505E-3</c:v>
                </c:pt>
                <c:pt idx="65">
                  <c:v>-1.5300666472656932E-2</c:v>
                </c:pt>
                <c:pt idx="66">
                  <c:v>-1.7384184942881742E-2</c:v>
                </c:pt>
                <c:pt idx="67">
                  <c:v>-1.787499744488974E-2</c:v>
                </c:pt>
                <c:pt idx="68">
                  <c:v>-1.8729870430662432E-2</c:v>
                </c:pt>
                <c:pt idx="69">
                  <c:v>-1.9339081139920999E-2</c:v>
                </c:pt>
                <c:pt idx="70">
                  <c:v>-1.3906626234459152E-2</c:v>
                </c:pt>
                <c:pt idx="71">
                  <c:v>-1.6672157337223936E-2</c:v>
                </c:pt>
                <c:pt idx="72">
                  <c:v>-2.0278774447584302E-2</c:v>
                </c:pt>
                <c:pt idx="73">
                  <c:v>-1.9496389212531273E-2</c:v>
                </c:pt>
                <c:pt idx="74">
                  <c:v>-2.0304203907865359E-2</c:v>
                </c:pt>
                <c:pt idx="75">
                  <c:v>-1.4424486179246854E-2</c:v>
                </c:pt>
                <c:pt idx="76">
                  <c:v>-1.6069718068768557E-2</c:v>
                </c:pt>
                <c:pt idx="77">
                  <c:v>-1.6451956189149408E-2</c:v>
                </c:pt>
                <c:pt idx="78">
                  <c:v>-2.0889846950124857E-2</c:v>
                </c:pt>
                <c:pt idx="79">
                  <c:v>-1.7470475614506542E-2</c:v>
                </c:pt>
                <c:pt idx="80">
                  <c:v>-2.0142092306162818E-2</c:v>
                </c:pt>
                <c:pt idx="81">
                  <c:v>-1.8923753436935531E-2</c:v>
                </c:pt>
                <c:pt idx="82">
                  <c:v>-1.7516675715255614E-2</c:v>
                </c:pt>
                <c:pt idx="83">
                  <c:v>-1.7877898745024767E-2</c:v>
                </c:pt>
                <c:pt idx="84">
                  <c:v>-1.4918129828069393E-2</c:v>
                </c:pt>
                <c:pt idx="85">
                  <c:v>-2.1846924704119086E-2</c:v>
                </c:pt>
                <c:pt idx="86">
                  <c:v>-2.1401050483192963E-2</c:v>
                </c:pt>
                <c:pt idx="87">
                  <c:v>-1.8209063182232699E-2</c:v>
                </c:pt>
                <c:pt idx="88">
                  <c:v>-2.1783911349533058E-2</c:v>
                </c:pt>
                <c:pt idx="89">
                  <c:v>-2.0432817844313389E-2</c:v>
                </c:pt>
                <c:pt idx="90">
                  <c:v>-1.9492901653683115E-2</c:v>
                </c:pt>
                <c:pt idx="91">
                  <c:v>-1.9238945040628064E-2</c:v>
                </c:pt>
                <c:pt idx="92">
                  <c:v>-2.341303126168115E-2</c:v>
                </c:pt>
                <c:pt idx="93">
                  <c:v>-2.1770700137919041E-2</c:v>
                </c:pt>
                <c:pt idx="94">
                  <c:v>-1.8006140848408236E-2</c:v>
                </c:pt>
                <c:pt idx="95">
                  <c:v>-1.8891919724489448E-2</c:v>
                </c:pt>
                <c:pt idx="96">
                  <c:v>-2.0925093899129887E-2</c:v>
                </c:pt>
                <c:pt idx="97">
                  <c:v>-2.077862530212915E-2</c:v>
                </c:pt>
                <c:pt idx="98">
                  <c:v>-2.3236196866643688E-2</c:v>
                </c:pt>
                <c:pt idx="99">
                  <c:v>-1.8688475592670395E-2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3B-4D84-903E-1FDBBF15C7E0}"/>
            </c:ext>
          </c:extLst>
        </c:ser>
        <c:ser>
          <c:idx val="5"/>
          <c:order val="5"/>
          <c:tx>
            <c:strRef>
              <c:f>Sheet1!$AI$3</c:f>
              <c:strCache>
                <c:ptCount val="1"/>
                <c:pt idx="0">
                  <c:v>0,95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Sheet1!$AC$4:$AC$103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Sheet1!$AI$4:$AI$103</c:f>
              <c:numCache>
                <c:formatCode>General</c:formatCode>
                <c:ptCount val="100"/>
                <c:pt idx="0">
                  <c:v>-2.8477636702106679E-3</c:v>
                </c:pt>
                <c:pt idx="1">
                  <c:v>-2.6333697353264629E-3</c:v>
                </c:pt>
                <c:pt idx="2">
                  <c:v>-4.4893552938762848E-3</c:v>
                </c:pt>
                <c:pt idx="3">
                  <c:v>-3.7379580787431088E-3</c:v>
                </c:pt>
                <c:pt idx="4">
                  <c:v>-5.0878585936642295E-3</c:v>
                </c:pt>
                <c:pt idx="5">
                  <c:v>-6.2789766904844946E-3</c:v>
                </c:pt>
                <c:pt idx="6">
                  <c:v>-5.9411967274871635E-3</c:v>
                </c:pt>
                <c:pt idx="7">
                  <c:v>-5.8544418693406985E-3</c:v>
                </c:pt>
                <c:pt idx="8">
                  <c:v>-6.8946240587526297E-3</c:v>
                </c:pt>
                <c:pt idx="9">
                  <c:v>-5.6445322783940099E-3</c:v>
                </c:pt>
                <c:pt idx="10">
                  <c:v>-7.3055500349166191E-3</c:v>
                </c:pt>
                <c:pt idx="11">
                  <c:v>-6.9406521069050875E-3</c:v>
                </c:pt>
                <c:pt idx="12">
                  <c:v>-8.4166575800876942E-3</c:v>
                </c:pt>
                <c:pt idx="13">
                  <c:v>-7.5512281688339122E-3</c:v>
                </c:pt>
                <c:pt idx="14">
                  <c:v>-8.2260685829491642E-3</c:v>
                </c:pt>
                <c:pt idx="15">
                  <c:v>-9.3634472364956256E-3</c:v>
                </c:pt>
                <c:pt idx="16">
                  <c:v>-9.1501206275874658E-3</c:v>
                </c:pt>
                <c:pt idx="17">
                  <c:v>-9.3918995544253203E-3</c:v>
                </c:pt>
                <c:pt idx="18">
                  <c:v>-8.8484699273494449E-3</c:v>
                </c:pt>
                <c:pt idx="19">
                  <c:v>-1.0428428654396971E-2</c:v>
                </c:pt>
                <c:pt idx="20">
                  <c:v>-1.0724647144424226E-2</c:v>
                </c:pt>
                <c:pt idx="21">
                  <c:v>-1.0901919398685456E-2</c:v>
                </c:pt>
                <c:pt idx="22">
                  <c:v>-1.18511701029409E-2</c:v>
                </c:pt>
                <c:pt idx="23">
                  <c:v>-8.9968151001600383E-3</c:v>
                </c:pt>
                <c:pt idx="24">
                  <c:v>-1.0728164996877343E-2</c:v>
                </c:pt>
                <c:pt idx="25">
                  <c:v>-1.0969541564959107E-2</c:v>
                </c:pt>
                <c:pt idx="26">
                  <c:v>-1.276006425870313E-2</c:v>
                </c:pt>
                <c:pt idx="27">
                  <c:v>-1.0792793874623507E-2</c:v>
                </c:pt>
                <c:pt idx="28">
                  <c:v>-1.0593120364628783E-2</c:v>
                </c:pt>
                <c:pt idx="29">
                  <c:v>-1.4465171322545212E-2</c:v>
                </c:pt>
                <c:pt idx="30">
                  <c:v>-1.4511383058768867E-2</c:v>
                </c:pt>
                <c:pt idx="31">
                  <c:v>-1.2099222409605481E-2</c:v>
                </c:pt>
                <c:pt idx="32">
                  <c:v>-1.1764674955820675E-2</c:v>
                </c:pt>
                <c:pt idx="33">
                  <c:v>-1.1971452215322698E-2</c:v>
                </c:pt>
                <c:pt idx="34">
                  <c:v>-1.2581693895347357E-2</c:v>
                </c:pt>
                <c:pt idx="35">
                  <c:v>-1.2336620295007927E-2</c:v>
                </c:pt>
                <c:pt idx="36">
                  <c:v>-1.3850085081903885E-2</c:v>
                </c:pt>
                <c:pt idx="37">
                  <c:v>-1.5738886390721518E-2</c:v>
                </c:pt>
                <c:pt idx="38">
                  <c:v>-1.3592130300379868E-2</c:v>
                </c:pt>
                <c:pt idx="39">
                  <c:v>-1.1032321004649459E-2</c:v>
                </c:pt>
                <c:pt idx="40">
                  <c:v>-1.378312209105137E-2</c:v>
                </c:pt>
                <c:pt idx="41">
                  <c:v>-1.0672347002051552E-2</c:v>
                </c:pt>
                <c:pt idx="42">
                  <c:v>-1.2959280991100774E-2</c:v>
                </c:pt>
                <c:pt idx="43">
                  <c:v>-1.5350686828301319E-2</c:v>
                </c:pt>
                <c:pt idx="44">
                  <c:v>-1.4844211254017026E-2</c:v>
                </c:pt>
                <c:pt idx="45">
                  <c:v>-1.7253320761871915E-2</c:v>
                </c:pt>
                <c:pt idx="46">
                  <c:v>-1.2061431270573797E-2</c:v>
                </c:pt>
                <c:pt idx="47">
                  <c:v>-1.2669414305163107E-2</c:v>
                </c:pt>
                <c:pt idx="48">
                  <c:v>-1.5951440893775759E-2</c:v>
                </c:pt>
                <c:pt idx="49">
                  <c:v>-1.8926941670468489E-2</c:v>
                </c:pt>
                <c:pt idx="50">
                  <c:v>-1.5728023574510086E-2</c:v>
                </c:pt>
                <c:pt idx="51">
                  <c:v>-1.1484969682170387E-2</c:v>
                </c:pt>
                <c:pt idx="52">
                  <c:v>-1.3560139337494004E-2</c:v>
                </c:pt>
                <c:pt idx="53">
                  <c:v>-1.5290934762034691E-2</c:v>
                </c:pt>
                <c:pt idx="54">
                  <c:v>-1.7885409249417172E-2</c:v>
                </c:pt>
                <c:pt idx="55">
                  <c:v>-1.4398797404467034E-2</c:v>
                </c:pt>
                <c:pt idx="56">
                  <c:v>-1.667194892359336E-2</c:v>
                </c:pt>
                <c:pt idx="57">
                  <c:v>-1.8377187988904753E-2</c:v>
                </c:pt>
                <c:pt idx="58">
                  <c:v>-1.6426188078633164E-2</c:v>
                </c:pt>
                <c:pt idx="59">
                  <c:v>-1.9403547637092622E-2</c:v>
                </c:pt>
                <c:pt idx="60">
                  <c:v>-1.9058515361306538E-2</c:v>
                </c:pt>
                <c:pt idx="61">
                  <c:v>-1.6615482678357107E-2</c:v>
                </c:pt>
                <c:pt idx="62">
                  <c:v>-1.8481640062016025E-2</c:v>
                </c:pt>
                <c:pt idx="63">
                  <c:v>-1.9824646584126082E-2</c:v>
                </c:pt>
                <c:pt idx="64">
                  <c:v>-1.6244722401430156E-2</c:v>
                </c:pt>
                <c:pt idx="65">
                  <c:v>-2.043421539013246E-2</c:v>
                </c:pt>
                <c:pt idx="66">
                  <c:v>-1.8092866761820092E-2</c:v>
                </c:pt>
                <c:pt idx="67">
                  <c:v>-2.1742857505137492E-2</c:v>
                </c:pt>
                <c:pt idx="68">
                  <c:v>-1.9389644042168586E-2</c:v>
                </c:pt>
                <c:pt idx="69">
                  <c:v>-1.858454830354006E-2</c:v>
                </c:pt>
                <c:pt idx="70">
                  <c:v>-1.6342747760236032E-2</c:v>
                </c:pt>
                <c:pt idx="71">
                  <c:v>-1.954649106108608E-2</c:v>
                </c:pt>
                <c:pt idx="72">
                  <c:v>-2.1106717917414253E-2</c:v>
                </c:pt>
                <c:pt idx="73">
                  <c:v>-1.3878156744842496E-2</c:v>
                </c:pt>
                <c:pt idx="74">
                  <c:v>-2.2376097193862021E-2</c:v>
                </c:pt>
                <c:pt idx="75">
                  <c:v>-1.6598435532205746E-2</c:v>
                </c:pt>
                <c:pt idx="76">
                  <c:v>-2.064487073243737E-2</c:v>
                </c:pt>
                <c:pt idx="77">
                  <c:v>-1.5411475592916668E-2</c:v>
                </c:pt>
                <c:pt idx="78">
                  <c:v>-1.6341947523864864E-2</c:v>
                </c:pt>
                <c:pt idx="79">
                  <c:v>-2.0693332178757018E-2</c:v>
                </c:pt>
                <c:pt idx="80">
                  <c:v>-2.0081527332815208E-2</c:v>
                </c:pt>
                <c:pt idx="81">
                  <c:v>-1.8302419232141709E-2</c:v>
                </c:pt>
                <c:pt idx="82">
                  <c:v>-2.3138875636017797E-2</c:v>
                </c:pt>
                <c:pt idx="83">
                  <c:v>-1.9272775269199682E-2</c:v>
                </c:pt>
                <c:pt idx="84">
                  <c:v>-2.0241472268084593E-2</c:v>
                </c:pt>
                <c:pt idx="85">
                  <c:v>-1.9133630169024363E-2</c:v>
                </c:pt>
                <c:pt idx="86">
                  <c:v>-2.295973793221906E-2</c:v>
                </c:pt>
                <c:pt idx="87">
                  <c:v>-1.9613553028769992E-2</c:v>
                </c:pt>
                <c:pt idx="88">
                  <c:v>-1.9740510392122657E-2</c:v>
                </c:pt>
                <c:pt idx="89">
                  <c:v>-2.0145049968207207E-2</c:v>
                </c:pt>
                <c:pt idx="90">
                  <c:v>-1.9640228761478751E-2</c:v>
                </c:pt>
                <c:pt idx="91">
                  <c:v>-2.4157615682983469E-2</c:v>
                </c:pt>
                <c:pt idx="92">
                  <c:v>-1.7295676108360691E-2</c:v>
                </c:pt>
                <c:pt idx="93">
                  <c:v>-1.9477915623313358E-2</c:v>
                </c:pt>
                <c:pt idx="94">
                  <c:v>-2.1516901803145361E-2</c:v>
                </c:pt>
                <c:pt idx="95">
                  <c:v>-2.3233112285528712E-2</c:v>
                </c:pt>
                <c:pt idx="96">
                  <c:v>-2.2140978582331217E-2</c:v>
                </c:pt>
                <c:pt idx="97">
                  <c:v>-2.2616370977199152E-2</c:v>
                </c:pt>
                <c:pt idx="98">
                  <c:v>-2.1514387890897879E-2</c:v>
                </c:pt>
                <c:pt idx="99">
                  <c:v>-2.3459363457948079E-2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3B-4D84-903E-1FDBBF15C7E0}"/>
            </c:ext>
          </c:extLst>
        </c:ser>
        <c:ser>
          <c:idx val="6"/>
          <c:order val="6"/>
          <c:tx>
            <c:strRef>
              <c:f>Sheet1!$AJ$3</c:f>
              <c:strCache>
                <c:ptCount val="1"/>
                <c:pt idx="0">
                  <c:v>0,96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Sheet1!$AC$4:$AC$103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Sheet1!$AJ$4:$AJ$103</c:f>
              <c:numCache>
                <c:formatCode>General</c:formatCode>
                <c:ptCount val="100"/>
                <c:pt idx="0">
                  <c:v>-2.1146422141298249E-3</c:v>
                </c:pt>
                <c:pt idx="1">
                  <c:v>0</c:v>
                </c:pt>
                <c:pt idx="2">
                  <c:v>-4.3584542556953654E-3</c:v>
                </c:pt>
                <c:pt idx="3">
                  <c:v>-4.6595048167856756E-3</c:v>
                </c:pt>
                <c:pt idx="4">
                  <c:v>-4.6175191995774245E-3</c:v>
                </c:pt>
                <c:pt idx="5">
                  <c:v>-6.2159591527140012E-3</c:v>
                </c:pt>
                <c:pt idx="6">
                  <c:v>-5.5877096914447311E-3</c:v>
                </c:pt>
                <c:pt idx="7">
                  <c:v>-7.672100411914462E-3</c:v>
                </c:pt>
                <c:pt idx="8">
                  <c:v>-6.9173713623251754E-3</c:v>
                </c:pt>
                <c:pt idx="9">
                  <c:v>-8.6735417458689845E-3</c:v>
                </c:pt>
                <c:pt idx="10">
                  <c:v>-9.6461456062881812E-3</c:v>
                </c:pt>
                <c:pt idx="11">
                  <c:v>-7.1227279907657426E-3</c:v>
                </c:pt>
                <c:pt idx="12">
                  <c:v>-7.9099427341708939E-3</c:v>
                </c:pt>
                <c:pt idx="13">
                  <c:v>-8.7393538698692375E-3</c:v>
                </c:pt>
                <c:pt idx="14">
                  <c:v>-8.6570674691417437E-3</c:v>
                </c:pt>
                <c:pt idx="15">
                  <c:v>-9.2009638713728137E-3</c:v>
                </c:pt>
                <c:pt idx="16">
                  <c:v>-1.0182227234475816E-2</c:v>
                </c:pt>
                <c:pt idx="17">
                  <c:v>-9.1545006006006346E-3</c:v>
                </c:pt>
                <c:pt idx="18">
                  <c:v>-1.3612561749281715E-2</c:v>
                </c:pt>
                <c:pt idx="19">
                  <c:v>-9.012954260408268E-3</c:v>
                </c:pt>
                <c:pt idx="20">
                  <c:v>-9.7880732214374877E-3</c:v>
                </c:pt>
                <c:pt idx="21">
                  <c:v>-9.0508796492116961E-3</c:v>
                </c:pt>
                <c:pt idx="22">
                  <c:v>-1.0836394418492823E-2</c:v>
                </c:pt>
                <c:pt idx="23">
                  <c:v>-1.237366471375867E-2</c:v>
                </c:pt>
                <c:pt idx="24">
                  <c:v>-1.0795817899334148E-2</c:v>
                </c:pt>
                <c:pt idx="25">
                  <c:v>-1.1870000213963339E-2</c:v>
                </c:pt>
                <c:pt idx="26">
                  <c:v>-1.2276470399285699E-2</c:v>
                </c:pt>
                <c:pt idx="27">
                  <c:v>-1.504915618653202E-2</c:v>
                </c:pt>
                <c:pt idx="28">
                  <c:v>-1.238075295969665E-2</c:v>
                </c:pt>
                <c:pt idx="29">
                  <c:v>-1.2442383417874625E-2</c:v>
                </c:pt>
                <c:pt idx="30">
                  <c:v>-1.4835247913591809E-2</c:v>
                </c:pt>
                <c:pt idx="31">
                  <c:v>-1.2887312619835445E-2</c:v>
                </c:pt>
                <c:pt idx="32">
                  <c:v>-1.3726269285477155E-2</c:v>
                </c:pt>
                <c:pt idx="33">
                  <c:v>-1.3745068448792308E-2</c:v>
                </c:pt>
                <c:pt idx="34">
                  <c:v>-1.1565094795604747E-2</c:v>
                </c:pt>
                <c:pt idx="35">
                  <c:v>-1.5023425063596552E-2</c:v>
                </c:pt>
                <c:pt idx="36">
                  <c:v>-1.2852387721204783E-2</c:v>
                </c:pt>
                <c:pt idx="37">
                  <c:v>-1.5921024130671091E-2</c:v>
                </c:pt>
                <c:pt idx="38">
                  <c:v>-1.5184990294644818E-2</c:v>
                </c:pt>
                <c:pt idx="39">
                  <c:v>-1.5224992009149174E-2</c:v>
                </c:pt>
                <c:pt idx="40">
                  <c:v>-1.2159871706936221E-2</c:v>
                </c:pt>
                <c:pt idx="41">
                  <c:v>-1.4012891428795804E-2</c:v>
                </c:pt>
                <c:pt idx="42">
                  <c:v>-1.1009018184152897E-2</c:v>
                </c:pt>
                <c:pt idx="43">
                  <c:v>-1.4432481505251449E-2</c:v>
                </c:pt>
                <c:pt idx="44">
                  <c:v>-1.3603087846573825E-2</c:v>
                </c:pt>
                <c:pt idx="45">
                  <c:v>-1.707996687849711E-2</c:v>
                </c:pt>
                <c:pt idx="46">
                  <c:v>-1.9160999522616518E-2</c:v>
                </c:pt>
                <c:pt idx="47">
                  <c:v>-1.414913882508273E-2</c:v>
                </c:pt>
                <c:pt idx="48">
                  <c:v>-1.6614007708241951E-2</c:v>
                </c:pt>
                <c:pt idx="49">
                  <c:v>-1.5733980929976132E-2</c:v>
                </c:pt>
                <c:pt idx="50">
                  <c:v>-1.728539446169175E-2</c:v>
                </c:pt>
                <c:pt idx="51">
                  <c:v>-1.7280663248933958E-2</c:v>
                </c:pt>
                <c:pt idx="52">
                  <c:v>-2.0266624837104841E-2</c:v>
                </c:pt>
                <c:pt idx="53">
                  <c:v>-1.8027081242440124E-2</c:v>
                </c:pt>
                <c:pt idx="54">
                  <c:v>-1.7441621635869042E-2</c:v>
                </c:pt>
                <c:pt idx="55">
                  <c:v>-2.2882867029236476E-2</c:v>
                </c:pt>
                <c:pt idx="56">
                  <c:v>-1.953668286704402E-2</c:v>
                </c:pt>
                <c:pt idx="57">
                  <c:v>-1.8075713679780003E-2</c:v>
                </c:pt>
                <c:pt idx="58">
                  <c:v>-2.1286741484906724E-2</c:v>
                </c:pt>
                <c:pt idx="59">
                  <c:v>-1.3738543758856414E-2</c:v>
                </c:pt>
                <c:pt idx="60">
                  <c:v>-1.6473312980253008E-2</c:v>
                </c:pt>
                <c:pt idx="61">
                  <c:v>-1.6849338239874889E-2</c:v>
                </c:pt>
                <c:pt idx="62">
                  <c:v>-2.1040493065451749E-2</c:v>
                </c:pt>
                <c:pt idx="63">
                  <c:v>-1.7519928551381847E-2</c:v>
                </c:pt>
                <c:pt idx="64">
                  <c:v>-1.8160145435945019E-2</c:v>
                </c:pt>
                <c:pt idx="65">
                  <c:v>-1.7253209842362338E-2</c:v>
                </c:pt>
                <c:pt idx="66">
                  <c:v>-1.5837322262039599E-2</c:v>
                </c:pt>
                <c:pt idx="67">
                  <c:v>-1.9537851067506606E-2</c:v>
                </c:pt>
                <c:pt idx="68">
                  <c:v>-1.5918902358737608E-2</c:v>
                </c:pt>
                <c:pt idx="69">
                  <c:v>-2.0174861520165344E-2</c:v>
                </c:pt>
                <c:pt idx="70">
                  <c:v>-1.7856285511435033E-2</c:v>
                </c:pt>
                <c:pt idx="71">
                  <c:v>-1.9891368474701521E-2</c:v>
                </c:pt>
                <c:pt idx="72">
                  <c:v>-2.0007363031285363E-2</c:v>
                </c:pt>
                <c:pt idx="73">
                  <c:v>-2.018649055432542E-2</c:v>
                </c:pt>
                <c:pt idx="74">
                  <c:v>-2.1519885402314864E-2</c:v>
                </c:pt>
                <c:pt idx="75">
                  <c:v>-1.9720807955414532E-2</c:v>
                </c:pt>
                <c:pt idx="76">
                  <c:v>-2.0402933872272655E-2</c:v>
                </c:pt>
                <c:pt idx="77">
                  <c:v>-1.9304150903149742E-2</c:v>
                </c:pt>
                <c:pt idx="78">
                  <c:v>-2.1023930969452209E-2</c:v>
                </c:pt>
                <c:pt idx="79">
                  <c:v>-1.5371428117364472E-2</c:v>
                </c:pt>
                <c:pt idx="80">
                  <c:v>-1.8116011093513018E-2</c:v>
                </c:pt>
                <c:pt idx="81">
                  <c:v>-1.9277644786726E-2</c:v>
                </c:pt>
                <c:pt idx="82">
                  <c:v>-1.7977335084021329E-2</c:v>
                </c:pt>
                <c:pt idx="83">
                  <c:v>-2.1805678620822944E-2</c:v>
                </c:pt>
                <c:pt idx="84">
                  <c:v>-2.2193919268266749E-2</c:v>
                </c:pt>
                <c:pt idx="85">
                  <c:v>-1.5238267541762829E-2</c:v>
                </c:pt>
                <c:pt idx="86">
                  <c:v>-1.9706767416886262E-2</c:v>
                </c:pt>
                <c:pt idx="87">
                  <c:v>-1.9255834760384838E-2</c:v>
                </c:pt>
                <c:pt idx="88">
                  <c:v>-2.0155184225212563E-2</c:v>
                </c:pt>
                <c:pt idx="89">
                  <c:v>-2.4503576809840499E-2</c:v>
                </c:pt>
                <c:pt idx="90">
                  <c:v>-2.1236251618892421E-2</c:v>
                </c:pt>
                <c:pt idx="91">
                  <c:v>-2.243891602110315E-2</c:v>
                </c:pt>
                <c:pt idx="92">
                  <c:v>-2.6995719438045018E-2</c:v>
                </c:pt>
                <c:pt idx="93">
                  <c:v>-1.4412077608654483E-2</c:v>
                </c:pt>
                <c:pt idx="94">
                  <c:v>-1.389684887758702E-2</c:v>
                </c:pt>
                <c:pt idx="95">
                  <c:v>-2.2570706585523181E-2</c:v>
                </c:pt>
                <c:pt idx="96">
                  <c:v>-2.1770325848635919E-2</c:v>
                </c:pt>
                <c:pt idx="97">
                  <c:v>-1.7260705559495548E-2</c:v>
                </c:pt>
                <c:pt idx="98">
                  <c:v>-2.3231313826987732E-2</c:v>
                </c:pt>
                <c:pt idx="99">
                  <c:v>-2.8224575906508953E-2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3B-4D84-903E-1FDBBF15C7E0}"/>
            </c:ext>
          </c:extLst>
        </c:ser>
        <c:ser>
          <c:idx val="7"/>
          <c:order val="7"/>
          <c:tx>
            <c:strRef>
              <c:f>Sheet1!$AK$3</c:f>
              <c:strCache>
                <c:ptCount val="1"/>
                <c:pt idx="0">
                  <c:v>0,97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Sheet1!$AC$4:$AC$103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Sheet1!$AK$4:$AK$103</c:f>
              <c:numCache>
                <c:formatCode>General</c:formatCode>
                <c:ptCount val="100"/>
                <c:pt idx="0">
                  <c:v>-2.8723427831303106E-3</c:v>
                </c:pt>
                <c:pt idx="1">
                  <c:v>-4.0866515693978034E-3</c:v>
                </c:pt>
                <c:pt idx="2">
                  <c:v>-4.6409718934865563E-3</c:v>
                </c:pt>
                <c:pt idx="3">
                  <c:v>-4.7799962917440819E-3</c:v>
                </c:pt>
                <c:pt idx="4">
                  <c:v>-6.4584741999207385E-3</c:v>
                </c:pt>
                <c:pt idx="5">
                  <c:v>-6.9088125955498736E-3</c:v>
                </c:pt>
                <c:pt idx="6">
                  <c:v>-5.146104269016849E-3</c:v>
                </c:pt>
                <c:pt idx="7">
                  <c:v>-7.2173546623623963E-3</c:v>
                </c:pt>
                <c:pt idx="8">
                  <c:v>-6.2461894182912481E-3</c:v>
                </c:pt>
                <c:pt idx="9">
                  <c:v>-7.2054697158505654E-3</c:v>
                </c:pt>
                <c:pt idx="10">
                  <c:v>-7.7152641468805072E-3</c:v>
                </c:pt>
                <c:pt idx="11">
                  <c:v>-8.4506356268849725E-3</c:v>
                </c:pt>
                <c:pt idx="12">
                  <c:v>-8.2497219624075857E-3</c:v>
                </c:pt>
                <c:pt idx="13">
                  <c:v>-9.716485588970869E-3</c:v>
                </c:pt>
                <c:pt idx="14">
                  <c:v>-9.9146266677767603E-3</c:v>
                </c:pt>
                <c:pt idx="15">
                  <c:v>-1.0862664081042084E-2</c:v>
                </c:pt>
                <c:pt idx="16">
                  <c:v>-1.13802164218193E-2</c:v>
                </c:pt>
                <c:pt idx="17">
                  <c:v>-1.0021225208866502E-2</c:v>
                </c:pt>
                <c:pt idx="18">
                  <c:v>-1.0684433711048991E-2</c:v>
                </c:pt>
                <c:pt idx="19">
                  <c:v>-9.9196670618879601E-3</c:v>
                </c:pt>
                <c:pt idx="20">
                  <c:v>-1.1091219457570078E-2</c:v>
                </c:pt>
                <c:pt idx="21">
                  <c:v>-1.0492830253782337E-2</c:v>
                </c:pt>
                <c:pt idx="22">
                  <c:v>-1.0629046790165519E-2</c:v>
                </c:pt>
                <c:pt idx="23">
                  <c:v>-1.3219902128101646E-2</c:v>
                </c:pt>
                <c:pt idx="24">
                  <c:v>-1.1931396382621307E-2</c:v>
                </c:pt>
                <c:pt idx="25">
                  <c:v>-1.2310363706883987E-2</c:v>
                </c:pt>
                <c:pt idx="26">
                  <c:v>-1.4718293232308888E-2</c:v>
                </c:pt>
                <c:pt idx="27">
                  <c:v>-1.367369262753293E-2</c:v>
                </c:pt>
                <c:pt idx="28">
                  <c:v>-1.4044392716553222E-2</c:v>
                </c:pt>
                <c:pt idx="29">
                  <c:v>-1.3535011720650525E-2</c:v>
                </c:pt>
                <c:pt idx="30">
                  <c:v>-1.6482496828920112E-2</c:v>
                </c:pt>
                <c:pt idx="31">
                  <c:v>-1.4572289579496189E-2</c:v>
                </c:pt>
                <c:pt idx="32">
                  <c:v>-1.5317326861227443E-2</c:v>
                </c:pt>
                <c:pt idx="33">
                  <c:v>-1.414353784596889E-2</c:v>
                </c:pt>
                <c:pt idx="34">
                  <c:v>-1.2022117989441083E-2</c:v>
                </c:pt>
                <c:pt idx="35">
                  <c:v>-1.622950362190867E-2</c:v>
                </c:pt>
                <c:pt idx="36">
                  <c:v>-1.491345999864846E-2</c:v>
                </c:pt>
                <c:pt idx="37">
                  <c:v>-1.5291699080662413E-2</c:v>
                </c:pt>
                <c:pt idx="38">
                  <c:v>-1.6248272122567409E-2</c:v>
                </c:pt>
                <c:pt idx="39">
                  <c:v>-1.834230119616187E-2</c:v>
                </c:pt>
                <c:pt idx="40">
                  <c:v>-1.6504631201915032E-2</c:v>
                </c:pt>
                <c:pt idx="41">
                  <c:v>-1.3429602514710037E-2</c:v>
                </c:pt>
                <c:pt idx="42">
                  <c:v>-1.3265587916018173E-2</c:v>
                </c:pt>
                <c:pt idx="43">
                  <c:v>-1.8571712524703576E-2</c:v>
                </c:pt>
                <c:pt idx="44">
                  <c:v>-1.6047058061812614E-2</c:v>
                </c:pt>
                <c:pt idx="45">
                  <c:v>-1.3324274645960754E-2</c:v>
                </c:pt>
                <c:pt idx="46">
                  <c:v>-1.2241850608791793E-2</c:v>
                </c:pt>
                <c:pt idx="47">
                  <c:v>-1.5338476844760196E-2</c:v>
                </c:pt>
                <c:pt idx="48">
                  <c:v>-1.6242452159920706E-2</c:v>
                </c:pt>
                <c:pt idx="49">
                  <c:v>-2.1574962182870694E-2</c:v>
                </c:pt>
                <c:pt idx="50">
                  <c:v>-1.8969153586176457E-2</c:v>
                </c:pt>
                <c:pt idx="51">
                  <c:v>-1.6768953111515605E-2</c:v>
                </c:pt>
                <c:pt idx="52">
                  <c:v>-1.6256548806605986E-2</c:v>
                </c:pt>
                <c:pt idx="53">
                  <c:v>-1.5237713626325311E-2</c:v>
                </c:pt>
                <c:pt idx="54">
                  <c:v>-1.6582567420124983E-2</c:v>
                </c:pt>
                <c:pt idx="55">
                  <c:v>-1.4262451256027209E-2</c:v>
                </c:pt>
                <c:pt idx="56">
                  <c:v>-1.6644719936701913E-2</c:v>
                </c:pt>
                <c:pt idx="57">
                  <c:v>-2.0609172231356387E-2</c:v>
                </c:pt>
                <c:pt idx="58">
                  <c:v>-1.8266892166935333E-2</c:v>
                </c:pt>
                <c:pt idx="59">
                  <c:v>-1.912275440023925E-2</c:v>
                </c:pt>
                <c:pt idx="60">
                  <c:v>-2.4010778100988617E-2</c:v>
                </c:pt>
                <c:pt idx="61">
                  <c:v>-1.5798268912636582E-2</c:v>
                </c:pt>
                <c:pt idx="62">
                  <c:v>-1.894738656754269E-2</c:v>
                </c:pt>
                <c:pt idx="63">
                  <c:v>-1.7083113993749954E-2</c:v>
                </c:pt>
                <c:pt idx="64">
                  <c:v>-2.1321935693894734E-2</c:v>
                </c:pt>
                <c:pt idx="65">
                  <c:v>-1.8453370547977244E-2</c:v>
                </c:pt>
                <c:pt idx="66">
                  <c:v>-1.7549544054976218E-2</c:v>
                </c:pt>
                <c:pt idx="67">
                  <c:v>-2.2926363620218604E-2</c:v>
                </c:pt>
                <c:pt idx="68">
                  <c:v>-2.1396826204988617E-2</c:v>
                </c:pt>
                <c:pt idx="69">
                  <c:v>-1.7581476751162839E-2</c:v>
                </c:pt>
                <c:pt idx="70">
                  <c:v>-1.9819770160308003E-2</c:v>
                </c:pt>
                <c:pt idx="71">
                  <c:v>-2.4786696162811594E-2</c:v>
                </c:pt>
                <c:pt idx="72">
                  <c:v>-1.7605556966825642E-2</c:v>
                </c:pt>
                <c:pt idx="73">
                  <c:v>-2.273744882317108E-2</c:v>
                </c:pt>
                <c:pt idx="74">
                  <c:v>-2.3819256439205683E-2</c:v>
                </c:pt>
                <c:pt idx="75">
                  <c:v>-1.7180920486880247E-2</c:v>
                </c:pt>
                <c:pt idx="76">
                  <c:v>-2.209441926132949E-2</c:v>
                </c:pt>
                <c:pt idx="77">
                  <c:v>-2.2152006376682021E-2</c:v>
                </c:pt>
                <c:pt idx="78">
                  <c:v>-1.5895793535168012E-2</c:v>
                </c:pt>
                <c:pt idx="79">
                  <c:v>-2.3785400822346148E-2</c:v>
                </c:pt>
                <c:pt idx="80">
                  <c:v>-1.7266023752148252E-2</c:v>
                </c:pt>
                <c:pt idx="81">
                  <c:v>-2.5484609280661763E-2</c:v>
                </c:pt>
                <c:pt idx="82">
                  <c:v>-2.2191301883723646E-2</c:v>
                </c:pt>
                <c:pt idx="83">
                  <c:v>-2.6443607567570915E-2</c:v>
                </c:pt>
                <c:pt idx="84">
                  <c:v>-2.5786101503117553E-2</c:v>
                </c:pt>
                <c:pt idx="85">
                  <c:v>-2.0912415676146656E-2</c:v>
                </c:pt>
                <c:pt idx="86">
                  <c:v>-1.9561104383049921E-2</c:v>
                </c:pt>
                <c:pt idx="87">
                  <c:v>-1.9362480452642661E-2</c:v>
                </c:pt>
                <c:pt idx="88">
                  <c:v>-2.8139326402808917E-2</c:v>
                </c:pt>
                <c:pt idx="89">
                  <c:v>-2.6347349848266699E-2</c:v>
                </c:pt>
                <c:pt idx="90">
                  <c:v>-1.9182449375531485E-2</c:v>
                </c:pt>
                <c:pt idx="91">
                  <c:v>-2.4520783020445691E-2</c:v>
                </c:pt>
                <c:pt idx="92">
                  <c:v>-2.9806179647982711E-2</c:v>
                </c:pt>
                <c:pt idx="93">
                  <c:v>-2.3637133053713288E-2</c:v>
                </c:pt>
                <c:pt idx="94">
                  <c:v>-2.0919452911585035E-2</c:v>
                </c:pt>
                <c:pt idx="95">
                  <c:v>-2.0983442862090085E-2</c:v>
                </c:pt>
                <c:pt idx="96">
                  <c:v>-2.6617505034757682E-2</c:v>
                </c:pt>
                <c:pt idx="97">
                  <c:v>-2.8280241537825823E-2</c:v>
                </c:pt>
                <c:pt idx="98">
                  <c:v>-2.4503253200940822E-2</c:v>
                </c:pt>
                <c:pt idx="99">
                  <c:v>-2.1765162351694567E-2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3B-4D84-903E-1FDBBF15C7E0}"/>
            </c:ext>
          </c:extLst>
        </c:ser>
        <c:ser>
          <c:idx val="8"/>
          <c:order val="8"/>
          <c:tx>
            <c:strRef>
              <c:f>Sheet1!$AL$3</c:f>
              <c:strCache>
                <c:ptCount val="1"/>
                <c:pt idx="0">
                  <c:v>0,98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Sheet1!$AC$4:$AC$103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Sheet1!$AL$4:$AL$103</c:f>
              <c:numCache>
                <c:formatCode>General</c:formatCode>
                <c:ptCount val="100"/>
                <c:pt idx="0">
                  <c:v>-3.1646917974590405E-3</c:v>
                </c:pt>
                <c:pt idx="1">
                  <c:v>-4.3322082153183228E-3</c:v>
                </c:pt>
                <c:pt idx="2">
                  <c:v>-4.6356331761912006E-3</c:v>
                </c:pt>
                <c:pt idx="3">
                  <c:v>-5.5615875174888085E-3</c:v>
                </c:pt>
                <c:pt idx="4">
                  <c:v>-6.1401577782969063E-3</c:v>
                </c:pt>
                <c:pt idx="5">
                  <c:v>-6.3692832617860962E-3</c:v>
                </c:pt>
                <c:pt idx="6">
                  <c:v>-6.7411400994819015E-3</c:v>
                </c:pt>
                <c:pt idx="7">
                  <c:v>-9.0294810117224067E-3</c:v>
                </c:pt>
                <c:pt idx="8">
                  <c:v>-1.0401755288594883E-2</c:v>
                </c:pt>
                <c:pt idx="9">
                  <c:v>-8.8604463100163677E-3</c:v>
                </c:pt>
                <c:pt idx="10">
                  <c:v>-9.4907968467219384E-3</c:v>
                </c:pt>
                <c:pt idx="11">
                  <c:v>-9.9670900413189045E-3</c:v>
                </c:pt>
                <c:pt idx="12">
                  <c:v>-9.5372976988914449E-3</c:v>
                </c:pt>
                <c:pt idx="13">
                  <c:v>-1.0128209264376187E-2</c:v>
                </c:pt>
                <c:pt idx="14">
                  <c:v>-1.312121219794582E-2</c:v>
                </c:pt>
                <c:pt idx="15">
                  <c:v>-7.2668960160626739E-3</c:v>
                </c:pt>
                <c:pt idx="16">
                  <c:v>-1.2531310985146371E-2</c:v>
                </c:pt>
                <c:pt idx="17">
                  <c:v>-9.749722813682693E-3</c:v>
                </c:pt>
                <c:pt idx="18">
                  <c:v>-1.2284945453646223E-2</c:v>
                </c:pt>
                <c:pt idx="19">
                  <c:v>-9.5370051405436751E-3</c:v>
                </c:pt>
                <c:pt idx="20">
                  <c:v>-1.3811197476863768E-2</c:v>
                </c:pt>
                <c:pt idx="21">
                  <c:v>-1.384549179765826E-2</c:v>
                </c:pt>
                <c:pt idx="22">
                  <c:v>-1.3884799238756296E-2</c:v>
                </c:pt>
                <c:pt idx="23">
                  <c:v>-1.2829982100482917E-2</c:v>
                </c:pt>
                <c:pt idx="24">
                  <c:v>-1.0992276029644588E-2</c:v>
                </c:pt>
                <c:pt idx="25">
                  <c:v>-1.5007632690738459E-2</c:v>
                </c:pt>
                <c:pt idx="26">
                  <c:v>-1.4060013222562784E-2</c:v>
                </c:pt>
                <c:pt idx="27">
                  <c:v>-1.6614812016960467E-2</c:v>
                </c:pt>
                <c:pt idx="28">
                  <c:v>-1.5128778334899451E-2</c:v>
                </c:pt>
                <c:pt idx="29">
                  <c:v>-1.6097726062865636E-2</c:v>
                </c:pt>
                <c:pt idx="30">
                  <c:v>-1.8137305571611861E-2</c:v>
                </c:pt>
                <c:pt idx="31">
                  <c:v>-1.5226642313461936E-2</c:v>
                </c:pt>
                <c:pt idx="32">
                  <c:v>-1.5380421769151553E-2</c:v>
                </c:pt>
                <c:pt idx="33">
                  <c:v>-1.6310086582421057E-2</c:v>
                </c:pt>
                <c:pt idx="34">
                  <c:v>-1.8727097258288028E-2</c:v>
                </c:pt>
                <c:pt idx="35">
                  <c:v>-1.6845830953691188E-2</c:v>
                </c:pt>
                <c:pt idx="36">
                  <c:v>-2.1829552497796056E-2</c:v>
                </c:pt>
                <c:pt idx="37">
                  <c:v>-1.325337188581055E-2</c:v>
                </c:pt>
                <c:pt idx="38">
                  <c:v>-2.1442906151144525E-2</c:v>
                </c:pt>
                <c:pt idx="39">
                  <c:v>-1.9398218256647004E-2</c:v>
                </c:pt>
                <c:pt idx="40">
                  <c:v>-1.8102661644201712E-2</c:v>
                </c:pt>
                <c:pt idx="41">
                  <c:v>-1.7164333007423815E-2</c:v>
                </c:pt>
                <c:pt idx="42">
                  <c:v>-2.0065115477214457E-2</c:v>
                </c:pt>
                <c:pt idx="43">
                  <c:v>-1.6565692668416121E-2</c:v>
                </c:pt>
                <c:pt idx="44">
                  <c:v>-2.1313895086576995E-2</c:v>
                </c:pt>
                <c:pt idx="45">
                  <c:v>-1.6562348714551423E-2</c:v>
                </c:pt>
                <c:pt idx="46">
                  <c:v>-1.5847336283113078E-2</c:v>
                </c:pt>
                <c:pt idx="47">
                  <c:v>-1.9845158770601223E-2</c:v>
                </c:pt>
                <c:pt idx="48">
                  <c:v>-2.1286085516265318E-2</c:v>
                </c:pt>
                <c:pt idx="49">
                  <c:v>-1.8714068984704291E-2</c:v>
                </c:pt>
                <c:pt idx="50">
                  <c:v>-1.7244338342632837E-2</c:v>
                </c:pt>
                <c:pt idx="51">
                  <c:v>-2.00370914711403E-2</c:v>
                </c:pt>
                <c:pt idx="52">
                  <c:v>-2.0708716362263679E-2</c:v>
                </c:pt>
                <c:pt idx="53">
                  <c:v>-2.0169990220703093E-2</c:v>
                </c:pt>
                <c:pt idx="54">
                  <c:v>-2.0931689851104496E-2</c:v>
                </c:pt>
                <c:pt idx="55">
                  <c:v>-2.2473987179601362E-2</c:v>
                </c:pt>
                <c:pt idx="56">
                  <c:v>-2.5430460756264761E-2</c:v>
                </c:pt>
                <c:pt idx="57">
                  <c:v>-1.8340653672574758E-2</c:v>
                </c:pt>
                <c:pt idx="58">
                  <c:v>-2.3542081803002546E-2</c:v>
                </c:pt>
                <c:pt idx="59">
                  <c:v>-2.4196578067584795E-2</c:v>
                </c:pt>
                <c:pt idx="60">
                  <c:v>-1.8382303403274847E-2</c:v>
                </c:pt>
                <c:pt idx="61">
                  <c:v>-2.1130432345236594E-2</c:v>
                </c:pt>
                <c:pt idx="62">
                  <c:v>-1.8792345471517313E-2</c:v>
                </c:pt>
                <c:pt idx="63">
                  <c:v>-2.7591644340965837E-2</c:v>
                </c:pt>
                <c:pt idx="64">
                  <c:v>-2.0188743161515532E-2</c:v>
                </c:pt>
                <c:pt idx="65">
                  <c:v>-1.7020394571895192E-2</c:v>
                </c:pt>
                <c:pt idx="66">
                  <c:v>-2.3669080719842084E-2</c:v>
                </c:pt>
                <c:pt idx="67">
                  <c:v>-2.1268258910728033E-2</c:v>
                </c:pt>
                <c:pt idx="68">
                  <c:v>-2.5683961092239915E-2</c:v>
                </c:pt>
                <c:pt idx="69">
                  <c:v>-1.8063397419793459E-2</c:v>
                </c:pt>
                <c:pt idx="70">
                  <c:v>-2.5395498784116288E-2</c:v>
                </c:pt>
                <c:pt idx="71">
                  <c:v>-2.442560461251464E-2</c:v>
                </c:pt>
                <c:pt idx="72">
                  <c:v>-2.5033752216008454E-2</c:v>
                </c:pt>
                <c:pt idx="73">
                  <c:v>-2.265992724211241E-2</c:v>
                </c:pt>
                <c:pt idx="74">
                  <c:v>-2.1998548243335803E-2</c:v>
                </c:pt>
                <c:pt idx="75">
                  <c:v>-2.171348372928783E-2</c:v>
                </c:pt>
                <c:pt idx="76">
                  <c:v>-2.1101151375976679E-2</c:v>
                </c:pt>
                <c:pt idx="77">
                  <c:v>-1.6528607098157844E-2</c:v>
                </c:pt>
                <c:pt idx="78">
                  <c:v>-2.3060447989912802E-2</c:v>
                </c:pt>
                <c:pt idx="79">
                  <c:v>-2.1112756249308973E-2</c:v>
                </c:pt>
                <c:pt idx="80">
                  <c:v>-2.4986746452920316E-2</c:v>
                </c:pt>
                <c:pt idx="81">
                  <c:v>-2.6057413241228788E-2</c:v>
                </c:pt>
                <c:pt idx="82">
                  <c:v>-2.578191500731486E-2</c:v>
                </c:pt>
                <c:pt idx="83">
                  <c:v>-2.0462855788018208E-2</c:v>
                </c:pt>
                <c:pt idx="84">
                  <c:v>-2.8575652863124246E-2</c:v>
                </c:pt>
                <c:pt idx="85">
                  <c:v>-2.590409135633287E-2</c:v>
                </c:pt>
                <c:pt idx="86">
                  <c:v>-2.3328106047077357E-2</c:v>
                </c:pt>
                <c:pt idx="87">
                  <c:v>-2.1256509734366213E-2</c:v>
                </c:pt>
                <c:pt idx="88">
                  <c:v>-2.4491410190266238E-2</c:v>
                </c:pt>
                <c:pt idx="89">
                  <c:v>-2.5197862942985427E-2</c:v>
                </c:pt>
                <c:pt idx="90">
                  <c:v>-2.2818588518547456E-2</c:v>
                </c:pt>
                <c:pt idx="91">
                  <c:v>-2.6691255759409671E-2</c:v>
                </c:pt>
                <c:pt idx="92">
                  <c:v>-2.4242981316828338E-2</c:v>
                </c:pt>
                <c:pt idx="93">
                  <c:v>-2.6977188067255797E-2</c:v>
                </c:pt>
                <c:pt idx="94">
                  <c:v>-2.6176379421937401E-2</c:v>
                </c:pt>
                <c:pt idx="95">
                  <c:v>-2.4716817335294738E-2</c:v>
                </c:pt>
                <c:pt idx="96">
                  <c:v>-2.4608975656318588E-2</c:v>
                </c:pt>
                <c:pt idx="97">
                  <c:v>-2.5153727699014139E-2</c:v>
                </c:pt>
                <c:pt idx="98">
                  <c:v>-2.3048665859732642E-2</c:v>
                </c:pt>
                <c:pt idx="99">
                  <c:v>-2.8653998761605015E-2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3B-4D84-903E-1FDBBF15C7E0}"/>
            </c:ext>
          </c:extLst>
        </c:ser>
        <c:ser>
          <c:idx val="9"/>
          <c:order val="9"/>
          <c:tx>
            <c:strRef>
              <c:f>Sheet1!$AM$3</c:f>
              <c:strCache>
                <c:ptCount val="1"/>
                <c:pt idx="0">
                  <c:v>0,99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Sheet1!$AC$4:$AC$103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Sheet1!$AM$4:$AM$103</c:f>
              <c:numCache>
                <c:formatCode>General</c:formatCode>
                <c:ptCount val="100"/>
                <c:pt idx="0">
                  <c:v>-3.7323515634817284E-3</c:v>
                </c:pt>
                <c:pt idx="1">
                  <c:v>-3.1870082254088494E-3</c:v>
                </c:pt>
                <c:pt idx="2">
                  <c:v>-4.4464389522727021E-3</c:v>
                </c:pt>
                <c:pt idx="3">
                  <c:v>-4.7388368405079095E-3</c:v>
                </c:pt>
                <c:pt idx="4">
                  <c:v>-5.7493182638836959E-3</c:v>
                </c:pt>
                <c:pt idx="5">
                  <c:v>-5.5849353026604653E-3</c:v>
                </c:pt>
                <c:pt idx="6">
                  <c:v>-8.5145007105975612E-3</c:v>
                </c:pt>
                <c:pt idx="7">
                  <c:v>-1.182160888974404E-2</c:v>
                </c:pt>
                <c:pt idx="8">
                  <c:v>-8.6925068547092366E-3</c:v>
                </c:pt>
                <c:pt idx="9">
                  <c:v>-1.1487398049819575E-2</c:v>
                </c:pt>
                <c:pt idx="10">
                  <c:v>-1.1067836135393749E-2</c:v>
                </c:pt>
                <c:pt idx="11">
                  <c:v>-1.1406384047619067E-2</c:v>
                </c:pt>
                <c:pt idx="12">
                  <c:v>-1.1408547864558471E-2</c:v>
                </c:pt>
                <c:pt idx="13">
                  <c:v>-1.0629777107142635E-2</c:v>
                </c:pt>
                <c:pt idx="14">
                  <c:v>-1.1425212635182147E-2</c:v>
                </c:pt>
                <c:pt idx="15">
                  <c:v>-1.2964574749870783E-2</c:v>
                </c:pt>
                <c:pt idx="16">
                  <c:v>-1.1375714304697526E-2</c:v>
                </c:pt>
                <c:pt idx="17">
                  <c:v>-1.0122718181992285E-2</c:v>
                </c:pt>
                <c:pt idx="18">
                  <c:v>-9.1758847711567171E-3</c:v>
                </c:pt>
                <c:pt idx="19">
                  <c:v>-1.6144764684617563E-2</c:v>
                </c:pt>
                <c:pt idx="20">
                  <c:v>-1.8669546207406684E-2</c:v>
                </c:pt>
                <c:pt idx="21">
                  <c:v>-1.6135103943009321E-2</c:v>
                </c:pt>
                <c:pt idx="22">
                  <c:v>-1.4082884925321393E-2</c:v>
                </c:pt>
                <c:pt idx="23">
                  <c:v>-1.6061980580906798E-2</c:v>
                </c:pt>
                <c:pt idx="24">
                  <c:v>-1.3288266493907352E-2</c:v>
                </c:pt>
                <c:pt idx="25">
                  <c:v>-1.4311712514858632E-2</c:v>
                </c:pt>
                <c:pt idx="26">
                  <c:v>-1.5266835457326655E-2</c:v>
                </c:pt>
                <c:pt idx="27">
                  <c:v>-1.6709344461107722E-2</c:v>
                </c:pt>
                <c:pt idx="28">
                  <c:v>-2.1147500087036919E-2</c:v>
                </c:pt>
                <c:pt idx="29">
                  <c:v>-1.4145836578168369E-2</c:v>
                </c:pt>
                <c:pt idx="30">
                  <c:v>-1.773017146745115E-2</c:v>
                </c:pt>
                <c:pt idx="31">
                  <c:v>-1.8863743681771794E-2</c:v>
                </c:pt>
                <c:pt idx="32">
                  <c:v>-1.8380838135013455E-2</c:v>
                </c:pt>
                <c:pt idx="33">
                  <c:v>-1.6596349747829864E-2</c:v>
                </c:pt>
                <c:pt idx="34">
                  <c:v>-1.9425870704310011E-2</c:v>
                </c:pt>
                <c:pt idx="35">
                  <c:v>-1.5115066156848211E-2</c:v>
                </c:pt>
                <c:pt idx="36">
                  <c:v>-1.2706265858692278E-2</c:v>
                </c:pt>
                <c:pt idx="37">
                  <c:v>-1.2654475125364995E-2</c:v>
                </c:pt>
                <c:pt idx="38">
                  <c:v>-1.7090251228044639E-2</c:v>
                </c:pt>
                <c:pt idx="39">
                  <c:v>-2.0799948956399028E-2</c:v>
                </c:pt>
                <c:pt idx="40">
                  <c:v>-1.5199755004788651E-2</c:v>
                </c:pt>
                <c:pt idx="41">
                  <c:v>-1.5658551315203439E-2</c:v>
                </c:pt>
                <c:pt idx="42">
                  <c:v>-2.1387535825687198E-2</c:v>
                </c:pt>
                <c:pt idx="43">
                  <c:v>-1.9961782453900234E-2</c:v>
                </c:pt>
                <c:pt idx="44">
                  <c:v>-2.0355007404464276E-2</c:v>
                </c:pt>
                <c:pt idx="45">
                  <c:v>-2.1213236857836826E-2</c:v>
                </c:pt>
                <c:pt idx="46">
                  <c:v>-2.2299081011374344E-2</c:v>
                </c:pt>
                <c:pt idx="47">
                  <c:v>-2.098203381246222E-2</c:v>
                </c:pt>
                <c:pt idx="48">
                  <c:v>-1.8368008891681775E-2</c:v>
                </c:pt>
                <c:pt idx="49">
                  <c:v>-2.4163113055436058E-2</c:v>
                </c:pt>
                <c:pt idx="50">
                  <c:v>-2.5059277018917525E-2</c:v>
                </c:pt>
                <c:pt idx="51">
                  <c:v>-2.1307139551653087E-2</c:v>
                </c:pt>
                <c:pt idx="52">
                  <c:v>-2.2631516139166141E-2</c:v>
                </c:pt>
                <c:pt idx="53">
                  <c:v>-2.2109092192854174E-2</c:v>
                </c:pt>
                <c:pt idx="54">
                  <c:v>-2.3106625624245813E-2</c:v>
                </c:pt>
                <c:pt idx="55">
                  <c:v>-1.9156772567058944E-2</c:v>
                </c:pt>
                <c:pt idx="56">
                  <c:v>-2.257481063633282E-2</c:v>
                </c:pt>
                <c:pt idx="57">
                  <c:v>-2.2447924070813308E-2</c:v>
                </c:pt>
                <c:pt idx="58">
                  <c:v>-2.5453723735094247E-2</c:v>
                </c:pt>
                <c:pt idx="59">
                  <c:v>-2.2546120765422284E-2</c:v>
                </c:pt>
                <c:pt idx="60">
                  <c:v>-2.4804050997349725E-2</c:v>
                </c:pt>
                <c:pt idx="61">
                  <c:v>-2.9316182768123866E-2</c:v>
                </c:pt>
                <c:pt idx="62">
                  <c:v>-2.3745715542937029E-2</c:v>
                </c:pt>
                <c:pt idx="63">
                  <c:v>-2.0941725414003853E-2</c:v>
                </c:pt>
                <c:pt idx="64">
                  <c:v>-2.4032947587718345E-2</c:v>
                </c:pt>
                <c:pt idx="65">
                  <c:v>-2.4686763730170425E-2</c:v>
                </c:pt>
                <c:pt idx="66">
                  <c:v>-2.675564433399602E-2</c:v>
                </c:pt>
                <c:pt idx="67">
                  <c:v>-2.2549016873995464E-2</c:v>
                </c:pt>
                <c:pt idx="68">
                  <c:v>-2.2733224801432028E-2</c:v>
                </c:pt>
                <c:pt idx="69">
                  <c:v>-3.0314739200140606E-2</c:v>
                </c:pt>
                <c:pt idx="70">
                  <c:v>-2.9048675906016674E-2</c:v>
                </c:pt>
                <c:pt idx="71">
                  <c:v>-3.4395669969578435E-2</c:v>
                </c:pt>
                <c:pt idx="72">
                  <c:v>-2.1124686818505323E-2</c:v>
                </c:pt>
                <c:pt idx="73">
                  <c:v>-2.44173055003718E-2</c:v>
                </c:pt>
                <c:pt idx="74">
                  <c:v>-2.1962585546064339E-2</c:v>
                </c:pt>
                <c:pt idx="75">
                  <c:v>-3.2145360843062187E-2</c:v>
                </c:pt>
                <c:pt idx="76">
                  <c:v>-2.8380449720684986E-2</c:v>
                </c:pt>
                <c:pt idx="77">
                  <c:v>-3.0308285189635686E-2</c:v>
                </c:pt>
                <c:pt idx="78">
                  <c:v>-3.4141221727047366E-2</c:v>
                </c:pt>
                <c:pt idx="79">
                  <c:v>-2.857131660714729E-2</c:v>
                </c:pt>
                <c:pt idx="80">
                  <c:v>-2.4783412038860586E-2</c:v>
                </c:pt>
                <c:pt idx="81">
                  <c:v>-2.5199709185362407E-2</c:v>
                </c:pt>
                <c:pt idx="82">
                  <c:v>-3.2196362112807408E-2</c:v>
                </c:pt>
                <c:pt idx="83">
                  <c:v>-2.7903005420872429E-2</c:v>
                </c:pt>
                <c:pt idx="84">
                  <c:v>-2.4169654640547433E-2</c:v>
                </c:pt>
                <c:pt idx="85">
                  <c:v>-2.4758903293164991E-2</c:v>
                </c:pt>
                <c:pt idx="86">
                  <c:v>-2.2951985518811835E-2</c:v>
                </c:pt>
                <c:pt idx="87">
                  <c:v>-2.8752022457659843E-2</c:v>
                </c:pt>
                <c:pt idx="88">
                  <c:v>-3.0630986327837562E-2</c:v>
                </c:pt>
                <c:pt idx="89">
                  <c:v>-2.8951792394661391E-2</c:v>
                </c:pt>
                <c:pt idx="90">
                  <c:v>-2.4028917478883027E-2</c:v>
                </c:pt>
                <c:pt idx="91">
                  <c:v>-2.2645180698100287E-2</c:v>
                </c:pt>
                <c:pt idx="92">
                  <c:v>-2.8197335323931094E-2</c:v>
                </c:pt>
                <c:pt idx="93">
                  <c:v>-3.1589156182226796E-2</c:v>
                </c:pt>
                <c:pt idx="94">
                  <c:v>-3.4525817367239808E-2</c:v>
                </c:pt>
                <c:pt idx="95">
                  <c:v>-2.7905454736732116E-2</c:v>
                </c:pt>
                <c:pt idx="96">
                  <c:v>-2.6649921957954792E-2</c:v>
                </c:pt>
                <c:pt idx="97">
                  <c:v>-3.7286469412600054E-2</c:v>
                </c:pt>
                <c:pt idx="98">
                  <c:v>-3.1347377189760772E-2</c:v>
                </c:pt>
                <c:pt idx="99">
                  <c:v>-3.3983973660790756E-2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3B-4D84-903E-1FDBBF15C7E0}"/>
            </c:ext>
          </c:extLst>
        </c:ser>
        <c:ser>
          <c:idx val="10"/>
          <c:order val="10"/>
          <c:tx>
            <c:strRef>
              <c:f>Sheet1!$AN$3</c:f>
              <c:strCache>
                <c:ptCount val="1"/>
                <c:pt idx="0">
                  <c:v>0,995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Sheet1!$AC$4:$AC$103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Sheet1!$AN$4:$AN$103</c:f>
              <c:numCache>
                <c:formatCode>General</c:formatCode>
                <c:ptCount val="100"/>
                <c:pt idx="0">
                  <c:v>-3.4025295991289006E-3</c:v>
                </c:pt>
                <c:pt idx="1">
                  <c:v>-4.5105474898490261E-3</c:v>
                </c:pt>
                <c:pt idx="2">
                  <c:v>-5.6151731340745581E-3</c:v>
                </c:pt>
                <c:pt idx="3">
                  <c:v>-7.7210400545635327E-3</c:v>
                </c:pt>
                <c:pt idx="4">
                  <c:v>-6.5935783038837403E-3</c:v>
                </c:pt>
                <c:pt idx="5">
                  <c:v>-7.4510472864424138E-3</c:v>
                </c:pt>
                <c:pt idx="6">
                  <c:v>-9.9811411457462196E-3</c:v>
                </c:pt>
                <c:pt idx="7">
                  <c:v>-9.248930326578142E-3</c:v>
                </c:pt>
                <c:pt idx="8">
                  <c:v>-9.9163021379655714E-3</c:v>
                </c:pt>
                <c:pt idx="9">
                  <c:v>-1.0826598495542905E-2</c:v>
                </c:pt>
                <c:pt idx="10">
                  <c:v>-1.2741418702998386E-2</c:v>
                </c:pt>
                <c:pt idx="11">
                  <c:v>-9.8849455463998481E-3</c:v>
                </c:pt>
                <c:pt idx="12">
                  <c:v>-1.4082800868214118E-2</c:v>
                </c:pt>
                <c:pt idx="13">
                  <c:v>-1.1255572070398845E-2</c:v>
                </c:pt>
                <c:pt idx="14">
                  <c:v>-1.3097307819442294E-2</c:v>
                </c:pt>
                <c:pt idx="15">
                  <c:v>-1.615717429507102E-2</c:v>
                </c:pt>
                <c:pt idx="16">
                  <c:v>-1.4624795402101265E-2</c:v>
                </c:pt>
                <c:pt idx="17">
                  <c:v>-1.4778566503538482E-2</c:v>
                </c:pt>
                <c:pt idx="18">
                  <c:v>-1.3387588811847317E-2</c:v>
                </c:pt>
                <c:pt idx="19">
                  <c:v>-1.6262274345057781E-2</c:v>
                </c:pt>
                <c:pt idx="20">
                  <c:v>-1.6307767929966355E-2</c:v>
                </c:pt>
                <c:pt idx="21">
                  <c:v>-1.46384362349401E-2</c:v>
                </c:pt>
                <c:pt idx="22">
                  <c:v>-2.0931790126323513E-2</c:v>
                </c:pt>
                <c:pt idx="23">
                  <c:v>-1.4677374648177421E-2</c:v>
                </c:pt>
                <c:pt idx="24">
                  <c:v>-2.054086203944494E-2</c:v>
                </c:pt>
                <c:pt idx="25">
                  <c:v>-1.8467956159262222E-2</c:v>
                </c:pt>
                <c:pt idx="26">
                  <c:v>-1.6221310815003553E-2</c:v>
                </c:pt>
                <c:pt idx="27">
                  <c:v>-1.7373741576724777E-2</c:v>
                </c:pt>
                <c:pt idx="28">
                  <c:v>-1.3926247967084304E-2</c:v>
                </c:pt>
                <c:pt idx="29">
                  <c:v>-1.996153547391466E-2</c:v>
                </c:pt>
                <c:pt idx="30">
                  <c:v>-2.0368549992267893E-2</c:v>
                </c:pt>
                <c:pt idx="31">
                  <c:v>-1.3721177111740479E-2</c:v>
                </c:pt>
                <c:pt idx="32">
                  <c:v>-1.5899082547837118E-2</c:v>
                </c:pt>
                <c:pt idx="33">
                  <c:v>-1.5360610642415784E-2</c:v>
                </c:pt>
                <c:pt idx="34">
                  <c:v>-1.9224540095357234E-2</c:v>
                </c:pt>
                <c:pt idx="35">
                  <c:v>-2.0520715744006601E-2</c:v>
                </c:pt>
                <c:pt idx="36">
                  <c:v>-1.9715062270508898E-2</c:v>
                </c:pt>
                <c:pt idx="37">
                  <c:v>-2.4779098425434354E-2</c:v>
                </c:pt>
                <c:pt idx="38">
                  <c:v>-2.0198829729452639E-2</c:v>
                </c:pt>
                <c:pt idx="39">
                  <c:v>-1.9729816933939937E-2</c:v>
                </c:pt>
                <c:pt idx="40">
                  <c:v>-2.2834774466353513E-2</c:v>
                </c:pt>
                <c:pt idx="41">
                  <c:v>-1.2771581098135698E-2</c:v>
                </c:pt>
                <c:pt idx="42">
                  <c:v>-1.455102181332335E-2</c:v>
                </c:pt>
                <c:pt idx="43">
                  <c:v>-1.6914012075800677E-2</c:v>
                </c:pt>
                <c:pt idx="44">
                  <c:v>-2.0841996194862489E-2</c:v>
                </c:pt>
                <c:pt idx="45">
                  <c:v>-2.5214911042658938E-2</c:v>
                </c:pt>
                <c:pt idx="46">
                  <c:v>-1.5824784385411128E-2</c:v>
                </c:pt>
                <c:pt idx="47">
                  <c:v>-2.3361761480082954E-2</c:v>
                </c:pt>
                <c:pt idx="48">
                  <c:v>-2.3411285878333743E-2</c:v>
                </c:pt>
                <c:pt idx="49">
                  <c:v>-2.676944425522132E-2</c:v>
                </c:pt>
                <c:pt idx="50">
                  <c:v>-2.1923852162622826E-2</c:v>
                </c:pt>
                <c:pt idx="51">
                  <c:v>-2.5663194250856058E-2</c:v>
                </c:pt>
                <c:pt idx="52">
                  <c:v>-3.3791841737694561E-2</c:v>
                </c:pt>
                <c:pt idx="53">
                  <c:v>-2.6148155817529828E-2</c:v>
                </c:pt>
                <c:pt idx="54">
                  <c:v>-2.3791325654395346E-2</c:v>
                </c:pt>
                <c:pt idx="55">
                  <c:v>-2.6570649202624308E-2</c:v>
                </c:pt>
                <c:pt idx="56">
                  <c:v>-2.6260047943765352E-2</c:v>
                </c:pt>
                <c:pt idx="57">
                  <c:v>-2.6907423910227601E-2</c:v>
                </c:pt>
                <c:pt idx="58">
                  <c:v>-3.3394849940642013E-2</c:v>
                </c:pt>
                <c:pt idx="59">
                  <c:v>-2.5655686401224287E-2</c:v>
                </c:pt>
                <c:pt idx="60">
                  <c:v>-2.9199665087859872E-2</c:v>
                </c:pt>
                <c:pt idx="61">
                  <c:v>-2.1776002408190331E-2</c:v>
                </c:pt>
                <c:pt idx="62">
                  <c:v>-1.9675288051133055E-2</c:v>
                </c:pt>
                <c:pt idx="63">
                  <c:v>-2.4843440366876912E-2</c:v>
                </c:pt>
                <c:pt idx="64">
                  <c:v>-2.3087093829819771E-2</c:v>
                </c:pt>
                <c:pt idx="65">
                  <c:v>-2.8496613219655798E-2</c:v>
                </c:pt>
                <c:pt idx="66">
                  <c:v>-2.1398716835307807E-2</c:v>
                </c:pt>
                <c:pt idx="67">
                  <c:v>-2.5024111302429208E-2</c:v>
                </c:pt>
                <c:pt idx="68">
                  <c:v>-3.3806643585428064E-2</c:v>
                </c:pt>
                <c:pt idx="69">
                  <c:v>-2.9332465145804232E-2</c:v>
                </c:pt>
                <c:pt idx="70">
                  <c:v>-3.2120394753514692E-2</c:v>
                </c:pt>
                <c:pt idx="71">
                  <c:v>-3.6991625405162099E-2</c:v>
                </c:pt>
                <c:pt idx="72">
                  <c:v>-3.5026114576567791E-2</c:v>
                </c:pt>
                <c:pt idx="73">
                  <c:v>-1.9289162415270233E-2</c:v>
                </c:pt>
                <c:pt idx="74">
                  <c:v>-2.8768018444051302E-2</c:v>
                </c:pt>
                <c:pt idx="75">
                  <c:v>-2.8187114799229862E-2</c:v>
                </c:pt>
                <c:pt idx="76">
                  <c:v>-3.1061439117703316E-2</c:v>
                </c:pt>
                <c:pt idx="77">
                  <c:v>-2.7145810071905307E-2</c:v>
                </c:pt>
                <c:pt idx="78">
                  <c:v>-3.3010535295681764E-2</c:v>
                </c:pt>
                <c:pt idx="79">
                  <c:v>-3.5056634735464165E-2</c:v>
                </c:pt>
                <c:pt idx="80">
                  <c:v>-2.7575853057032251E-2</c:v>
                </c:pt>
                <c:pt idx="81">
                  <c:v>-3.0106299726517571E-2</c:v>
                </c:pt>
                <c:pt idx="82">
                  <c:v>-3.8971105788075944E-2</c:v>
                </c:pt>
                <c:pt idx="83">
                  <c:v>-3.5082839210204497E-2</c:v>
                </c:pt>
                <c:pt idx="84">
                  <c:v>-3.3936033195385518E-2</c:v>
                </c:pt>
                <c:pt idx="85">
                  <c:v>-3.1927477652176295E-2</c:v>
                </c:pt>
                <c:pt idx="86">
                  <c:v>-2.8521567580709783E-2</c:v>
                </c:pt>
                <c:pt idx="87">
                  <c:v>-1.9318147340031677E-2</c:v>
                </c:pt>
                <c:pt idx="88">
                  <c:v>-3.3926090473145987E-2</c:v>
                </c:pt>
                <c:pt idx="89">
                  <c:v>-2.6818690666423395E-2</c:v>
                </c:pt>
                <c:pt idx="90">
                  <c:v>-3.4316214325649241E-2</c:v>
                </c:pt>
                <c:pt idx="91">
                  <c:v>-2.9052552628263006E-2</c:v>
                </c:pt>
                <c:pt idx="92">
                  <c:v>-2.9452825562052531E-2</c:v>
                </c:pt>
                <c:pt idx="93">
                  <c:v>-3.4798866798463779E-2</c:v>
                </c:pt>
                <c:pt idx="94">
                  <c:v>-4.2651797012743353E-2</c:v>
                </c:pt>
                <c:pt idx="95">
                  <c:v>-2.8595350554052157E-2</c:v>
                </c:pt>
                <c:pt idx="96">
                  <c:v>-4.0454323193935604E-2</c:v>
                </c:pt>
                <c:pt idx="97">
                  <c:v>-3.3045814390998407E-2</c:v>
                </c:pt>
                <c:pt idx="98">
                  <c:v>-3.9978217534583527E-2</c:v>
                </c:pt>
                <c:pt idx="99">
                  <c:v>-3.51030535151442E-2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3B-4D84-903E-1FDBBF15C7E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00203512"/>
        <c:axId val="600204232"/>
        <c:axId val="446538320"/>
      </c:surface3DChart>
      <c:catAx>
        <c:axId val="600203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0204232"/>
        <c:crosses val="autoZero"/>
        <c:auto val="1"/>
        <c:lblAlgn val="ctr"/>
        <c:lblOffset val="100"/>
        <c:noMultiLvlLbl val="0"/>
      </c:catAx>
      <c:valAx>
        <c:axId val="6002042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0203512"/>
        <c:crosses val="autoZero"/>
        <c:crossBetween val="midCat"/>
      </c:valAx>
      <c:serAx>
        <c:axId val="446538320"/>
        <c:scaling>
          <c:orientation val="minMax"/>
        </c:scaling>
        <c:delete val="0"/>
        <c:axPos val="b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0204232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Non-additivity Historical</a:t>
            </a:r>
            <a:r>
              <a:rPr lang="it-IT" baseline="0"/>
              <a:t> Var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120"/>
      <c:depthPercent val="2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Sheet1!$AQ$3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Sheet1!$AP$4:$AP$103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Sheet1!$AQ$4:$AQ$103</c:f>
              <c:numCache>
                <c:formatCode>General</c:formatCode>
                <c:ptCount val="100"/>
                <c:pt idx="0">
                  <c:v>-2.6878076426855538E-2</c:v>
                </c:pt>
                <c:pt idx="1">
                  <c:v>-3.8011340213359668E-2</c:v>
                </c:pt>
                <c:pt idx="2">
                  <c:v>-4.6554193981033151E-2</c:v>
                </c:pt>
                <c:pt idx="3">
                  <c:v>-5.3756152853711076E-2</c:v>
                </c:pt>
                <c:pt idx="4">
                  <c:v>-6.0101205994883611E-2</c:v>
                </c:pt>
                <c:pt idx="5">
                  <c:v>-6.5837572513324949E-2</c:v>
                </c:pt>
                <c:pt idx="6">
                  <c:v>-7.1112705945247295E-2</c:v>
                </c:pt>
                <c:pt idx="7">
                  <c:v>-7.6022680426719336E-2</c:v>
                </c:pt>
                <c:pt idx="8">
                  <c:v>-8.0634229280566544E-2</c:v>
                </c:pt>
                <c:pt idx="9">
                  <c:v>-8.4995940632943606E-2</c:v>
                </c:pt>
                <c:pt idx="10">
                  <c:v>-8.9144494594376095E-2</c:v>
                </c:pt>
                <c:pt idx="11">
                  <c:v>-9.3108387962066302E-2</c:v>
                </c:pt>
                <c:pt idx="12">
                  <c:v>-9.6910282742867532E-2</c:v>
                </c:pt>
                <c:pt idx="13">
                  <c:v>-0.10056855320481856</c:v>
                </c:pt>
                <c:pt idx="14">
                  <c:v>-0.10409834237930166</c:v>
                </c:pt>
                <c:pt idx="15">
                  <c:v>-0.10751230570742215</c:v>
                </c:pt>
                <c:pt idx="16">
                  <c:v>-0.11082114812134941</c:v>
                </c:pt>
                <c:pt idx="17">
                  <c:v>-0.114034020640079</c:v>
                </c:pt>
                <c:pt idx="18">
                  <c:v>-0.11715881894142605</c:v>
                </c:pt>
                <c:pt idx="19">
                  <c:v>-0.12020241198976722</c:v>
                </c:pt>
                <c:pt idx="20">
                  <c:v>-0.12317081976087357</c:v>
                </c:pt>
                <c:pt idx="21">
                  <c:v>-0.12606935326626179</c:v>
                </c:pt>
                <c:pt idx="22">
                  <c:v>-0.12890272621392224</c:v>
                </c:pt>
                <c:pt idx="23">
                  <c:v>-0.1316751450266499</c:v>
                </c:pt>
                <c:pt idx="24">
                  <c:v>-0.13439038213427767</c:v>
                </c:pt>
                <c:pt idx="25">
                  <c:v>-0.13705183618837463</c:v>
                </c:pt>
                <c:pt idx="26">
                  <c:v>-0.13966258194309933</c:v>
                </c:pt>
                <c:pt idx="27">
                  <c:v>-0.14222541189049459</c:v>
                </c:pt>
                <c:pt idx="28">
                  <c:v>-0.1447428712573739</c:v>
                </c:pt>
                <c:pt idx="29">
                  <c:v>-0.14721728761336639</c:v>
                </c:pt>
                <c:pt idx="30">
                  <c:v>-0.1496507960708679</c:v>
                </c:pt>
                <c:pt idx="31">
                  <c:v>-0.15204536085343867</c:v>
                </c:pt>
                <c:pt idx="32">
                  <c:v>-0.15440279385250866</c:v>
                </c:pt>
                <c:pt idx="33">
                  <c:v>-0.15672477067097002</c:v>
                </c:pt>
                <c:pt idx="34">
                  <c:v>-0.15901284455752634</c:v>
                </c:pt>
                <c:pt idx="35">
                  <c:v>-0.16126845856113309</c:v>
                </c:pt>
                <c:pt idx="36">
                  <c:v>-0.16349295617576859</c:v>
                </c:pt>
                <c:pt idx="37">
                  <c:v>-0.16568759069857858</c:v>
                </c:pt>
                <c:pt idx="38">
                  <c:v>-0.16785353348651189</c:v>
                </c:pt>
                <c:pt idx="39">
                  <c:v>-0.16999188126588721</c:v>
                </c:pt>
                <c:pt idx="40">
                  <c:v>-0.17210366262437121</c:v>
                </c:pt>
                <c:pt idx="41">
                  <c:v>-0.17418984379443958</c:v>
                </c:pt>
                <c:pt idx="42">
                  <c:v>-0.17625133382059599</c:v>
                </c:pt>
                <c:pt idx="43">
                  <c:v>-0.17828898918875219</c:v>
                </c:pt>
                <c:pt idx="44">
                  <c:v>-0.18030361798465083</c:v>
                </c:pt>
                <c:pt idx="45">
                  <c:v>-0.18229598363859473</c:v>
                </c:pt>
                <c:pt idx="46">
                  <c:v>-0.18426680830570297</c:v>
                </c:pt>
                <c:pt idx="47">
                  <c:v>-0.1862167759241326</c:v>
                </c:pt>
                <c:pt idx="48">
                  <c:v>-0.18814653498798867</c:v>
                </c:pt>
                <c:pt idx="49">
                  <c:v>-0.19005670106679845</c:v>
                </c:pt>
                <c:pt idx="50">
                  <c:v>-0.19194785909929357</c:v>
                </c:pt>
                <c:pt idx="51">
                  <c:v>-0.19382056548573506</c:v>
                </c:pt>
                <c:pt idx="52">
                  <c:v>-0.19567534999998848</c:v>
                </c:pt>
                <c:pt idx="53">
                  <c:v>-0.19751271753997479</c:v>
                </c:pt>
                <c:pt idx="54">
                  <c:v>-0.19933314973288757</c:v>
                </c:pt>
                <c:pt idx="55">
                  <c:v>-0.20113710640963711</c:v>
                </c:pt>
                <c:pt idx="56">
                  <c:v>-0.20292502696131287</c:v>
                </c:pt>
                <c:pt idx="57">
                  <c:v>-0.20469733158900105</c:v>
                </c:pt>
                <c:pt idx="58">
                  <c:v>-0.20645442245702872</c:v>
                </c:pt>
                <c:pt idx="59">
                  <c:v>-0.20819668475860331</c:v>
                </c:pt>
                <c:pt idx="60">
                  <c:v>-0.20992448770184269</c:v>
                </c:pt>
                <c:pt idx="61">
                  <c:v>-0.21163818542335167</c:v>
                </c:pt>
                <c:pt idx="62">
                  <c:v>-0.21333811783574186</c:v>
                </c:pt>
                <c:pt idx="63">
                  <c:v>-0.2150246114148443</c:v>
                </c:pt>
                <c:pt idx="64">
                  <c:v>-0.21669797993177653</c:v>
                </c:pt>
                <c:pt idx="65">
                  <c:v>-0.21835852513451481</c:v>
                </c:pt>
                <c:pt idx="66">
                  <c:v>-0.22000653738316145</c:v>
                </c:pt>
                <c:pt idx="67">
                  <c:v>-0.22164229624269882</c:v>
                </c:pt>
                <c:pt idx="68">
                  <c:v>-0.22326607103665397</c:v>
                </c:pt>
                <c:pt idx="69">
                  <c:v>-0.22487812136477869</c:v>
                </c:pt>
                <c:pt idx="70">
                  <c:v>-0.22647869758756545</c:v>
                </c:pt>
                <c:pt idx="71">
                  <c:v>-0.22806804128015801</c:v>
                </c:pt>
                <c:pt idx="72">
                  <c:v>-0.22964638565798434</c:v>
                </c:pt>
                <c:pt idx="73">
                  <c:v>-0.23121395597624206</c:v>
                </c:pt>
                <c:pt idx="74">
                  <c:v>-0.23277096990516566</c:v>
                </c:pt>
                <c:pt idx="75">
                  <c:v>-0.23431763788285209</c:v>
                </c:pt>
                <c:pt idx="76">
                  <c:v>-0.23585416344726085</c:v>
                </c:pt>
                <c:pt idx="77">
                  <c:v>-0.23738074354887173</c:v>
                </c:pt>
                <c:pt idx="78">
                  <c:v>-0.23889756884535895</c:v>
                </c:pt>
                <c:pt idx="79">
                  <c:v>-0.24040482397953444</c:v>
                </c:pt>
                <c:pt idx="80">
                  <c:v>-0.24190268784169977</c:v>
                </c:pt>
                <c:pt idx="81">
                  <c:v>-0.24339133381746914</c:v>
                </c:pt>
                <c:pt idx="82">
                  <c:v>-0.24487093002203142</c:v>
                </c:pt>
                <c:pt idx="83">
                  <c:v>-0.24634163952174715</c:v>
                </c:pt>
                <c:pt idx="84">
                  <c:v>-0.24780362054391047</c:v>
                </c:pt>
                <c:pt idx="85">
                  <c:v>-0.24925702667543459</c:v>
                </c:pt>
                <c:pt idx="86">
                  <c:v>-0.25070200705117252</c:v>
                </c:pt>
                <c:pt idx="87">
                  <c:v>-0.25213870653252357</c:v>
                </c:pt>
                <c:pt idx="88">
                  <c:v>-0.25356726587693046</c:v>
                </c:pt>
                <c:pt idx="89">
                  <c:v>-0.25498782189883074</c:v>
                </c:pt>
                <c:pt idx="90">
                  <c:v>-0.25640050762258204</c:v>
                </c:pt>
                <c:pt idx="91">
                  <c:v>-0.25780545242784447</c:v>
                </c:pt>
                <c:pt idx="92">
                  <c:v>-0.25920278218787207</c:v>
                </c:pt>
                <c:pt idx="93">
                  <c:v>-0.26059261940112843</c:v>
                </c:pt>
                <c:pt idx="94">
                  <c:v>-0.26197508331661845</c:v>
                </c:pt>
                <c:pt idx="95">
                  <c:v>-0.2633502900532998</c:v>
                </c:pt>
                <c:pt idx="96">
                  <c:v>-0.26471835271390809</c:v>
                </c:pt>
                <c:pt idx="97">
                  <c:v>-0.26607938149351762</c:v>
                </c:pt>
                <c:pt idx="98">
                  <c:v>-0.26743348378312848</c:v>
                </c:pt>
                <c:pt idx="99">
                  <c:v>-0.26878076426855535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3-4D67-A37B-6394A8F62099}"/>
            </c:ext>
          </c:extLst>
        </c:ser>
        <c:ser>
          <c:idx val="1"/>
          <c:order val="1"/>
          <c:tx>
            <c:strRef>
              <c:f>Sheet1!$AR$3</c:f>
              <c:strCache>
                <c:ptCount val="1"/>
                <c:pt idx="0">
                  <c:v>0,91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Sheet1!$AP$4:$AP$103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Sheet1!$AR$4:$AR$103</c:f>
              <c:numCache>
                <c:formatCode>General</c:formatCode>
                <c:ptCount val="100"/>
                <c:pt idx="0">
                  <c:v>-2.8119755173411892E-2</c:v>
                </c:pt>
                <c:pt idx="1">
                  <c:v>-3.9767339136850113E-2</c:v>
                </c:pt>
                <c:pt idx="2">
                  <c:v>-4.8704844656747182E-2</c:v>
                </c:pt>
                <c:pt idx="3">
                  <c:v>-5.6239510346823784E-2</c:v>
                </c:pt>
                <c:pt idx="4">
                  <c:v>-6.2877684078400331E-2</c:v>
                </c:pt>
                <c:pt idx="5">
                  <c:v>-6.8879051866846619E-2</c:v>
                </c:pt>
                <c:pt idx="6">
                  <c:v>-7.4397879116869792E-2</c:v>
                </c:pt>
                <c:pt idx="7">
                  <c:v>-7.9534678273700227E-2</c:v>
                </c:pt>
                <c:pt idx="8">
                  <c:v>-8.4359265520235649E-2</c:v>
                </c:pt>
                <c:pt idx="9">
                  <c:v>-8.8922473594284623E-2</c:v>
                </c:pt>
                <c:pt idx="10">
                  <c:v>-9.3262677106862341E-2</c:v>
                </c:pt>
                <c:pt idx="11">
                  <c:v>-9.7409689313494363E-2</c:v>
                </c:pt>
                <c:pt idx="12">
                  <c:v>-0.10138721913123036</c:v>
                </c:pt>
                <c:pt idx="13">
                  <c:v>-0.10521448965887137</c:v>
                </c:pt>
                <c:pt idx="14">
                  <c:v>-0.10890734348605413</c:v>
                </c:pt>
                <c:pt idx="15">
                  <c:v>-0.11247902069364757</c:v>
                </c:pt>
                <c:pt idx="16">
                  <c:v>-0.11594072074648587</c:v>
                </c:pt>
                <c:pt idx="17">
                  <c:v>-0.1193020174105503</c:v>
                </c:pt>
                <c:pt idx="18">
                  <c:v>-0.12257117111800747</c:v>
                </c:pt>
                <c:pt idx="19">
                  <c:v>-0.12575536815680066</c:v>
                </c:pt>
                <c:pt idx="20">
                  <c:v>-0.12886090660578597</c:v>
                </c:pt>
                <c:pt idx="21">
                  <c:v>-0.13189334282774756</c:v>
                </c:pt>
                <c:pt idx="22">
                  <c:v>-0.13485760828848464</c:v>
                </c:pt>
                <c:pt idx="23">
                  <c:v>-0.13775810373369324</c:v>
                </c:pt>
                <c:pt idx="24">
                  <c:v>-0.14059877586705949</c:v>
                </c:pt>
                <c:pt idx="25">
                  <c:v>-0.14338318034667896</c:v>
                </c:pt>
                <c:pt idx="26">
                  <c:v>-0.14611453397024149</c:v>
                </c:pt>
                <c:pt idx="27">
                  <c:v>-0.14879575823373958</c:v>
                </c:pt>
                <c:pt idx="28">
                  <c:v>-0.15142951594509602</c:v>
                </c:pt>
                <c:pt idx="29">
                  <c:v>-0.15401824220000293</c:v>
                </c:pt>
                <c:pt idx="30">
                  <c:v>-0.15656417074602785</c:v>
                </c:pt>
                <c:pt idx="31">
                  <c:v>-0.15906935654740045</c:v>
                </c:pt>
                <c:pt idx="32">
                  <c:v>-0.16153569519897631</c:v>
                </c:pt>
                <c:pt idx="33">
                  <c:v>-0.16396493971099191</c:v>
                </c:pt>
                <c:pt idx="34">
                  <c:v>-0.1663587150871329</c:v>
                </c:pt>
                <c:pt idx="35">
                  <c:v>-0.1687185310404713</c:v>
                </c:pt>
                <c:pt idx="36">
                  <c:v>-0.17104579312998935</c:v>
                </c:pt>
                <c:pt idx="37">
                  <c:v>-0.17334181255103948</c:v>
                </c:pt>
                <c:pt idx="38">
                  <c:v>-0.17560781477341031</c:v>
                </c:pt>
                <c:pt idx="39">
                  <c:v>-0.17784494718856925</c:v>
                </c:pt>
                <c:pt idx="40">
                  <c:v>-0.18005428590155131</c:v>
                </c:pt>
                <c:pt idx="41">
                  <c:v>-0.18223684178159549</c:v>
                </c:pt>
                <c:pt idx="42">
                  <c:v>-0.18439356586807165</c:v>
                </c:pt>
                <c:pt idx="43">
                  <c:v>-0.18652535421372468</c:v>
                </c:pt>
                <c:pt idx="44">
                  <c:v>-0.18863305223520116</c:v>
                </c:pt>
                <c:pt idx="45">
                  <c:v>-0.19071745863077327</c:v>
                </c:pt>
                <c:pt idx="46">
                  <c:v>-0.1927793289167522</c:v>
                </c:pt>
                <c:pt idx="47">
                  <c:v>-0.19481937862698873</c:v>
                </c:pt>
                <c:pt idx="48">
                  <c:v>-0.19683828621388316</c:v>
                </c:pt>
                <c:pt idx="49">
                  <c:v>-0.19883669568425055</c:v>
                </c:pt>
                <c:pt idx="50">
                  <c:v>-0.20081521899906846</c:v>
                </c:pt>
                <c:pt idx="51">
                  <c:v>-0.20277443826246072</c:v>
                </c:pt>
                <c:pt idx="52">
                  <c:v>-0.20471490772210288</c:v>
                </c:pt>
                <c:pt idx="53">
                  <c:v>-0.20663715560053997</c:v>
                </c:pt>
                <c:pt idx="54">
                  <c:v>-0.20854168577455767</c:v>
                </c:pt>
                <c:pt idx="55">
                  <c:v>-0.21042897931774274</c:v>
                </c:pt>
                <c:pt idx="56">
                  <c:v>-0.21229949591960784</c:v>
                </c:pt>
                <c:pt idx="57">
                  <c:v>-0.21415367519314776</c:v>
                </c:pt>
                <c:pt idx="58">
                  <c:v>-0.21599193788135895</c:v>
                </c:pt>
                <c:pt idx="59">
                  <c:v>-0.21781468697210826</c:v>
                </c:pt>
                <c:pt idx="60">
                  <c:v>-0.21962230872971455</c:v>
                </c:pt>
                <c:pt idx="61">
                  <c:v>-0.2214151736507296</c:v>
                </c:pt>
                <c:pt idx="62">
                  <c:v>-0.22319363735060938</c:v>
                </c:pt>
                <c:pt idx="63">
                  <c:v>-0.22495804138729514</c:v>
                </c:pt>
                <c:pt idx="64">
                  <c:v>-0.22670871402709825</c:v>
                </c:pt>
                <c:pt idx="65">
                  <c:v>-0.22844597095775887</c:v>
                </c:pt>
                <c:pt idx="66">
                  <c:v>-0.23017011595306158</c:v>
                </c:pt>
                <c:pt idx="67">
                  <c:v>-0.23188144149297174</c:v>
                </c:pt>
                <c:pt idx="68">
                  <c:v>-0.23358022934287725</c:v>
                </c:pt>
                <c:pt idx="69">
                  <c:v>-0.23526675109518513</c:v>
                </c:pt>
                <c:pt idx="70">
                  <c:v>-0.23694126867621923</c:v>
                </c:pt>
                <c:pt idx="71">
                  <c:v>-0.2386040348211006</c:v>
                </c:pt>
                <c:pt idx="72">
                  <c:v>-0.24025529351904307</c:v>
                </c:pt>
                <c:pt idx="73">
                  <c:v>-0.24189528043129371</c:v>
                </c:pt>
                <c:pt idx="74">
                  <c:v>-0.24352422328373591</c:v>
                </c:pt>
                <c:pt idx="75">
                  <c:v>-0.24514234223601494</c:v>
                </c:pt>
                <c:pt idx="76">
                  <c:v>-0.24674985022887463</c:v>
                </c:pt>
                <c:pt idx="77">
                  <c:v>-0.24834695331125922</c:v>
                </c:pt>
                <c:pt idx="78">
                  <c:v>-0.24993385094860066</c:v>
                </c:pt>
                <c:pt idx="79">
                  <c:v>-0.25151073631360132</c:v>
                </c:pt>
                <c:pt idx="80">
                  <c:v>-0.25307779656070706</c:v>
                </c:pt>
                <c:pt idx="81">
                  <c:v>-0.25463521308537673</c:v>
                </c:pt>
                <c:pt idx="82">
                  <c:v>-0.25618316176916822</c:v>
                </c:pt>
                <c:pt idx="83">
                  <c:v>-0.25772181321157195</c:v>
                </c:pt>
                <c:pt idx="84">
                  <c:v>-0.25925133294946257</c:v>
                </c:pt>
                <c:pt idx="85">
                  <c:v>-0.26077188166496368</c:v>
                </c:pt>
                <c:pt idx="86">
                  <c:v>-0.26228361538246792</c:v>
                </c:pt>
                <c:pt idx="87">
                  <c:v>-0.26378668565549512</c:v>
                </c:pt>
                <c:pt idx="88">
                  <c:v>-0.26528123974401896</c:v>
                </c:pt>
                <c:pt idx="89">
                  <c:v>-0.26676742078285387</c:v>
                </c:pt>
                <c:pt idx="90">
                  <c:v>-0.26824536794164566</c:v>
                </c:pt>
                <c:pt idx="91">
                  <c:v>-0.26971521657696929</c:v>
                </c:pt>
                <c:pt idx="92">
                  <c:v>-0.2711770983770091</c:v>
                </c:pt>
                <c:pt idx="93">
                  <c:v>-0.27263114149925483</c:v>
                </c:pt>
                <c:pt idx="94">
                  <c:v>-0.27407747070162358</c:v>
                </c:pt>
                <c:pt idx="95">
                  <c:v>-0.27551620746738648</c:v>
                </c:pt>
                <c:pt idx="96">
                  <c:v>-0.27694747012425402</c:v>
                </c:pt>
                <c:pt idx="97">
                  <c:v>-0.27837137395795075</c:v>
                </c:pt>
                <c:pt idx="98">
                  <c:v>-0.27978803132058705</c:v>
                </c:pt>
                <c:pt idx="99">
                  <c:v>-0.28119755173411898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E3-4D67-A37B-6394A8F62099}"/>
            </c:ext>
          </c:extLst>
        </c:ser>
        <c:ser>
          <c:idx val="2"/>
          <c:order val="2"/>
          <c:tx>
            <c:strRef>
              <c:f>Sheet1!$AS$3</c:f>
              <c:strCache>
                <c:ptCount val="1"/>
                <c:pt idx="0">
                  <c:v>0,92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Sheet1!$AP$4:$AP$103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Sheet1!$AS$4:$AS$103</c:f>
              <c:numCache>
                <c:formatCode>General</c:formatCode>
                <c:ptCount val="100"/>
                <c:pt idx="0">
                  <c:v>-2.9468670476130873E-2</c:v>
                </c:pt>
                <c:pt idx="1">
                  <c:v>-4.1674993452447878E-2</c:v>
                </c:pt>
                <c:pt idx="2">
                  <c:v>-5.1041234496163601E-2</c:v>
                </c:pt>
                <c:pt idx="3">
                  <c:v>-5.8937340952261746E-2</c:v>
                </c:pt>
                <c:pt idx="4">
                  <c:v>-6.5893950391169687E-2</c:v>
                </c:pt>
                <c:pt idx="5">
                  <c:v>-7.2183206064740019E-2</c:v>
                </c:pt>
                <c:pt idx="6">
                  <c:v>-7.7966773547553658E-2</c:v>
                </c:pt>
                <c:pt idx="7">
                  <c:v>-8.3349986904895756E-2</c:v>
                </c:pt>
                <c:pt idx="8">
                  <c:v>-8.8406011428392606E-2</c:v>
                </c:pt>
                <c:pt idx="9">
                  <c:v>-9.3188118321532148E-2</c:v>
                </c:pt>
                <c:pt idx="10">
                  <c:v>-9.7736523039949869E-2</c:v>
                </c:pt>
                <c:pt idx="11">
                  <c:v>-0.1020824689923272</c:v>
                </c:pt>
                <c:pt idx="12">
                  <c:v>-0.10625080242144164</c:v>
                </c:pt>
                <c:pt idx="13">
                  <c:v>-0.11026166856542224</c:v>
                </c:pt>
                <c:pt idx="14">
                  <c:v>-0.11413166998892904</c:v>
                </c:pt>
                <c:pt idx="15">
                  <c:v>-0.11787468190452349</c:v>
                </c:pt>
                <c:pt idx="16">
                  <c:v>-0.12150244101960822</c:v>
                </c:pt>
                <c:pt idx="17">
                  <c:v>-0.12502498035734361</c:v>
                </c:pt>
                <c:pt idx="18">
                  <c:v>-0.12845095660595507</c:v>
                </c:pt>
                <c:pt idx="19">
                  <c:v>-0.13178790078233937</c:v>
                </c:pt>
                <c:pt idx="20">
                  <c:v>-0.13504241308657999</c:v>
                </c:pt>
                <c:pt idx="21">
                  <c:v>-0.13822031642228766</c:v>
                </c:pt>
                <c:pt idx="22">
                  <c:v>-0.1413267788195432</c:v>
                </c:pt>
                <c:pt idx="23">
                  <c:v>-0.14436641212948004</c:v>
                </c:pt>
                <c:pt idx="24">
                  <c:v>-0.14734335238065444</c:v>
                </c:pt>
                <c:pt idx="25">
                  <c:v>-0.1502613257974269</c:v>
                </c:pt>
                <c:pt idx="26">
                  <c:v>-0.1531237034884908</c:v>
                </c:pt>
                <c:pt idx="27">
                  <c:v>-0.15593354709510732</c:v>
                </c:pt>
                <c:pt idx="28">
                  <c:v>-0.15869364716110351</c:v>
                </c:pt>
                <c:pt idx="29">
                  <c:v>-0.16140655559463385</c:v>
                </c:pt>
                <c:pt idx="30">
                  <c:v>-0.16407461329698259</c:v>
                </c:pt>
                <c:pt idx="31">
                  <c:v>-0.16669997380979151</c:v>
                </c:pt>
                <c:pt idx="32">
                  <c:v>-0.16928462366031932</c:v>
                </c:pt>
                <c:pt idx="33">
                  <c:v>-0.17183039995136706</c:v>
                </c:pt>
                <c:pt idx="34">
                  <c:v>-0.17433900563866228</c:v>
                </c:pt>
                <c:pt idx="35">
                  <c:v>-0.17681202285678521</c:v>
                </c:pt>
                <c:pt idx="36">
                  <c:v>-0.17925092458991415</c:v>
                </c:pt>
                <c:pt idx="37">
                  <c:v>-0.18165708493193955</c:v>
                </c:pt>
                <c:pt idx="38">
                  <c:v>-0.1840317881388992</c:v>
                </c:pt>
                <c:pt idx="39">
                  <c:v>-0.1863762366430643</c:v>
                </c:pt>
                <c:pt idx="40">
                  <c:v>-0.18869155817063532</c:v>
                </c:pt>
                <c:pt idx="41">
                  <c:v>-0.19097881208263151</c:v>
                </c:pt>
                <c:pt idx="42">
                  <c:v>-0.19323899504014153</c:v>
                </c:pt>
                <c:pt idx="43">
                  <c:v>-0.19547304607989974</c:v>
                </c:pt>
                <c:pt idx="44">
                  <c:v>-0.19768185117350923</c:v>
                </c:pt>
                <c:pt idx="45">
                  <c:v>-0.19986624733310082</c:v>
                </c:pt>
                <c:pt idx="46">
                  <c:v>-0.20202702631738906</c:v>
                </c:pt>
                <c:pt idx="47">
                  <c:v>-0.2041649379846544</c:v>
                </c:pt>
                <c:pt idx="48">
                  <c:v>-0.20628069333291599</c:v>
                </c:pt>
                <c:pt idx="49">
                  <c:v>-0.20837496726223947</c:v>
                </c:pt>
                <c:pt idx="50">
                  <c:v>-0.21044840108960228</c:v>
                </c:pt>
                <c:pt idx="51">
                  <c:v>-0.21250160484288327</c:v>
                </c:pt>
                <c:pt idx="52">
                  <c:v>-0.21453515935722911</c:v>
                </c:pt>
                <c:pt idx="53">
                  <c:v>-0.21654961819422003</c:v>
                </c:pt>
                <c:pt idx="54">
                  <c:v>-0.21854550940180228</c:v>
                </c:pt>
                <c:pt idx="55">
                  <c:v>-0.22052333713084449</c:v>
                </c:pt>
                <c:pt idx="56">
                  <c:v>-0.22248358312233929</c:v>
                </c:pt>
                <c:pt idx="57">
                  <c:v>-0.22442670807768317</c:v>
                </c:pt>
                <c:pt idx="58">
                  <c:v>-0.22635315292307379</c:v>
                </c:pt>
                <c:pt idx="59">
                  <c:v>-0.22826333997785808</c:v>
                </c:pt>
                <c:pt idx="60">
                  <c:v>-0.23015767403560106</c:v>
                </c:pt>
                <c:pt idx="61">
                  <c:v>-0.23203654336571378</c:v>
                </c:pt>
                <c:pt idx="62">
                  <c:v>-0.23390032064266075</c:v>
                </c:pt>
                <c:pt idx="63">
                  <c:v>-0.23574936380904699</c:v>
                </c:pt>
                <c:pt idx="64">
                  <c:v>-0.23758401687824271</c:v>
                </c:pt>
                <c:pt idx="65">
                  <c:v>-0.23940461068164909</c:v>
                </c:pt>
                <c:pt idx="66">
                  <c:v>-0.24121146356519352</c:v>
                </c:pt>
                <c:pt idx="67">
                  <c:v>-0.24300488203921644</c:v>
                </c:pt>
                <c:pt idx="68">
                  <c:v>-0.24478516138549811</c:v>
                </c:pt>
                <c:pt idx="69">
                  <c:v>-0.24655258622483578</c:v>
                </c:pt>
                <c:pt idx="70">
                  <c:v>-0.24830743104825892</c:v>
                </c:pt>
                <c:pt idx="71">
                  <c:v>-0.25004996071468721</c:v>
                </c:pt>
                <c:pt idx="72">
                  <c:v>-0.25178043091759028</c:v>
                </c:pt>
                <c:pt idx="73">
                  <c:v>-0.25349908862297366</c:v>
                </c:pt>
                <c:pt idx="74">
                  <c:v>-0.25520617248081801</c:v>
                </c:pt>
                <c:pt idx="75">
                  <c:v>-0.25690191321191014</c:v>
                </c:pt>
                <c:pt idx="76">
                  <c:v>-0.25858653397184184</c:v>
                </c:pt>
                <c:pt idx="77">
                  <c:v>-0.26026025069380343</c:v>
                </c:pt>
                <c:pt idx="78">
                  <c:v>-0.26192327241165902</c:v>
                </c:pt>
                <c:pt idx="79">
                  <c:v>-0.26357580156467875</c:v>
                </c:pt>
                <c:pt idx="80">
                  <c:v>-0.26521803428517787</c:v>
                </c:pt>
                <c:pt idx="81">
                  <c:v>-0.26685016067022427</c:v>
                </c:pt>
                <c:pt idx="82">
                  <c:v>-0.26847236503848082</c:v>
                </c:pt>
                <c:pt idx="83">
                  <c:v>-0.27008482617315999</c:v>
                </c:pt>
                <c:pt idx="84">
                  <c:v>-0.27168771755200283</c:v>
                </c:pt>
                <c:pt idx="85">
                  <c:v>-0.27328120756511542</c:v>
                </c:pt>
                <c:pt idx="86">
                  <c:v>-0.27486545972143983</c:v>
                </c:pt>
                <c:pt idx="87">
                  <c:v>-0.27644063284457532</c:v>
                </c:pt>
                <c:pt idx="88">
                  <c:v>-0.27800688125861206</c:v>
                </c:pt>
                <c:pt idx="89">
                  <c:v>-0.2795643549645962</c:v>
                </c:pt>
                <c:pt idx="90">
                  <c:v>-0.28111319980819405</c:v>
                </c:pt>
                <c:pt idx="91">
                  <c:v>-0.28265355763908639</c:v>
                </c:pt>
                <c:pt idx="92">
                  <c:v>-0.28418556646258997</c:v>
                </c:pt>
                <c:pt idx="93">
                  <c:v>-0.28570936058395768</c:v>
                </c:pt>
                <c:pt idx="94">
                  <c:v>-0.28722507074579118</c:v>
                </c:pt>
                <c:pt idx="95">
                  <c:v>-0.28873282425896007</c:v>
                </c:pt>
                <c:pt idx="96">
                  <c:v>-0.29023274512740005</c:v>
                </c:pt>
                <c:pt idx="97">
                  <c:v>-0.29172495416713518</c:v>
                </c:pt>
                <c:pt idx="98">
                  <c:v>-0.29320956911984974</c:v>
                </c:pt>
                <c:pt idx="99">
                  <c:v>-0.29468670476130887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E3-4D67-A37B-6394A8F62099}"/>
            </c:ext>
          </c:extLst>
        </c:ser>
        <c:ser>
          <c:idx val="3"/>
          <c:order val="3"/>
          <c:tx>
            <c:strRef>
              <c:f>Sheet1!$AT$3</c:f>
              <c:strCache>
                <c:ptCount val="1"/>
                <c:pt idx="0">
                  <c:v>0,93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Sheet1!$AP$4:$AP$103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Sheet1!$AT$4:$AT$103</c:f>
              <c:numCache>
                <c:formatCode>General</c:formatCode>
                <c:ptCount val="100"/>
                <c:pt idx="0">
                  <c:v>-3.095187514254337E-2</c:v>
                </c:pt>
                <c:pt idx="1">
                  <c:v>-4.377256160746347E-2</c:v>
                </c:pt>
                <c:pt idx="2">
                  <c:v>-5.3610220336413328E-2</c:v>
                </c:pt>
                <c:pt idx="3">
                  <c:v>-6.1903750285086739E-2</c:v>
                </c:pt>
                <c:pt idx="4">
                  <c:v>-6.9210496849812952E-2</c:v>
                </c:pt>
                <c:pt idx="5">
                  <c:v>-7.5816300681565585E-2</c:v>
                </c:pt>
                <c:pt idx="6">
                  <c:v>-8.1890964238291619E-2</c:v>
                </c:pt>
                <c:pt idx="7">
                  <c:v>-8.754512321492694E-2</c:v>
                </c:pt>
                <c:pt idx="8">
                  <c:v>-9.2855625427630095E-2</c:v>
                </c:pt>
                <c:pt idx="9">
                  <c:v>-9.7878423303585871E-2</c:v>
                </c:pt>
                <c:pt idx="10">
                  <c:v>-0.10265575640574437</c:v>
                </c:pt>
                <c:pt idx="11">
                  <c:v>-0.10722044067282666</c:v>
                </c:pt>
                <c:pt idx="12">
                  <c:v>-0.11159857289819936</c:v>
                </c:pt>
                <c:pt idx="13">
                  <c:v>-0.11581131226160213</c:v>
                </c:pt>
                <c:pt idx="14">
                  <c:v>-0.1198760969609618</c:v>
                </c:pt>
                <c:pt idx="15">
                  <c:v>-0.12380750057017348</c:v>
                </c:pt>
                <c:pt idx="16">
                  <c:v>-0.12761785052363595</c:v>
                </c:pt>
                <c:pt idx="17">
                  <c:v>-0.13131768482239048</c:v>
                </c:pt>
                <c:pt idx="18">
                  <c:v>-0.13491609585943515</c:v>
                </c:pt>
                <c:pt idx="19">
                  <c:v>-0.1384209936996259</c:v>
                </c:pt>
                <c:pt idx="20">
                  <c:v>-0.14183931074152695</c:v>
                </c:pt>
                <c:pt idx="21">
                  <c:v>-0.14517716296467242</c:v>
                </c:pt>
                <c:pt idx="22">
                  <c:v>-0.14843997851424884</c:v>
                </c:pt>
                <c:pt idx="23">
                  <c:v>-0.15163260136313117</c:v>
                </c:pt>
                <c:pt idx="24">
                  <c:v>-0.15475937571271681</c:v>
                </c:pt>
                <c:pt idx="25">
                  <c:v>-0.15782421533411611</c:v>
                </c:pt>
                <c:pt idx="26">
                  <c:v>-0.16083066100923982</c:v>
                </c:pt>
                <c:pt idx="27">
                  <c:v>-0.16378192847658324</c:v>
                </c:pt>
                <c:pt idx="28">
                  <c:v>-0.16668094873244582</c:v>
                </c:pt>
                <c:pt idx="29">
                  <c:v>-0.16953040212654424</c:v>
                </c:pt>
                <c:pt idx="30">
                  <c:v>-0.17233274738141741</c:v>
                </c:pt>
                <c:pt idx="31">
                  <c:v>-0.17509024642985388</c:v>
                </c:pt>
                <c:pt idx="32">
                  <c:v>-0.17780498578416348</c:v>
                </c:pt>
                <c:pt idx="33">
                  <c:v>-0.18047889501142839</c:v>
                </c:pt>
                <c:pt idx="34">
                  <c:v>-0.18311376277982433</c:v>
                </c:pt>
                <c:pt idx="35">
                  <c:v>-0.18571125085526019</c:v>
                </c:pt>
                <c:pt idx="36">
                  <c:v>-0.18827290635953164</c:v>
                </c:pt>
                <c:pt idx="37">
                  <c:v>-0.19080017254684167</c:v>
                </c:pt>
                <c:pt idx="38">
                  <c:v>-0.19329439831186046</c:v>
                </c:pt>
                <c:pt idx="39">
                  <c:v>-0.19575684660717174</c:v>
                </c:pt>
                <c:pt idx="40">
                  <c:v>-0.19818870191921473</c:v>
                </c:pt>
                <c:pt idx="41">
                  <c:v>-0.2005910769283194</c:v>
                </c:pt>
                <c:pt idx="42">
                  <c:v>-0.20296501845909942</c:v>
                </c:pt>
                <c:pt idx="43">
                  <c:v>-0.20531151281148874</c:v>
                </c:pt>
                <c:pt idx="44">
                  <c:v>-0.20763149054943886</c:v>
                </c:pt>
                <c:pt idx="45">
                  <c:v>-0.20992583081322158</c:v>
                </c:pt>
                <c:pt idx="46">
                  <c:v>-0.2121953652120161</c:v>
                </c:pt>
                <c:pt idx="47">
                  <c:v>-0.21444088134565331</c:v>
                </c:pt>
                <c:pt idx="48">
                  <c:v>-0.21666312599780346</c:v>
                </c:pt>
                <c:pt idx="49">
                  <c:v>-0.2188628080373175</c:v>
                </c:pt>
                <c:pt idx="50">
                  <c:v>-0.22104060105966805</c:v>
                </c:pt>
                <c:pt idx="51">
                  <c:v>-0.22319714579639871</c:v>
                </c:pt>
                <c:pt idx="52">
                  <c:v>-0.22533305231700584</c:v>
                </c:pt>
                <c:pt idx="53">
                  <c:v>-0.22744890204469681</c:v>
                </c:pt>
                <c:pt idx="54">
                  <c:v>-0.22954524960490386</c:v>
                </c:pt>
                <c:pt idx="55">
                  <c:v>-0.23162262452320426</c:v>
                </c:pt>
                <c:pt idx="56">
                  <c:v>-0.23368153278737469</c:v>
                </c:pt>
                <c:pt idx="57">
                  <c:v>-0.23572245828663929</c:v>
                </c:pt>
                <c:pt idx="58">
                  <c:v>-0.23774586413970689</c:v>
                </c:pt>
                <c:pt idx="59">
                  <c:v>-0.2397521939219236</c:v>
                </c:pt>
                <c:pt idx="60">
                  <c:v>-0.24174187280075243</c:v>
                </c:pt>
                <c:pt idx="61">
                  <c:v>-0.24371530858781676</c:v>
                </c:pt>
                <c:pt idx="62">
                  <c:v>-0.2456728927148748</c:v>
                </c:pt>
                <c:pt idx="63">
                  <c:v>-0.24761500114034696</c:v>
                </c:pt>
                <c:pt idx="64">
                  <c:v>-0.24954199519233955</c:v>
                </c:pt>
                <c:pt idx="65">
                  <c:v>-0.25145422235351944</c:v>
                </c:pt>
                <c:pt idx="66">
                  <c:v>-0.25335201699266729</c:v>
                </c:pt>
                <c:pt idx="67">
                  <c:v>-0.25523570104727189</c:v>
                </c:pt>
                <c:pt idx="68">
                  <c:v>-0.25710558466111144</c:v>
                </c:pt>
                <c:pt idx="69">
                  <c:v>-0.25896196678039729</c:v>
                </c:pt>
                <c:pt idx="70">
                  <c:v>-0.2608051357117247</c:v>
                </c:pt>
                <c:pt idx="71">
                  <c:v>-0.26263536964478096</c:v>
                </c:pt>
                <c:pt idx="72">
                  <c:v>-0.26445293714249096</c:v>
                </c:pt>
                <c:pt idx="73">
                  <c:v>-0.26625809760104935</c:v>
                </c:pt>
                <c:pt idx="74">
                  <c:v>-0.26805110168206647</c:v>
                </c:pt>
                <c:pt idx="75">
                  <c:v>-0.2698321917188703</c:v>
                </c:pt>
                <c:pt idx="76">
                  <c:v>-0.27160160209882533</c:v>
                </c:pt>
                <c:pt idx="77">
                  <c:v>-0.27335955962338021</c:v>
                </c:pt>
                <c:pt idx="78">
                  <c:v>-0.2751062838474031</c:v>
                </c:pt>
                <c:pt idx="79">
                  <c:v>-0.27684198739925181</c:v>
                </c:pt>
                <c:pt idx="80">
                  <c:v>-0.27856687628289034</c:v>
                </c:pt>
                <c:pt idx="81">
                  <c:v>-0.28028115016327204</c:v>
                </c:pt>
                <c:pt idx="82">
                  <c:v>-0.28198500263610893</c:v>
                </c:pt>
                <c:pt idx="83">
                  <c:v>-0.28367862148305389</c:v>
                </c:pt>
                <c:pt idx="84">
                  <c:v>-0.28536218891325726</c:v>
                </c:pt>
                <c:pt idx="85">
                  <c:v>-0.2870358817921641</c:v>
                </c:pt>
                <c:pt idx="86">
                  <c:v>-0.28869987185837942</c:v>
                </c:pt>
                <c:pt idx="87">
                  <c:v>-0.29035432592934485</c:v>
                </c:pt>
                <c:pt idx="88">
                  <c:v>-0.29199940609652597</c:v>
                </c:pt>
                <c:pt idx="89">
                  <c:v>-0.29363526991075739</c:v>
                </c:pt>
                <c:pt idx="90">
                  <c:v>-0.2952620705583483</c:v>
                </c:pt>
                <c:pt idx="91">
                  <c:v>-0.29687995702849768</c:v>
                </c:pt>
                <c:pt idx="92">
                  <c:v>-0.29848907427254723</c:v>
                </c:pt>
                <c:pt idx="93">
                  <c:v>-0.30008956335554537</c:v>
                </c:pt>
                <c:pt idx="94">
                  <c:v>-0.3016815616005748</c:v>
                </c:pt>
                <c:pt idx="95">
                  <c:v>-0.30326520272626234</c:v>
                </c:pt>
                <c:pt idx="96">
                  <c:v>-0.30484061697785714</c:v>
                </c:pt>
                <c:pt idx="97">
                  <c:v>-0.3064079312522443</c:v>
                </c:pt>
                <c:pt idx="98">
                  <c:v>-0.30796726921723327</c:v>
                </c:pt>
                <c:pt idx="99">
                  <c:v>-0.30951875142543361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E3-4D67-A37B-6394A8F62099}"/>
            </c:ext>
          </c:extLst>
        </c:ser>
        <c:ser>
          <c:idx val="4"/>
          <c:order val="4"/>
          <c:tx>
            <c:strRef>
              <c:f>Sheet1!$AU$3</c:f>
              <c:strCache>
                <c:ptCount val="1"/>
                <c:pt idx="0">
                  <c:v>0,94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Sheet1!$AP$4:$AP$103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Sheet1!$AU$4:$AU$103</c:f>
              <c:numCache>
                <c:formatCode>General</c:formatCode>
                <c:ptCount val="100"/>
                <c:pt idx="0">
                  <c:v>-3.2608382390194784E-2</c:v>
                </c:pt>
                <c:pt idx="1">
                  <c:v>-4.6115216623261471E-2</c:v>
                </c:pt>
                <c:pt idx="2">
                  <c:v>-5.6479375052451625E-2</c:v>
                </c:pt>
                <c:pt idx="3">
                  <c:v>-6.5216764780389569E-2</c:v>
                </c:pt>
                <c:pt idx="4">
                  <c:v>-7.2914559660782585E-2</c:v>
                </c:pt>
                <c:pt idx="5">
                  <c:v>-7.9873898193533688E-2</c:v>
                </c:pt>
                <c:pt idx="6">
                  <c:v>-8.6273670460553342E-2</c:v>
                </c:pt>
                <c:pt idx="7">
                  <c:v>-9.2230433246522942E-2</c:v>
                </c:pt>
                <c:pt idx="8">
                  <c:v>-9.7825147170584326E-2</c:v>
                </c:pt>
                <c:pt idx="9">
                  <c:v>-0.1031167591667409</c:v>
                </c:pt>
                <c:pt idx="10">
                  <c:v>-0.10814976940870841</c:v>
                </c:pt>
                <c:pt idx="11">
                  <c:v>-0.11295875010490325</c:v>
                </c:pt>
                <c:pt idx="12">
                  <c:v>-0.11757119471778421</c:v>
                </c:pt>
                <c:pt idx="13">
                  <c:v>-0.12200939484102158</c:v>
                </c:pt>
                <c:pt idx="14">
                  <c:v>-0.12629172194398763</c:v>
                </c:pt>
                <c:pt idx="15">
                  <c:v>-0.13043352956077914</c:v>
                </c:pt>
                <c:pt idx="16">
                  <c:v>-0.13444780487530394</c:v>
                </c:pt>
                <c:pt idx="17">
                  <c:v>-0.13834564986978437</c:v>
                </c:pt>
                <c:pt idx="18">
                  <c:v>-0.14213664355119032</c:v>
                </c:pt>
                <c:pt idx="19">
                  <c:v>-0.14582911932156517</c:v>
                </c:pt>
                <c:pt idx="20">
                  <c:v>-0.14943038059313252</c:v>
                </c:pt>
                <c:pt idx="21">
                  <c:v>-0.15294687066531837</c:v>
                </c:pt>
                <c:pt idx="22">
                  <c:v>-0.15638430819113147</c:v>
                </c:pt>
                <c:pt idx="23">
                  <c:v>-0.15974779638706738</c:v>
                </c:pt>
                <c:pt idx="24">
                  <c:v>-0.16304191195097395</c:v>
                </c:pt>
                <c:pt idx="25">
                  <c:v>-0.16627077811429858</c:v>
                </c:pt>
                <c:pt idx="26">
                  <c:v>-0.1694381251573549</c:v>
                </c:pt>
                <c:pt idx="27">
                  <c:v>-0.17254734092110668</c:v>
                </c:pt>
                <c:pt idx="28">
                  <c:v>-0.17560151326526141</c:v>
                </c:pt>
                <c:pt idx="29">
                  <c:v>-0.17860346598863908</c:v>
                </c:pt>
                <c:pt idx="30">
                  <c:v>-0.18155578940166056</c:v>
                </c:pt>
                <c:pt idx="31">
                  <c:v>-0.18446086649304588</c:v>
                </c:pt>
                <c:pt idx="32">
                  <c:v>-0.18732089544274128</c:v>
                </c:pt>
                <c:pt idx="33">
                  <c:v>-0.19013790908594635</c:v>
                </c:pt>
                <c:pt idx="34">
                  <c:v>-0.19291379181821283</c:v>
                </c:pt>
                <c:pt idx="35">
                  <c:v>-0.19565029434116865</c:v>
                </c:pt>
                <c:pt idx="36">
                  <c:v>-0.1983490465767131</c:v>
                </c:pt>
                <c:pt idx="37">
                  <c:v>-0.20101156902028372</c:v>
                </c:pt>
                <c:pt idx="38">
                  <c:v>-0.20363928275777599</c:v>
                </c:pt>
                <c:pt idx="39">
                  <c:v>-0.2062335183334818</c:v>
                </c:pt>
                <c:pt idx="40">
                  <c:v>-0.20879552362613452</c:v>
                </c:pt>
                <c:pt idx="41">
                  <c:v>-0.21132647086538159</c:v>
                </c:pt>
                <c:pt idx="42">
                  <c:v>-0.21382746290063426</c:v>
                </c:pt>
                <c:pt idx="43">
                  <c:v>-0.21629953881741681</c:v>
                </c:pt>
                <c:pt idx="44">
                  <c:v>-0.21874367898234781</c:v>
                </c:pt>
                <c:pt idx="45">
                  <c:v>-0.22116080958623208</c:v>
                </c:pt>
                <c:pt idx="46">
                  <c:v>-0.22355180674497521</c:v>
                </c:pt>
                <c:pt idx="47">
                  <c:v>-0.2259175002098065</c:v>
                </c:pt>
                <c:pt idx="48">
                  <c:v>-0.22825867673136346</c:v>
                </c:pt>
                <c:pt idx="49">
                  <c:v>-0.23057608311630728</c:v>
                </c:pt>
                <c:pt idx="50">
                  <c:v>-0.23287042901013311</c:v>
                </c:pt>
                <c:pt idx="51">
                  <c:v>-0.23514238943556842</c:v>
                </c:pt>
                <c:pt idx="52">
                  <c:v>-0.2373926071122977</c:v>
                </c:pt>
                <c:pt idx="53">
                  <c:v>-0.23962169458060123</c:v>
                </c:pt>
                <c:pt idx="54">
                  <c:v>-0.24183023614879928</c:v>
                </c:pt>
                <c:pt idx="55">
                  <c:v>-0.24401878968204316</c:v>
                </c:pt>
                <c:pt idx="56">
                  <c:v>-0.24618788824796878</c:v>
                </c:pt>
                <c:pt idx="57">
                  <c:v>-0.24833804163297168</c:v>
                </c:pt>
                <c:pt idx="58">
                  <c:v>-0.2504697377413182</c:v>
                </c:pt>
                <c:pt idx="59">
                  <c:v>-0.25258344388797527</c:v>
                </c:pt>
                <c:pt idx="60">
                  <c:v>-0.254679607994859</c:v>
                </c:pt>
                <c:pt idx="61">
                  <c:v>-0.25675865969918177</c:v>
                </c:pt>
                <c:pt idx="62">
                  <c:v>-0.25882101138165992</c:v>
                </c:pt>
                <c:pt idx="63">
                  <c:v>-0.26086705912155828</c:v>
                </c:pt>
                <c:pt idx="64">
                  <c:v>-0.26289718358482983</c:v>
                </c:pt>
                <c:pt idx="65">
                  <c:v>-0.26491175085099739</c:v>
                </c:pt>
                <c:pt idx="66">
                  <c:v>-0.26691111318385752</c:v>
                </c:pt>
                <c:pt idx="67">
                  <c:v>-0.26889560975060789</c:v>
                </c:pt>
                <c:pt idx="68">
                  <c:v>-0.27086556729354938</c:v>
                </c:pt>
                <c:pt idx="69">
                  <c:v>-0.27282130075813638</c:v>
                </c:pt>
                <c:pt idx="70">
                  <c:v>-0.27476311388078767</c:v>
                </c:pt>
                <c:pt idx="71">
                  <c:v>-0.27669129973956874</c:v>
                </c:pt>
                <c:pt idx="72">
                  <c:v>-0.27860614127057026</c:v>
                </c:pt>
                <c:pt idx="73">
                  <c:v>-0.2805079117525604</c:v>
                </c:pt>
                <c:pt idx="74">
                  <c:v>-0.2823968752622581</c:v>
                </c:pt>
                <c:pt idx="75">
                  <c:v>-0.28427328710238065</c:v>
                </c:pt>
                <c:pt idx="76">
                  <c:v>-0.28613739420442352</c:v>
                </c:pt>
                <c:pt idx="77">
                  <c:v>-0.2879894355079764</c:v>
                </c:pt>
                <c:pt idx="78">
                  <c:v>-0.28982964231822128</c:v>
                </c:pt>
                <c:pt idx="79">
                  <c:v>-0.29165823864313034</c:v>
                </c:pt>
                <c:pt idx="80">
                  <c:v>-0.29347544151175309</c:v>
                </c:pt>
                <c:pt idx="81">
                  <c:v>-0.29528146127487176</c:v>
                </c:pt>
                <c:pt idx="82">
                  <c:v>-0.2970765018892082</c:v>
                </c:pt>
                <c:pt idx="83">
                  <c:v>-0.29886076118626503</c:v>
                </c:pt>
                <c:pt idx="84">
                  <c:v>-0.30063443112680721</c:v>
                </c:pt>
                <c:pt idx="85">
                  <c:v>-0.30239769804190686</c:v>
                </c:pt>
                <c:pt idx="86">
                  <c:v>-0.30415074286141297</c:v>
                </c:pt>
                <c:pt idx="87">
                  <c:v>-0.30589374133063674</c:v>
                </c:pt>
                <c:pt idx="88">
                  <c:v>-0.30762686421598451</c:v>
                </c:pt>
                <c:pt idx="89">
                  <c:v>-0.30935027750022281</c:v>
                </c:pt>
                <c:pt idx="90">
                  <c:v>-0.31106414256800796</c:v>
                </c:pt>
                <c:pt idx="91">
                  <c:v>-0.31276861638226294</c:v>
                </c:pt>
                <c:pt idx="92">
                  <c:v>-0.31446385165195112</c:v>
                </c:pt>
                <c:pt idx="93">
                  <c:v>-0.31614999699175317</c:v>
                </c:pt>
                <c:pt idx="94">
                  <c:v>-0.31782719707411866</c:v>
                </c:pt>
                <c:pt idx="95">
                  <c:v>-0.31949559277413475</c:v>
                </c:pt>
                <c:pt idx="96">
                  <c:v>-0.32115532130762048</c:v>
                </c:pt>
                <c:pt idx="97">
                  <c:v>-0.32280651636283009</c:v>
                </c:pt>
                <c:pt idx="98">
                  <c:v>-0.3244493082261255</c:v>
                </c:pt>
                <c:pt idx="99">
                  <c:v>-0.3260838239019479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E3-4D67-A37B-6394A8F62099}"/>
            </c:ext>
          </c:extLst>
        </c:ser>
        <c:ser>
          <c:idx val="5"/>
          <c:order val="5"/>
          <c:tx>
            <c:strRef>
              <c:f>Sheet1!$AV$3</c:f>
              <c:strCache>
                <c:ptCount val="1"/>
                <c:pt idx="0">
                  <c:v>0,95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Sheet1!$AP$4:$AP$103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Sheet1!$AV$4:$AV$103</c:f>
              <c:numCache>
                <c:formatCode>General</c:formatCode>
                <c:ptCount val="100"/>
                <c:pt idx="0">
                  <c:v>-3.4497637617417864E-2</c:v>
                </c:pt>
                <c:pt idx="1">
                  <c:v>-4.8787026988384607E-2</c:v>
                </c:pt>
                <c:pt idx="2">
                  <c:v>-5.9751661094467085E-2</c:v>
                </c:pt>
                <c:pt idx="3">
                  <c:v>-6.8995275234835729E-2</c:v>
                </c:pt>
                <c:pt idx="4">
                  <c:v>-7.7139062775700179E-2</c:v>
                </c:pt>
                <c:pt idx="5">
                  <c:v>-8.450160949411617E-2</c:v>
                </c:pt>
                <c:pt idx="6">
                  <c:v>-9.1272169954914467E-2</c:v>
                </c:pt>
                <c:pt idx="7">
                  <c:v>-9.7574053976769215E-2</c:v>
                </c:pt>
                <c:pt idx="8">
                  <c:v>-0.10349291285225359</c:v>
                </c:pt>
                <c:pt idx="9">
                  <c:v>-0.10909110876614481</c:v>
                </c:pt>
                <c:pt idx="10">
                  <c:v>-0.11441572013062506</c:v>
                </c:pt>
                <c:pt idx="11">
                  <c:v>-0.11950332218893417</c:v>
                </c:pt>
                <c:pt idx="12">
                  <c:v>-0.12438300131197544</c:v>
                </c:pt>
                <c:pt idx="13">
                  <c:v>-0.12907834061746215</c:v>
                </c:pt>
                <c:pt idx="14">
                  <c:v>-0.13360877597575788</c:v>
                </c:pt>
                <c:pt idx="15">
                  <c:v>-0.13799055046967146</c:v>
                </c:pt>
                <c:pt idx="16">
                  <c:v>-0.142237403730895</c:v>
                </c:pt>
                <c:pt idx="17">
                  <c:v>-0.14636108096515388</c:v>
                </c:pt>
                <c:pt idx="18">
                  <c:v>-0.15037171616521178</c:v>
                </c:pt>
                <c:pt idx="19">
                  <c:v>-0.15427812555140036</c:v>
                </c:pt>
                <c:pt idx="20">
                  <c:v>-0.15808803567897328</c:v>
                </c:pt>
                <c:pt idx="21">
                  <c:v>-0.16180826315741431</c:v>
                </c:pt>
                <c:pt idx="22">
                  <c:v>-0.16544485796543129</c:v>
                </c:pt>
                <c:pt idx="23">
                  <c:v>-0.16900321898823234</c:v>
                </c:pt>
                <c:pt idx="24">
                  <c:v>-0.17248818808708932</c:v>
                </c:pt>
                <c:pt idx="25">
                  <c:v>-0.17590412738406624</c:v>
                </c:pt>
                <c:pt idx="26">
                  <c:v>-0.17925498328340117</c:v>
                </c:pt>
                <c:pt idx="27">
                  <c:v>-0.18254433990982893</c:v>
                </c:pt>
                <c:pt idx="28">
                  <c:v>-0.185775464026598</c:v>
                </c:pt>
                <c:pt idx="29">
                  <c:v>-0.18895134303698535</c:v>
                </c:pt>
                <c:pt idx="30">
                  <c:v>-0.19207471732808357</c:v>
                </c:pt>
                <c:pt idx="31">
                  <c:v>-0.19514810795353843</c:v>
                </c:pt>
                <c:pt idx="32">
                  <c:v>-0.19817384045082376</c:v>
                </c:pt>
                <c:pt idx="33">
                  <c:v>-0.20115406543296921</c:v>
                </c:pt>
                <c:pt idx="34">
                  <c:v>-0.20409077647310248</c:v>
                </c:pt>
                <c:pt idx="35">
                  <c:v>-0.20698582570450719</c:v>
                </c:pt>
                <c:pt idx="36">
                  <c:v>-0.20984093748303567</c:v>
                </c:pt>
                <c:pt idx="37">
                  <c:v>-0.21265772039815989</c:v>
                </c:pt>
                <c:pt idx="38">
                  <c:v>-0.21543767787024781</c:v>
                </c:pt>
                <c:pt idx="39">
                  <c:v>-0.21818221753228961</c:v>
                </c:pt>
                <c:pt idx="40">
                  <c:v>-0.22089265956226345</c:v>
                </c:pt>
                <c:pt idx="41">
                  <c:v>-0.22357024410612603</c:v>
                </c:pt>
                <c:pt idx="42">
                  <c:v>-0.22621613790986572</c:v>
                </c:pt>
                <c:pt idx="43">
                  <c:v>-0.22883144026125013</c:v>
                </c:pt>
                <c:pt idx="44">
                  <c:v>-0.23141718832710079</c:v>
                </c:pt>
                <c:pt idx="45">
                  <c:v>-0.23397436195960331</c:v>
                </c:pt>
                <c:pt idx="46">
                  <c:v>-0.23650388803481881</c:v>
                </c:pt>
                <c:pt idx="47">
                  <c:v>-0.23900664437786834</c:v>
                </c:pt>
                <c:pt idx="48">
                  <c:v>-0.24148346332192494</c:v>
                </c:pt>
                <c:pt idx="49">
                  <c:v>-0.24393513494192298</c:v>
                </c:pt>
                <c:pt idx="50">
                  <c:v>-0.24636240999859704</c:v>
                </c:pt>
                <c:pt idx="51">
                  <c:v>-0.24876600262395088</c:v>
                </c:pt>
                <c:pt idx="52">
                  <c:v>-0.25114659277537932</c:v>
                </c:pt>
                <c:pt idx="53">
                  <c:v>-0.25350482848234845</c:v>
                </c:pt>
                <c:pt idx="54">
                  <c:v>-0.25584132790666869</c:v>
                </c:pt>
                <c:pt idx="55">
                  <c:v>-0.2581566812349243</c:v>
                </c:pt>
                <c:pt idx="56">
                  <c:v>-0.26045145241947298</c:v>
                </c:pt>
                <c:pt idx="57">
                  <c:v>-0.26272618078256993</c:v>
                </c:pt>
                <c:pt idx="58">
                  <c:v>-0.26498138249654135</c:v>
                </c:pt>
                <c:pt idx="59">
                  <c:v>-0.26721755195151575</c:v>
                </c:pt>
                <c:pt idx="60">
                  <c:v>-0.26943516302098292</c:v>
                </c:pt>
                <c:pt idx="61">
                  <c:v>-0.27163467023435417</c:v>
                </c:pt>
                <c:pt idx="62">
                  <c:v>-0.27381650986474315</c:v>
                </c:pt>
                <c:pt idx="63">
                  <c:v>-0.27598110093934292</c:v>
                </c:pt>
                <c:pt idx="64">
                  <c:v>-0.27812884617902256</c:v>
                </c:pt>
                <c:pt idx="65">
                  <c:v>-0.28026013287311702</c:v>
                </c:pt>
                <c:pt idx="66">
                  <c:v>-0.28237533369478263</c:v>
                </c:pt>
                <c:pt idx="67">
                  <c:v>-0.28447480746178999</c:v>
                </c:pt>
                <c:pt idx="68">
                  <c:v>-0.28655889984714333</c:v>
                </c:pt>
                <c:pt idx="69">
                  <c:v>-0.28862794404351755</c:v>
                </c:pt>
                <c:pt idx="70">
                  <c:v>-0.29068226138512587</c:v>
                </c:pt>
                <c:pt idx="71">
                  <c:v>-0.29272216193030776</c:v>
                </c:pt>
                <c:pt idx="72">
                  <c:v>-0.29474794500782509</c:v>
                </c:pt>
                <c:pt idx="73">
                  <c:v>-0.29675989972959382</c:v>
                </c:pt>
                <c:pt idx="74">
                  <c:v>-0.29875830547233562</c:v>
                </c:pt>
                <c:pt idx="75">
                  <c:v>-0.30074343233042355</c:v>
                </c:pt>
                <c:pt idx="76">
                  <c:v>-0.30271554154200053</c:v>
                </c:pt>
                <c:pt idx="77">
                  <c:v>-0.30467488589027059</c:v>
                </c:pt>
                <c:pt idx="78">
                  <c:v>-0.30662171008170958</c:v>
                </c:pt>
                <c:pt idx="79">
                  <c:v>-0.30855625110280072</c:v>
                </c:pt>
                <c:pt idx="80">
                  <c:v>-0.31047873855676078</c:v>
                </c:pt>
                <c:pt idx="81">
                  <c:v>-0.312389394981616</c:v>
                </c:pt>
                <c:pt idx="82">
                  <c:v>-0.31428843615087521</c:v>
                </c:pt>
                <c:pt idx="83">
                  <c:v>-0.31617607135794656</c:v>
                </c:pt>
                <c:pt idx="84">
                  <c:v>-0.31805250368536353</c:v>
                </c:pt>
                <c:pt idx="85">
                  <c:v>-0.31991793025979465</c:v>
                </c:pt>
                <c:pt idx="86">
                  <c:v>-0.32177254249375209</c:v>
                </c:pt>
                <c:pt idx="87">
                  <c:v>-0.32361652631482862</c:v>
                </c:pt>
                <c:pt idx="88">
                  <c:v>-0.32545006238324625</c:v>
                </c:pt>
                <c:pt idx="89">
                  <c:v>-0.32727332629843442</c:v>
                </c:pt>
                <c:pt idx="90">
                  <c:v>-0.32908648879530777</c:v>
                </c:pt>
                <c:pt idx="91">
                  <c:v>-0.33088971593086258</c:v>
                </c:pt>
                <c:pt idx="92">
                  <c:v>-0.33268316926167096</c:v>
                </c:pt>
                <c:pt idx="93">
                  <c:v>-0.33446700601280888</c:v>
                </c:pt>
                <c:pt idx="94">
                  <c:v>-0.33624137923871744</c:v>
                </c:pt>
                <c:pt idx="95">
                  <c:v>-0.33800643797646468</c:v>
                </c:pt>
                <c:pt idx="96">
                  <c:v>-0.33976232739184065</c:v>
                </c:pt>
                <c:pt idx="97">
                  <c:v>-0.3415091889186922</c:v>
                </c:pt>
                <c:pt idx="98">
                  <c:v>-0.34324716039187531</c:v>
                </c:pt>
                <c:pt idx="99">
                  <c:v>-0.34497637617417864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E3-4D67-A37B-6394A8F62099}"/>
            </c:ext>
          </c:extLst>
        </c:ser>
        <c:ser>
          <c:idx val="6"/>
          <c:order val="6"/>
          <c:tx>
            <c:strRef>
              <c:f>Sheet1!$AW$3</c:f>
              <c:strCache>
                <c:ptCount val="1"/>
                <c:pt idx="0">
                  <c:v>0,96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Sheet1!$AP$4:$AP$103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Sheet1!$AW$4:$AW$103</c:f>
              <c:numCache>
                <c:formatCode>General</c:formatCode>
                <c:ptCount val="100"/>
                <c:pt idx="0">
                  <c:v>-3.6717269353536322E-2</c:v>
                </c:pt>
                <c:pt idx="1">
                  <c:v>-5.1926060293077086E-2</c:v>
                </c:pt>
                <c:pt idx="2">
                  <c:v>-6.3596176035516566E-2</c:v>
                </c:pt>
                <c:pt idx="3">
                  <c:v>-7.3434538707072644E-2</c:v>
                </c:pt>
                <c:pt idx="4">
                  <c:v>-8.2102310222676944E-2</c:v>
                </c:pt>
                <c:pt idx="5">
                  <c:v>-8.9938574664494342E-2</c:v>
                </c:pt>
                <c:pt idx="6">
                  <c:v>-9.714476353083043E-2</c:v>
                </c:pt>
                <c:pt idx="7">
                  <c:v>-0.10385212058615417</c:v>
                </c:pt>
                <c:pt idx="8">
                  <c:v>-0.11015180806060892</c:v>
                </c:pt>
                <c:pt idx="9">
                  <c:v>-0.11611020061907301</c:v>
                </c:pt>
                <c:pt idx="10">
                  <c:v>-0.12177740577209506</c:v>
                </c:pt>
                <c:pt idx="11">
                  <c:v>-0.12719235207103313</c:v>
                </c:pt>
                <c:pt idx="12">
                  <c:v>-0.13238599734919765</c:v>
                </c:pt>
                <c:pt idx="13">
                  <c:v>-0.13738344209882764</c:v>
                </c:pt>
                <c:pt idx="14">
                  <c:v>-0.14220537272445816</c:v>
                </c:pt>
                <c:pt idx="15">
                  <c:v>-0.14686907741414529</c:v>
                </c:pt>
                <c:pt idx="16">
                  <c:v>-0.1513891798288845</c:v>
                </c:pt>
                <c:pt idx="17">
                  <c:v>-0.15577818087923129</c:v>
                </c:pt>
                <c:pt idx="18">
                  <c:v>-0.16004686659482781</c:v>
                </c:pt>
                <c:pt idx="19">
                  <c:v>-0.16420462044535389</c:v>
                </c:pt>
                <c:pt idx="20">
                  <c:v>-0.16825966612466242</c:v>
                </c:pt>
                <c:pt idx="21">
                  <c:v>-0.17221925883350847</c:v>
                </c:pt>
                <c:pt idx="22">
                  <c:v>-0.17608983781565352</c:v>
                </c:pt>
                <c:pt idx="23">
                  <c:v>-0.17987714932898868</c:v>
                </c:pt>
                <c:pt idx="24">
                  <c:v>-0.18358634676768165</c:v>
                </c:pt>
                <c:pt idx="25">
                  <c:v>-0.18722207291952409</c:v>
                </c:pt>
                <c:pt idx="26">
                  <c:v>-0.19078852810654973</c:v>
                </c:pt>
                <c:pt idx="27">
                  <c:v>-0.19428952706166086</c:v>
                </c:pt>
                <c:pt idx="28">
                  <c:v>-0.19772854673674206</c:v>
                </c:pt>
                <c:pt idx="29">
                  <c:v>-0.20110876674924982</c:v>
                </c:pt>
                <c:pt idx="30">
                  <c:v>-0.20443310380705049</c:v>
                </c:pt>
                <c:pt idx="31">
                  <c:v>-0.20770424117230835</c:v>
                </c:pt>
                <c:pt idx="32">
                  <c:v>-0.2109246540112002</c:v>
                </c:pt>
                <c:pt idx="33">
                  <c:v>-0.2140966313105479</c:v>
                </c:pt>
                <c:pt idx="34">
                  <c:v>-0.21722229491307932</c:v>
                </c:pt>
                <c:pt idx="35">
                  <c:v>-0.22030361612121785</c:v>
                </c:pt>
                <c:pt idx="36">
                  <c:v>-0.22334243023855782</c:v>
                </c:pt>
                <c:pt idx="37">
                  <c:v>-0.22634044935372288</c:v>
                </c:pt>
                <c:pt idx="38">
                  <c:v>-0.2292992736194891</c:v>
                </c:pt>
                <c:pt idx="39">
                  <c:v>-0.23222040123814602</c:v>
                </c:pt>
                <c:pt idx="40">
                  <c:v>-0.23510523732997868</c:v>
                </c:pt>
                <c:pt idx="41">
                  <c:v>-0.23795510183386648</c:v>
                </c:pt>
                <c:pt idx="42">
                  <c:v>-0.24077123656605226</c:v>
                </c:pt>
                <c:pt idx="43">
                  <c:v>-0.24355481154419012</c:v>
                </c:pt>
                <c:pt idx="44">
                  <c:v>-0.246306930668031</c:v>
                </c:pt>
                <c:pt idx="45">
                  <c:v>-0.24902863683497589</c:v>
                </c:pt>
                <c:pt idx="46">
                  <c:v>-0.25172091655773554</c:v>
                </c:pt>
                <c:pt idx="47">
                  <c:v>-0.25438470414206626</c:v>
                </c:pt>
                <c:pt idx="48">
                  <c:v>-0.2570208854747541</c:v>
                </c:pt>
                <c:pt idx="49">
                  <c:v>-0.25963030146538524</c:v>
                </c:pt>
                <c:pt idx="50">
                  <c:v>-0.2622137511798095</c:v>
                </c:pt>
                <c:pt idx="51">
                  <c:v>-0.2647719946983953</c:v>
                </c:pt>
                <c:pt idx="52">
                  <c:v>-0.26730575572805615</c:v>
                </c:pt>
                <c:pt idx="53">
                  <c:v>-0.26981572399348297</c:v>
                </c:pt>
                <c:pt idx="54">
                  <c:v>-0.27230255742998</c:v>
                </c:pt>
                <c:pt idx="55">
                  <c:v>-0.27476688419765527</c:v>
                </c:pt>
                <c:pt idx="56">
                  <c:v>-0.27720930453443993</c:v>
                </c:pt>
                <c:pt idx="57">
                  <c:v>-0.27963039246342303</c:v>
                </c:pt>
                <c:pt idx="58">
                  <c:v>-0.28203069736826192</c:v>
                </c:pt>
                <c:pt idx="59">
                  <c:v>-0.28441074544891631</c:v>
                </c:pt>
                <c:pt idx="60">
                  <c:v>-0.28677104106863416</c:v>
                </c:pt>
                <c:pt idx="61">
                  <c:v>-0.28911206800195755</c:v>
                </c:pt>
                <c:pt idx="62">
                  <c:v>-0.29143429059249115</c:v>
                </c:pt>
                <c:pt idx="63">
                  <c:v>-0.29373815482829058</c:v>
                </c:pt>
                <c:pt idx="64">
                  <c:v>-0.29602408934191304</c:v>
                </c:pt>
                <c:pt idx="65">
                  <c:v>-0.29829250634149218</c:v>
                </c:pt>
                <c:pt idx="66">
                  <c:v>-0.30054380247855594</c:v>
                </c:pt>
                <c:pt idx="67">
                  <c:v>-0.302778359657769</c:v>
                </c:pt>
                <c:pt idx="68">
                  <c:v>-0.30499654579327529</c:v>
                </c:pt>
                <c:pt idx="69">
                  <c:v>-0.30719871551588518</c:v>
                </c:pt>
                <c:pt idx="70">
                  <c:v>-0.30938521083495529</c:v>
                </c:pt>
                <c:pt idx="71">
                  <c:v>-0.31155636175846257</c:v>
                </c:pt>
                <c:pt idx="72">
                  <c:v>-0.31371248687444675</c:v>
                </c:pt>
                <c:pt idx="73">
                  <c:v>-0.31585389389673524</c:v>
                </c:pt>
                <c:pt idx="74">
                  <c:v>-0.31798088017758286</c:v>
                </c:pt>
                <c:pt idx="75">
                  <c:v>-0.32009373318965562</c:v>
                </c:pt>
                <c:pt idx="76">
                  <c:v>-0.32219273097956513</c:v>
                </c:pt>
                <c:pt idx="77">
                  <c:v>-0.324278142594981</c:v>
                </c:pt>
                <c:pt idx="78">
                  <c:v>-0.32635022848717421</c:v>
                </c:pt>
                <c:pt idx="79">
                  <c:v>-0.32840924089070778</c:v>
                </c:pt>
                <c:pt idx="80">
                  <c:v>-0.33045542418182683</c:v>
                </c:pt>
                <c:pt idx="81">
                  <c:v>-0.33248901521700103</c:v>
                </c:pt>
                <c:pt idx="82">
                  <c:v>-0.33451024365294335</c:v>
                </c:pt>
                <c:pt idx="83">
                  <c:v>-0.33651933224932484</c:v>
                </c:pt>
                <c:pt idx="84">
                  <c:v>-0.33851649715532584</c:v>
                </c:pt>
                <c:pt idx="85">
                  <c:v>-0.34050194818105228</c:v>
                </c:pt>
                <c:pt idx="86">
                  <c:v>-0.34247588905479465</c:v>
                </c:pt>
                <c:pt idx="87">
                  <c:v>-0.34443851766701694</c:v>
                </c:pt>
                <c:pt idx="88">
                  <c:v>-0.34639002630190197</c:v>
                </c:pt>
                <c:pt idx="89">
                  <c:v>-0.34833060185721898</c:v>
                </c:pt>
                <c:pt idx="90">
                  <c:v>-0.35026042605323326</c:v>
                </c:pt>
                <c:pt idx="91">
                  <c:v>-0.35217967563130703</c:v>
                </c:pt>
                <c:pt idx="92">
                  <c:v>-0.35408852254281376</c:v>
                </c:pt>
                <c:pt idx="93">
                  <c:v>-0.35598713412893568</c:v>
                </c:pt>
                <c:pt idx="94">
                  <c:v>-0.35787567329187531</c:v>
                </c:pt>
                <c:pt idx="95">
                  <c:v>-0.35975429865797737</c:v>
                </c:pt>
                <c:pt idx="96">
                  <c:v>-0.36162316473322542</c:v>
                </c:pt>
                <c:pt idx="97">
                  <c:v>-0.36348242205153936</c:v>
                </c:pt>
                <c:pt idx="98">
                  <c:v>-0.36533221731628551</c:v>
                </c:pt>
                <c:pt idx="99">
                  <c:v>-0.3671726935353633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9E3-4D67-A37B-6394A8F62099}"/>
            </c:ext>
          </c:extLst>
        </c:ser>
        <c:ser>
          <c:idx val="7"/>
          <c:order val="7"/>
          <c:tx>
            <c:strRef>
              <c:f>Sheet1!$AX$3</c:f>
              <c:strCache>
                <c:ptCount val="1"/>
                <c:pt idx="0">
                  <c:v>0,97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Sheet1!$AP$4:$AP$103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Sheet1!$AX$4:$AX$103</c:f>
              <c:numCache>
                <c:formatCode>General</c:formatCode>
                <c:ptCount val="100"/>
                <c:pt idx="0">
                  <c:v>-3.9446024414591815E-2</c:v>
                </c:pt>
                <c:pt idx="1">
                  <c:v>-5.5785102708815981E-2</c:v>
                </c:pt>
                <c:pt idx="2">
                  <c:v>-6.8322518442675423E-2</c:v>
                </c:pt>
                <c:pt idx="3">
                  <c:v>-7.8892048829183631E-2</c:v>
                </c:pt>
                <c:pt idx="4">
                  <c:v>-8.8203992033143663E-2</c:v>
                </c:pt>
                <c:pt idx="5">
                  <c:v>-9.6622632197117475E-2</c:v>
                </c:pt>
                <c:pt idx="6">
                  <c:v>-0.10436437081119215</c:v>
                </c:pt>
                <c:pt idx="7">
                  <c:v>-0.11157020541763196</c:v>
                </c:pt>
                <c:pt idx="8">
                  <c:v>-0.11833807324377543</c:v>
                </c:pt>
                <c:pt idx="9">
                  <c:v>-0.12473928178872018</c:v>
                </c:pt>
                <c:pt idx="10">
                  <c:v>-0.13082766245439953</c:v>
                </c:pt>
                <c:pt idx="11">
                  <c:v>-0.13664503688535085</c:v>
                </c:pt>
                <c:pt idx="12">
                  <c:v>-0.14222466364001513</c:v>
                </c:pt>
                <c:pt idx="13">
                  <c:v>-0.14759350862972276</c:v>
                </c:pt>
                <c:pt idx="14">
                  <c:v>-0.15277379563180538</c:v>
                </c:pt>
                <c:pt idx="15">
                  <c:v>-0.15778409765836726</c:v>
                </c:pt>
                <c:pt idx="16">
                  <c:v>-0.16264012517205506</c:v>
                </c:pt>
                <c:pt idx="17">
                  <c:v>-0.16735530812644789</c:v>
                </c:pt>
                <c:pt idx="18">
                  <c:v>-0.17194123414764395</c:v>
                </c:pt>
                <c:pt idx="19">
                  <c:v>-0.17640798406628733</c:v>
                </c:pt>
                <c:pt idx="20">
                  <c:v>-0.18076439274494305</c:v>
                </c:pt>
                <c:pt idx="21">
                  <c:v>-0.18501825457658116</c:v>
                </c:pt>
                <c:pt idx="22">
                  <c:v>-0.18917648735686254</c:v>
                </c:pt>
                <c:pt idx="23">
                  <c:v>-0.19324526439423495</c:v>
                </c:pt>
                <c:pt idx="24">
                  <c:v>-0.19723012207295915</c:v>
                </c:pt>
                <c:pt idx="25">
                  <c:v>-0.20113604822366116</c:v>
                </c:pt>
                <c:pt idx="26">
                  <c:v>-0.20496755532802613</c:v>
                </c:pt>
                <c:pt idx="27">
                  <c:v>-0.20872874162238431</c:v>
                </c:pt>
                <c:pt idx="28">
                  <c:v>-0.21242334245882821</c:v>
                </c:pt>
                <c:pt idx="29">
                  <c:v>-0.21605477375771454</c:v>
                </c:pt>
                <c:pt idx="30">
                  <c:v>-0.21962616899088727</c:v>
                </c:pt>
                <c:pt idx="31">
                  <c:v>-0.22314041083526392</c:v>
                </c:pt>
                <c:pt idx="32">
                  <c:v>-0.22660015840649117</c:v>
                </c:pt>
                <c:pt idx="33">
                  <c:v>-0.23000787080437823</c:v>
                </c:pt>
                <c:pt idx="34">
                  <c:v>-0.23336582756282043</c:v>
                </c:pt>
                <c:pt idx="35">
                  <c:v>-0.23667614648755086</c:v>
                </c:pt>
                <c:pt idx="36">
                  <c:v>-0.2399407992783078</c:v>
                </c:pt>
                <c:pt idx="37">
                  <c:v>-0.24316162526276586</c:v>
                </c:pt>
                <c:pt idx="38">
                  <c:v>-0.24634034351390022</c:v>
                </c:pt>
                <c:pt idx="39">
                  <c:v>-0.24947856357744036</c:v>
                </c:pt>
                <c:pt idx="40">
                  <c:v>-0.25257779499944077</c:v>
                </c:pt>
                <c:pt idx="41">
                  <c:v>-0.25563945581403524</c:v>
                </c:pt>
                <c:pt idx="42">
                  <c:v>-0.25866488012680156</c:v>
                </c:pt>
                <c:pt idx="43">
                  <c:v>-0.26165532490879906</c:v>
                </c:pt>
                <c:pt idx="44">
                  <c:v>-0.26461197609943099</c:v>
                </c:pt>
                <c:pt idx="45">
                  <c:v>-0.26753595410217756</c:v>
                </c:pt>
                <c:pt idx="46">
                  <c:v>-0.27042831874542828</c:v>
                </c:pt>
                <c:pt idx="47">
                  <c:v>-0.27329007377070169</c:v>
                </c:pt>
                <c:pt idx="48">
                  <c:v>-0.27612217090214264</c:v>
                </c:pt>
                <c:pt idx="49">
                  <c:v>-0.2789255135440798</c:v>
                </c:pt>
                <c:pt idx="50">
                  <c:v>-0.28170096014736135</c:v>
                </c:pt>
                <c:pt idx="51">
                  <c:v>-0.28444932728003025</c:v>
                </c:pt>
                <c:pt idx="52">
                  <c:v>-0.28717139243347067</c:v>
                </c:pt>
                <c:pt idx="53">
                  <c:v>-0.28986789659135248</c:v>
                </c:pt>
                <c:pt idx="54">
                  <c:v>-0.29253954658543424</c:v>
                </c:pt>
                <c:pt idx="55">
                  <c:v>-0.29518701725944552</c:v>
                </c:pt>
                <c:pt idx="56">
                  <c:v>-0.29781095345981612</c:v>
                </c:pt>
                <c:pt idx="57">
                  <c:v>-0.30041197186989954</c:v>
                </c:pt>
                <c:pt idx="58">
                  <c:v>-0.30299066270246311</c:v>
                </c:pt>
                <c:pt idx="59">
                  <c:v>-0.30554759126361075</c:v>
                </c:pt>
                <c:pt idx="60">
                  <c:v>-0.30808329939987167</c:v>
                </c:pt>
                <c:pt idx="61">
                  <c:v>-0.31059830683895806</c:v>
                </c:pt>
                <c:pt idx="62">
                  <c:v>-0.31309311243357629</c:v>
                </c:pt>
                <c:pt idx="63">
                  <c:v>-0.31556819531673452</c:v>
                </c:pt>
                <c:pt idx="64">
                  <c:v>-0.31802401597611674</c:v>
                </c:pt>
                <c:pt idx="65">
                  <c:v>-0.32046101725435172</c:v>
                </c:pt>
                <c:pt idx="66">
                  <c:v>-0.32287962528132752</c:v>
                </c:pt>
                <c:pt idx="67">
                  <c:v>-0.32528025034411012</c:v>
                </c:pt>
                <c:pt idx="68">
                  <c:v>-0.32766328769949749</c:v>
                </c:pt>
                <c:pt idx="69">
                  <c:v>-0.33002911833376192</c:v>
                </c:pt>
                <c:pt idx="70">
                  <c:v>-0.33237810967372194</c:v>
                </c:pt>
                <c:pt idx="71">
                  <c:v>-0.33471061625289578</c:v>
                </c:pt>
                <c:pt idx="72">
                  <c:v>-0.33702698033615919</c:v>
                </c:pt>
                <c:pt idx="73">
                  <c:v>-0.33932753250602343</c:v>
                </c:pt>
                <c:pt idx="74">
                  <c:v>-0.34161259221337692</c:v>
                </c:pt>
                <c:pt idx="75">
                  <c:v>-0.3438824682952879</c:v>
                </c:pt>
                <c:pt idx="76">
                  <c:v>-0.34613745946224317</c:v>
                </c:pt>
                <c:pt idx="77">
                  <c:v>-0.34837785475700478</c:v>
                </c:pt>
                <c:pt idx="78">
                  <c:v>-0.35060393398706946</c:v>
                </c:pt>
                <c:pt idx="79">
                  <c:v>-0.35281596813257465</c:v>
                </c:pt>
                <c:pt idx="80">
                  <c:v>-0.35501421973132652</c:v>
                </c:pt>
                <c:pt idx="81">
                  <c:v>-0.35719894324250034</c:v>
                </c:pt>
                <c:pt idx="82">
                  <c:v>-0.35937038539044319</c:v>
                </c:pt>
                <c:pt idx="83">
                  <c:v>-0.3615287854898861</c:v>
                </c:pt>
                <c:pt idx="84">
                  <c:v>-0.3636743757537898</c:v>
                </c:pt>
                <c:pt idx="85">
                  <c:v>-0.36580738158493387</c:v>
                </c:pt>
                <c:pt idx="86">
                  <c:v>-0.36792802185229379</c:v>
                </c:pt>
                <c:pt idx="87">
                  <c:v>-0.37003650915316233</c:v>
                </c:pt>
                <c:pt idx="88">
                  <c:v>-0.37213305006190334</c:v>
                </c:pt>
                <c:pt idx="89">
                  <c:v>-0.37421784536616032</c:v>
                </c:pt>
                <c:pt idx="90">
                  <c:v>-0.37629109029129049</c:v>
                </c:pt>
                <c:pt idx="91">
                  <c:v>-0.37835297471372509</c:v>
                </c:pt>
                <c:pt idx="92">
                  <c:v>-0.38040368336392505</c:v>
                </c:pt>
                <c:pt idx="93">
                  <c:v>-0.38244339601953903</c:v>
                </c:pt>
                <c:pt idx="94">
                  <c:v>-0.38447228768933972</c:v>
                </c:pt>
                <c:pt idx="95">
                  <c:v>-0.3864905287884699</c:v>
                </c:pt>
                <c:pt idx="96">
                  <c:v>-0.38849828530549235</c:v>
                </c:pt>
                <c:pt idx="97">
                  <c:v>-0.39049571896171165</c:v>
                </c:pt>
                <c:pt idx="98">
                  <c:v>-0.39248298736319864</c:v>
                </c:pt>
                <c:pt idx="99">
                  <c:v>-0.39446024414591829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E3-4D67-A37B-6394A8F62099}"/>
            </c:ext>
          </c:extLst>
        </c:ser>
        <c:ser>
          <c:idx val="8"/>
          <c:order val="8"/>
          <c:tx>
            <c:strRef>
              <c:f>Sheet1!$AY$3</c:f>
              <c:strCache>
                <c:ptCount val="1"/>
                <c:pt idx="0">
                  <c:v>0,98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Sheet1!$AP$4:$AP$103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Sheet1!$AY$4:$AY$103</c:f>
              <c:numCache>
                <c:formatCode>General</c:formatCode>
                <c:ptCount val="100"/>
                <c:pt idx="0">
                  <c:v>-4.3073428854246379E-2</c:v>
                </c:pt>
                <c:pt idx="1">
                  <c:v>-6.0915027263587801E-2</c:v>
                </c:pt>
                <c:pt idx="2">
                  <c:v>-7.460536723175798E-2</c:v>
                </c:pt>
                <c:pt idx="3">
                  <c:v>-8.6146857708492758E-2</c:v>
                </c:pt>
                <c:pt idx="4">
                  <c:v>-9.6315114942095714E-2</c:v>
                </c:pt>
                <c:pt idx="5">
                  <c:v>-0.1055079221649774</c:v>
                </c:pt>
                <c:pt idx="6">
                  <c:v>-0.11396158086316971</c:v>
                </c:pt>
                <c:pt idx="7">
                  <c:v>-0.1218300545271756</c:v>
                </c:pt>
                <c:pt idx="8">
                  <c:v>-0.1292202865627391</c:v>
                </c:pt>
                <c:pt idx="9">
                  <c:v>-0.13621014181263535</c:v>
                </c:pt>
                <c:pt idx="10">
                  <c:v>-0.142858401943603</c:v>
                </c:pt>
                <c:pt idx="11">
                  <c:v>-0.14921073446351596</c:v>
                </c:pt>
                <c:pt idx="12">
                  <c:v>-0.15530345634403536</c:v>
                </c:pt>
                <c:pt idx="13">
                  <c:v>-0.16116601324617286</c:v>
                </c:pt>
                <c:pt idx="14">
                  <c:v>-0.16682267261654621</c:v>
                </c:pt>
                <c:pt idx="15">
                  <c:v>-0.17229371541698552</c:v>
                </c:pt>
                <c:pt idx="16">
                  <c:v>-0.17759629682358519</c:v>
                </c:pt>
                <c:pt idx="17">
                  <c:v>-0.18274508179076343</c:v>
                </c:pt>
                <c:pt idx="18">
                  <c:v>-0.18775272352744893</c:v>
                </c:pt>
                <c:pt idx="19">
                  <c:v>-0.19263022988419143</c:v>
                </c:pt>
                <c:pt idx="20">
                  <c:v>-0.19738724816587899</c:v>
                </c:pt>
                <c:pt idx="21">
                  <c:v>-0.20203228952759034</c:v>
                </c:pt>
                <c:pt idx="22">
                  <c:v>-0.20657290791636229</c:v>
                </c:pt>
                <c:pt idx="23">
                  <c:v>-0.21101584432995479</c:v>
                </c:pt>
                <c:pt idx="24">
                  <c:v>-0.21536714427123183</c:v>
                </c:pt>
                <c:pt idx="25">
                  <c:v>-0.21963225424515276</c:v>
                </c:pt>
                <c:pt idx="26">
                  <c:v>-0.22381610169527399</c:v>
                </c:pt>
                <c:pt idx="27">
                  <c:v>-0.22792316172633942</c:v>
                </c:pt>
                <c:pt idx="28">
                  <c:v>-0.23195751318849933</c:v>
                </c:pt>
                <c:pt idx="29">
                  <c:v>-0.23592288612564649</c:v>
                </c:pt>
                <c:pt idx="30">
                  <c:v>-0.23982270215956736</c:v>
                </c:pt>
                <c:pt idx="31">
                  <c:v>-0.2436601090543512</c:v>
                </c:pt>
                <c:pt idx="32">
                  <c:v>-0.24743801045441693</c:v>
                </c:pt>
                <c:pt idx="33">
                  <c:v>-0.25115909159515215</c:v>
                </c:pt>
                <c:pt idx="34">
                  <c:v>-0.25482584163338651</c:v>
                </c:pt>
                <c:pt idx="35">
                  <c:v>-0.25844057312547819</c:v>
                </c:pt>
                <c:pt idx="36">
                  <c:v>-0.26200543908607599</c:v>
                </c:pt>
                <c:pt idx="37">
                  <c:v>-0.26552244798500424</c:v>
                </c:pt>
                <c:pt idx="38">
                  <c:v>-0.2689934769789244</c:v>
                </c:pt>
                <c:pt idx="39">
                  <c:v>-0.27242028362527071</c:v>
                </c:pt>
                <c:pt idx="40">
                  <c:v>-0.27580451628596436</c:v>
                </c:pt>
                <c:pt idx="41">
                  <c:v>-0.27914772339568994</c:v>
                </c:pt>
                <c:pt idx="42">
                  <c:v>-0.28245136174261654</c:v>
                </c:pt>
                <c:pt idx="43">
                  <c:v>-0.28571680388720599</c:v>
                </c:pt>
                <c:pt idx="44">
                  <c:v>-0.28894534482628731</c:v>
                </c:pt>
                <c:pt idx="45">
                  <c:v>-0.29213820799416823</c:v>
                </c:pt>
                <c:pt idx="46">
                  <c:v>-0.29529655067966132</c:v>
                </c:pt>
                <c:pt idx="47">
                  <c:v>-0.29842146892703192</c:v>
                </c:pt>
                <c:pt idx="48">
                  <c:v>-0.30151400197972433</c:v>
                </c:pt>
                <c:pt idx="49">
                  <c:v>-0.3045751363179392</c:v>
                </c:pt>
                <c:pt idx="50">
                  <c:v>-0.30760580933453285</c:v>
                </c:pt>
                <c:pt idx="51">
                  <c:v>-0.31060691268807072</c:v>
                </c:pt>
                <c:pt idx="52">
                  <c:v>-0.31357929536701967</c:v>
                </c:pt>
                <c:pt idx="53">
                  <c:v>-0.3165237664949323</c:v>
                </c:pt>
                <c:pt idx="54">
                  <c:v>-0.31944109790288444</c:v>
                </c:pt>
                <c:pt idx="55">
                  <c:v>-0.32233202649234571</c:v>
                </c:pt>
                <c:pt idx="56">
                  <c:v>-0.32519725640897412</c:v>
                </c:pt>
                <c:pt idx="57">
                  <c:v>-0.32803746104551179</c:v>
                </c:pt>
                <c:pt idx="58">
                  <c:v>-0.3308532848899155</c:v>
                </c:pt>
                <c:pt idx="59">
                  <c:v>-0.33364534523309242</c:v>
                </c:pt>
                <c:pt idx="60">
                  <c:v>-0.33641423374906587</c:v>
                </c:pt>
                <c:pt idx="61">
                  <c:v>-0.33916051795902336</c:v>
                </c:pt>
                <c:pt idx="62">
                  <c:v>-0.34188474258950907</c:v>
                </c:pt>
                <c:pt idx="63">
                  <c:v>-0.34458743083397103</c:v>
                </c:pt>
                <c:pt idx="64">
                  <c:v>-0.34726908552593405</c:v>
                </c:pt>
                <c:pt idx="65">
                  <c:v>-0.34993019023125205</c:v>
                </c:pt>
                <c:pt idx="66">
                  <c:v>-0.35257121026615612</c:v>
                </c:pt>
                <c:pt idx="67">
                  <c:v>-0.35519259364717037</c:v>
                </c:pt>
                <c:pt idx="68">
                  <c:v>-0.35779477197838683</c:v>
                </c:pt>
                <c:pt idx="69">
                  <c:v>-0.36037816128107369</c:v>
                </c:pt>
                <c:pt idx="70">
                  <c:v>-0.36294316277013594</c:v>
                </c:pt>
                <c:pt idx="71">
                  <c:v>-0.36549016358152686</c:v>
                </c:pt>
                <c:pt idx="72">
                  <c:v>-0.36801953745434901</c:v>
                </c:pt>
                <c:pt idx="73">
                  <c:v>-0.37053164537104644</c:v>
                </c:pt>
                <c:pt idx="74">
                  <c:v>-0.37302683615878984</c:v>
                </c:pt>
                <c:pt idx="75">
                  <c:v>-0.37550544705489786</c:v>
                </c:pt>
                <c:pt idx="76">
                  <c:v>-0.37796780423887999</c:v>
                </c:pt>
                <c:pt idx="77">
                  <c:v>-0.38041422333348984</c:v>
                </c:pt>
                <c:pt idx="78">
                  <c:v>-0.38284500987695269</c:v>
                </c:pt>
                <c:pt idx="79">
                  <c:v>-0.38526045976838286</c:v>
                </c:pt>
                <c:pt idx="80">
                  <c:v>-0.38766085968821729</c:v>
                </c:pt>
                <c:pt idx="81">
                  <c:v>-0.39004648749536197</c:v>
                </c:pt>
                <c:pt idx="82">
                  <c:v>-0.3924176126026091</c:v>
                </c:pt>
                <c:pt idx="83">
                  <c:v>-0.39477449633175798</c:v>
                </c:pt>
                <c:pt idx="84">
                  <c:v>-0.39711739224976639</c:v>
                </c:pt>
                <c:pt idx="85">
                  <c:v>-0.39944654648715761</c:v>
                </c:pt>
                <c:pt idx="86">
                  <c:v>-0.40176219803980884</c:v>
                </c:pt>
                <c:pt idx="87">
                  <c:v>-0.40406457905518067</c:v>
                </c:pt>
                <c:pt idx="88">
                  <c:v>-0.40635391510394281</c:v>
                </c:pt>
                <c:pt idx="89">
                  <c:v>-0.40863042543790595</c:v>
                </c:pt>
                <c:pt idx="90">
                  <c:v>-0.41089432323509412</c:v>
                </c:pt>
                <c:pt idx="91">
                  <c:v>-0.41314581583272458</c:v>
                </c:pt>
                <c:pt idx="92">
                  <c:v>-0.41538510494882863</c:v>
                </c:pt>
                <c:pt idx="93">
                  <c:v>-0.41761238689317071</c:v>
                </c:pt>
                <c:pt idx="94">
                  <c:v>-0.41982785276809964</c:v>
                </c:pt>
                <c:pt idx="95">
                  <c:v>-0.42203168865990959</c:v>
                </c:pt>
                <c:pt idx="96">
                  <c:v>-0.42422407582125365</c:v>
                </c:pt>
                <c:pt idx="97">
                  <c:v>-0.42640519084511452</c:v>
                </c:pt>
                <c:pt idx="98">
                  <c:v>-0.42857520583080921</c:v>
                </c:pt>
                <c:pt idx="99">
                  <c:v>-0.43073428854246365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E3-4D67-A37B-6394A8F62099}"/>
            </c:ext>
          </c:extLst>
        </c:ser>
        <c:ser>
          <c:idx val="9"/>
          <c:order val="9"/>
          <c:tx>
            <c:strRef>
              <c:f>Sheet1!$AZ$3</c:f>
              <c:strCache>
                <c:ptCount val="1"/>
                <c:pt idx="0">
                  <c:v>0,99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Sheet1!$AP$4:$AP$103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Sheet1!$AZ$4:$AZ$103</c:f>
              <c:numCache>
                <c:formatCode>General</c:formatCode>
                <c:ptCount val="100"/>
                <c:pt idx="0">
                  <c:v>-4.8790667215447683E-2</c:v>
                </c:pt>
                <c:pt idx="1">
                  <c:v>-6.900042329331843E-2</c:v>
                </c:pt>
                <c:pt idx="2">
                  <c:v>-8.4507914552340496E-2</c:v>
                </c:pt>
                <c:pt idx="3">
                  <c:v>-9.7581334430895367E-2</c:v>
                </c:pt>
                <c:pt idx="4">
                  <c:v>-0.10909924856131137</c:v>
                </c:pt>
                <c:pt idx="5">
                  <c:v>-0.11951223888778656</c:v>
                </c:pt>
                <c:pt idx="6">
                  <c:v>-0.12908797175298686</c:v>
                </c:pt>
                <c:pt idx="7">
                  <c:v>-0.13800084658663686</c:v>
                </c:pt>
                <c:pt idx="8">
                  <c:v>-0.14637200164634306</c:v>
                </c:pt>
                <c:pt idx="9">
                  <c:v>-0.15428963696011994</c:v>
                </c:pt>
                <c:pt idx="10">
                  <c:v>-0.1618203364247342</c:v>
                </c:pt>
                <c:pt idx="11">
                  <c:v>-0.16901582910468099</c:v>
                </c:pt>
                <c:pt idx="12">
                  <c:v>-0.17591725240939637</c:v>
                </c:pt>
                <c:pt idx="13">
                  <c:v>-0.18255796039230898</c:v>
                </c:pt>
                <c:pt idx="14">
                  <c:v>-0.18896544157577716</c:v>
                </c:pt>
                <c:pt idx="15">
                  <c:v>-0.19516266886179073</c:v>
                </c:pt>
                <c:pt idx="16">
                  <c:v>-0.20116907447365151</c:v>
                </c:pt>
                <c:pt idx="17">
                  <c:v>-0.20700126987995537</c:v>
                </c:pt>
                <c:pt idx="18">
                  <c:v>-0.21267358778005951</c:v>
                </c:pt>
                <c:pt idx="19">
                  <c:v>-0.21819849712262274</c:v>
                </c:pt>
                <c:pt idx="20">
                  <c:v>-0.22358692572218919</c:v>
                </c:pt>
                <c:pt idx="21">
                  <c:v>-0.22884851443963616</c:v>
                </c:pt>
                <c:pt idx="22">
                  <c:v>-0.23399181987530437</c:v>
                </c:pt>
                <c:pt idx="23">
                  <c:v>-0.23902447777557312</c:v>
                </c:pt>
                <c:pt idx="24">
                  <c:v>-0.24395333607723846</c:v>
                </c:pt>
                <c:pt idx="25">
                  <c:v>-0.2487845642127795</c:v>
                </c:pt>
                <c:pt idx="26">
                  <c:v>-0.25352374365702157</c:v>
                </c:pt>
                <c:pt idx="27">
                  <c:v>-0.25817594350597373</c:v>
                </c:pt>
                <c:pt idx="28">
                  <c:v>-0.26274578400523996</c:v>
                </c:pt>
                <c:pt idx="29">
                  <c:v>-0.26723749029628474</c:v>
                </c:pt>
                <c:pt idx="30">
                  <c:v>-0.27165493816086861</c:v>
                </c:pt>
                <c:pt idx="31">
                  <c:v>-0.27600169317327372</c:v>
                </c:pt>
                <c:pt idx="32">
                  <c:v>-0.28028104438552837</c:v>
                </c:pt>
                <c:pt idx="33">
                  <c:v>-0.28449603345068109</c:v>
                </c:pt>
                <c:pt idx="34">
                  <c:v>-0.28864947991725109</c:v>
                </c:pt>
                <c:pt idx="35">
                  <c:v>-0.29274400329268613</c:v>
                </c:pt>
                <c:pt idx="36">
                  <c:v>-0.29678204236637484</c:v>
                </c:pt>
                <c:pt idx="37">
                  <c:v>-0.30076587219710493</c:v>
                </c:pt>
                <c:pt idx="38">
                  <c:v>-0.30469761910099324</c:v>
                </c:pt>
                <c:pt idx="39">
                  <c:v>-0.30857927392023987</c:v>
                </c:pt>
                <c:pt idx="40">
                  <c:v>-0.31241270380775321</c:v>
                </c:pt>
                <c:pt idx="41">
                  <c:v>-0.31619966272562605</c:v>
                </c:pt>
                <c:pt idx="42">
                  <c:v>-0.31994180082497536</c:v>
                </c:pt>
                <c:pt idx="43">
                  <c:v>-0.3236406728494684</c:v>
                </c:pt>
                <c:pt idx="44">
                  <c:v>-0.32729774568393422</c:v>
                </c:pt>
                <c:pt idx="45">
                  <c:v>-0.33091440515201775</c:v>
                </c:pt>
                <c:pt idx="46">
                  <c:v>-0.33449196215222021</c:v>
                </c:pt>
                <c:pt idx="47">
                  <c:v>-0.33803165820936198</c:v>
                </c:pt>
                <c:pt idx="48">
                  <c:v>-0.34153467050813369</c:v>
                </c:pt>
                <c:pt idx="49">
                  <c:v>-0.34500211646659207</c:v>
                </c:pt>
                <c:pt idx="50">
                  <c:v>-0.34843505789997176</c:v>
                </c:pt>
                <c:pt idx="51">
                  <c:v>-0.35183450481879275</c:v>
                </c:pt>
                <c:pt idx="52">
                  <c:v>-0.35520141889977541</c:v>
                </c:pt>
                <c:pt idx="53">
                  <c:v>-0.35853671666335984</c:v>
                </c:pt>
                <c:pt idx="54">
                  <c:v>-0.36184127238759078</c:v>
                </c:pt>
                <c:pt idx="55">
                  <c:v>-0.36511592078461796</c:v>
                </c:pt>
                <c:pt idx="56">
                  <c:v>-0.36836145946302268</c:v>
                </c:pt>
                <c:pt idx="57">
                  <c:v>-0.3715786511965623</c:v>
                </c:pt>
                <c:pt idx="58">
                  <c:v>-0.37476822601760817</c:v>
                </c:pt>
                <c:pt idx="59">
                  <c:v>-0.37793088315155432</c:v>
                </c:pt>
                <c:pt idx="60">
                  <c:v>-0.38106729280671936</c:v>
                </c:pt>
                <c:pt idx="61">
                  <c:v>-0.38417809783272483</c:v>
                </c:pt>
                <c:pt idx="62">
                  <c:v>-0.38726391525896042</c:v>
                </c:pt>
                <c:pt idx="63">
                  <c:v>-0.39032533772358147</c:v>
                </c:pt>
                <c:pt idx="64">
                  <c:v>-0.39336293480239903</c:v>
                </c:pt>
                <c:pt idx="65">
                  <c:v>-0.39637725424610981</c:v>
                </c:pt>
                <c:pt idx="66">
                  <c:v>-0.39936882313347088</c:v>
                </c:pt>
                <c:pt idx="67">
                  <c:v>-0.40233814894730302</c:v>
                </c:pt>
                <c:pt idx="68">
                  <c:v>-0.40528572057953249</c:v>
                </c:pt>
                <c:pt idx="69">
                  <c:v>-0.40821200927091705</c:v>
                </c:pt>
                <c:pt idx="70">
                  <c:v>-0.41111746949056771</c:v>
                </c:pt>
                <c:pt idx="71">
                  <c:v>-0.41400253975991075</c:v>
                </c:pt>
                <c:pt idx="72">
                  <c:v>-0.41686764342532623</c:v>
                </c:pt>
                <c:pt idx="73">
                  <c:v>-0.41971318938331392</c:v>
                </c:pt>
                <c:pt idx="74">
                  <c:v>-0.42253957276170251</c:v>
                </c:pt>
                <c:pt idx="75">
                  <c:v>-0.42534717556011903</c:v>
                </c:pt>
                <c:pt idx="76">
                  <c:v>-0.42813636725265369</c:v>
                </c:pt>
                <c:pt idx="77">
                  <c:v>-0.43090750535541589</c:v>
                </c:pt>
                <c:pt idx="78">
                  <c:v>-0.43366093596144495</c:v>
                </c:pt>
                <c:pt idx="79">
                  <c:v>-0.43639699424524547</c:v>
                </c:pt>
                <c:pt idx="80">
                  <c:v>-0.43911600493902925</c:v>
                </c:pt>
                <c:pt idx="81">
                  <c:v>-0.44181828278257318</c:v>
                </c:pt>
                <c:pt idx="82">
                  <c:v>-0.44450413294846958</c:v>
                </c:pt>
                <c:pt idx="83">
                  <c:v>-0.44717385144437838</c:v>
                </c:pt>
                <c:pt idx="84">
                  <c:v>-0.44982772549380257</c:v>
                </c:pt>
                <c:pt idx="85">
                  <c:v>-0.45246603389675144</c:v>
                </c:pt>
                <c:pt idx="86">
                  <c:v>-0.45508904737159384</c:v>
                </c:pt>
                <c:pt idx="87">
                  <c:v>-0.45769702887927233</c:v>
                </c:pt>
                <c:pt idx="88">
                  <c:v>-0.46029023393098623</c:v>
                </c:pt>
                <c:pt idx="89">
                  <c:v>-0.46286891088035986</c:v>
                </c:pt>
                <c:pt idx="90">
                  <c:v>-0.46543330120104098</c:v>
                </c:pt>
                <c:pt idx="91">
                  <c:v>-0.46798363975060875</c:v>
                </c:pt>
                <c:pt idx="92">
                  <c:v>-0.47052015502160605</c:v>
                </c:pt>
                <c:pt idx="93">
                  <c:v>-0.47304306938045793</c:v>
                </c:pt>
                <c:pt idx="94">
                  <c:v>-0.47555259929498161</c:v>
                </c:pt>
                <c:pt idx="95">
                  <c:v>-0.47804895555114624</c:v>
                </c:pt>
                <c:pt idx="96">
                  <c:v>-0.48053234345969953</c:v>
                </c:pt>
                <c:pt idx="97">
                  <c:v>-0.4830029630532291</c:v>
                </c:pt>
                <c:pt idx="98">
                  <c:v>-0.48546100927420288</c:v>
                </c:pt>
                <c:pt idx="99">
                  <c:v>-0.48790667215447692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E3-4D67-A37B-6394A8F62099}"/>
            </c:ext>
          </c:extLst>
        </c:ser>
        <c:ser>
          <c:idx val="10"/>
          <c:order val="10"/>
          <c:tx>
            <c:strRef>
              <c:f>Sheet1!$BA$3</c:f>
              <c:strCache>
                <c:ptCount val="1"/>
                <c:pt idx="0">
                  <c:v>0,995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Sheet1!$AP$4:$AP$103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Sheet1!$BA$4:$BA$103</c:f>
              <c:numCache>
                <c:formatCode>General</c:formatCode>
                <c:ptCount val="100"/>
                <c:pt idx="0">
                  <c:v>-5.4023059816481422E-2</c:v>
                </c:pt>
                <c:pt idx="1">
                  <c:v>-7.6400143873360998E-2</c:v>
                </c:pt>
                <c:pt idx="2">
                  <c:v>-9.3570684382478397E-2</c:v>
                </c:pt>
                <c:pt idx="3">
                  <c:v>-0.10804611963296284</c:v>
                </c:pt>
                <c:pt idx="4">
                  <c:v>-0.12079923410218979</c:v>
                </c:pt>
                <c:pt idx="5">
                  <c:v>-0.13232893089423337</c:v>
                </c:pt>
                <c:pt idx="6">
                  <c:v>-0.14293158133717654</c:v>
                </c:pt>
                <c:pt idx="7">
                  <c:v>-0.152800287746722</c:v>
                </c:pt>
                <c:pt idx="8">
                  <c:v>-0.16206917944944438</c:v>
                </c:pt>
                <c:pt idx="9">
                  <c:v>-0.17083591519159924</c:v>
                </c:pt>
                <c:pt idx="10">
                  <c:v>-0.17917421943819495</c:v>
                </c:pt>
                <c:pt idx="11">
                  <c:v>-0.18714136876495679</c:v>
                </c:pt>
                <c:pt idx="12">
                  <c:v>-0.19478291222578203</c:v>
                </c:pt>
                <c:pt idx="13">
                  <c:v>-0.20213578081846834</c:v>
                </c:pt>
                <c:pt idx="14">
                  <c:v>-0.20923041098039974</c:v>
                </c:pt>
                <c:pt idx="15">
                  <c:v>-0.21609223926592569</c:v>
                </c:pt>
                <c:pt idx="16">
                  <c:v>-0.22274278184241392</c:v>
                </c:pt>
                <c:pt idx="17">
                  <c:v>-0.22920043162008297</c:v>
                </c:pt>
                <c:pt idx="18">
                  <c:v>-0.23548105836089561</c:v>
                </c:pt>
                <c:pt idx="19">
                  <c:v>-0.24159846820437958</c:v>
                </c:pt>
                <c:pt idx="20">
                  <c:v>-0.24756476088215329</c:v>
                </c:pt>
                <c:pt idx="21">
                  <c:v>-0.25339061115710826</c:v>
                </c:pt>
                <c:pt idx="22">
                  <c:v>-0.25908549325369024</c:v>
                </c:pt>
                <c:pt idx="23">
                  <c:v>-0.26465786178846673</c:v>
                </c:pt>
                <c:pt idx="24">
                  <c:v>-0.27011529908240717</c:v>
                </c:pt>
                <c:pt idx="25">
                  <c:v>-0.27546463618822914</c:v>
                </c:pt>
                <c:pt idx="26">
                  <c:v>-0.2807120531474353</c:v>
                </c:pt>
                <c:pt idx="27">
                  <c:v>-0.28586316267435308</c:v>
                </c:pt>
                <c:pt idx="28">
                  <c:v>-0.29092308049743776</c:v>
                </c:pt>
                <c:pt idx="29">
                  <c:v>-0.29589648486937781</c:v>
                </c:pt>
                <c:pt idx="30">
                  <c:v>-0.30078766721723993</c:v>
                </c:pt>
                <c:pt idx="31">
                  <c:v>-0.30560057549344399</c:v>
                </c:pt>
                <c:pt idx="32">
                  <c:v>-0.31033885147344875</c:v>
                </c:pt>
                <c:pt idx="33">
                  <c:v>-0.31500586300225331</c:v>
                </c:pt>
                <c:pt idx="34">
                  <c:v>-0.31960473200146711</c:v>
                </c:pt>
                <c:pt idx="35">
                  <c:v>-0.32413835889888876</c:v>
                </c:pt>
                <c:pt idx="36">
                  <c:v>-0.32860944402375258</c:v>
                </c:pt>
                <c:pt idx="37">
                  <c:v>-0.33302050641594871</c:v>
                </c:pt>
                <c:pt idx="38">
                  <c:v>-0.33737390042128335</c:v>
                </c:pt>
                <c:pt idx="39">
                  <c:v>-0.34167183038319848</c:v>
                </c:pt>
                <c:pt idx="40">
                  <c:v>-0.34591636369119672</c:v>
                </c:pt>
                <c:pt idx="41">
                  <c:v>-0.35010944240519359</c:v>
                </c:pt>
                <c:pt idx="42">
                  <c:v>-0.35425289364126666</c:v>
                </c:pt>
                <c:pt idx="43">
                  <c:v>-0.3583484388763899</c:v>
                </c:pt>
                <c:pt idx="44">
                  <c:v>-0.36239770230656965</c:v>
                </c:pt>
                <c:pt idx="45">
                  <c:v>-0.36640221837349185</c:v>
                </c:pt>
                <c:pt idx="46">
                  <c:v>-0.37036343855860165</c:v>
                </c:pt>
                <c:pt idx="47">
                  <c:v>-0.37428273752991359</c:v>
                </c:pt>
                <c:pt idx="48">
                  <c:v>-0.37816141871537001</c:v>
                </c:pt>
                <c:pt idx="49">
                  <c:v>-0.38200071936680491</c:v>
                </c:pt>
                <c:pt idx="50">
                  <c:v>-0.38580181517029133</c:v>
                </c:pt>
                <c:pt idx="51">
                  <c:v>-0.38956582445156407</c:v>
                </c:pt>
                <c:pt idx="52">
                  <c:v>-0.39329381201915936</c:v>
                </c:pt>
                <c:pt idx="53">
                  <c:v>-0.39698679268269998</c:v>
                </c:pt>
                <c:pt idx="54">
                  <c:v>-0.40064573447926821</c:v>
                </c:pt>
                <c:pt idx="55">
                  <c:v>-0.40427156163693667</c:v>
                </c:pt>
                <c:pt idx="56">
                  <c:v>-0.40786515730116324</c:v>
                </c:pt>
                <c:pt idx="57">
                  <c:v>-0.41142736604683661</c:v>
                </c:pt>
                <c:pt idx="58">
                  <c:v>-0.41495899619621768</c:v>
                </c:pt>
                <c:pt idx="59">
                  <c:v>-0.41846082196079948</c:v>
                </c:pt>
                <c:pt idx="60">
                  <c:v>-0.42193358542315984</c:v>
                </c:pt>
                <c:pt idx="61">
                  <c:v>-0.42537799837318602</c:v>
                </c:pt>
                <c:pt idx="62">
                  <c:v>-0.42879474401152962</c:v>
                </c:pt>
                <c:pt idx="63">
                  <c:v>-0.43218447853185138</c:v>
                </c:pt>
                <c:pt idx="64">
                  <c:v>-0.43554783259222352</c:v>
                </c:pt>
                <c:pt idx="65">
                  <c:v>-0.43888541268504078</c:v>
                </c:pt>
                <c:pt idx="66">
                  <c:v>-0.4421978024138673</c:v>
                </c:pt>
                <c:pt idx="67">
                  <c:v>-0.44548556368482783</c:v>
                </c:pt>
                <c:pt idx="68">
                  <c:v>-0.44874923781943532</c:v>
                </c:pt>
                <c:pt idx="69">
                  <c:v>-0.45198934659509327</c:v>
                </c:pt>
                <c:pt idx="70">
                  <c:v>-0.45520639321893808</c:v>
                </c:pt>
                <c:pt idx="71">
                  <c:v>-0.45840086324016593</c:v>
                </c:pt>
                <c:pt idx="72">
                  <c:v>-0.46157322540553025</c:v>
                </c:pt>
                <c:pt idx="73">
                  <c:v>-0.46472393246227361</c:v>
                </c:pt>
                <c:pt idx="74">
                  <c:v>-0.46785342191239221</c:v>
                </c:pt>
                <c:pt idx="75">
                  <c:v>-0.47096211672179122</c:v>
                </c:pt>
                <c:pt idx="76">
                  <c:v>-0.47405042598757885</c:v>
                </c:pt>
                <c:pt idx="77">
                  <c:v>-0.47711874556648937</c:v>
                </c:pt>
                <c:pt idx="78">
                  <c:v>-0.48016745866715649</c:v>
                </c:pt>
                <c:pt idx="79">
                  <c:v>-0.48319693640875916</c:v>
                </c:pt>
                <c:pt idx="80">
                  <c:v>-0.48620753834833286</c:v>
                </c:pt>
                <c:pt idx="81">
                  <c:v>-0.48919961297887471</c:v>
                </c:pt>
                <c:pt idx="82">
                  <c:v>-0.49217349820019352</c:v>
                </c:pt>
                <c:pt idx="83">
                  <c:v>-0.49512952176430658</c:v>
                </c:pt>
                <c:pt idx="84">
                  <c:v>-0.49806800169704357</c:v>
                </c:pt>
                <c:pt idx="85">
                  <c:v>-0.50098924669739309</c:v>
                </c:pt>
                <c:pt idx="86">
                  <c:v>-0.50389355651601297</c:v>
                </c:pt>
                <c:pt idx="87">
                  <c:v>-0.50678122231421652</c:v>
                </c:pt>
                <c:pt idx="88">
                  <c:v>-0.50965252700465125</c:v>
                </c:pt>
                <c:pt idx="89">
                  <c:v>-0.51250774557479772</c:v>
                </c:pt>
                <c:pt idx="90">
                  <c:v>-0.5153471453943419</c:v>
                </c:pt>
                <c:pt idx="91">
                  <c:v>-0.51817098650738047</c:v>
                </c:pt>
                <c:pt idx="92">
                  <c:v>-0.52097952191037922</c:v>
                </c:pt>
                <c:pt idx="93">
                  <c:v>-0.52377299781670894</c:v>
                </c:pt>
                <c:pt idx="94">
                  <c:v>-0.52655165390855752</c:v>
                </c:pt>
                <c:pt idx="95">
                  <c:v>-0.52931572357693346</c:v>
                </c:pt>
                <c:pt idx="96">
                  <c:v>-0.53206543415045093</c:v>
                </c:pt>
                <c:pt idx="97">
                  <c:v>-0.53480100711352696</c:v>
                </c:pt>
                <c:pt idx="98">
                  <c:v>-0.5375226583145849</c:v>
                </c:pt>
                <c:pt idx="99">
                  <c:v>-0.54023059816481434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E3-4D67-A37B-6394A8F62099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599026072"/>
        <c:axId val="599031112"/>
        <c:axId val="581774296"/>
      </c:surface3DChart>
      <c:catAx>
        <c:axId val="599026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9031112"/>
        <c:crosses val="autoZero"/>
        <c:auto val="1"/>
        <c:lblAlgn val="ctr"/>
        <c:lblOffset val="100"/>
        <c:noMultiLvlLbl val="0"/>
      </c:catAx>
      <c:valAx>
        <c:axId val="5990311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9026072"/>
        <c:crosses val="autoZero"/>
        <c:crossBetween val="midCat"/>
      </c:valAx>
      <c:serAx>
        <c:axId val="581774296"/>
        <c:scaling>
          <c:orientation val="minMax"/>
        </c:scaling>
        <c:delete val="0"/>
        <c:axPos val="b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9031112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Non-additivity, </a:t>
            </a:r>
            <a:r>
              <a:rPr lang="el-GR">
                <a:latin typeface="Arial" panose="020B0604020202020204" pitchFamily="34" charset="0"/>
                <a:cs typeface="Arial" panose="020B0604020202020204" pitchFamily="34" charset="0"/>
              </a:rPr>
              <a:t>σ</a:t>
            </a: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 EWMA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0"/>
      <c:rotY val="130"/>
      <c:depthPercent val="27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0555555555555555E-2"/>
          <c:y val="0.17171296296296296"/>
          <c:w val="0.89722222222222214"/>
          <c:h val="0.67792796733741612"/>
        </c:manualLayout>
      </c:layout>
      <c:surface3DChart>
        <c:wireframe val="0"/>
        <c:ser>
          <c:idx val="0"/>
          <c:order val="0"/>
          <c:tx>
            <c:strRef>
              <c:f>Sheet1!$BL$137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Sheet1!$BK$138:$BK$237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Sheet1!$BL$138:$BL$237</c:f>
              <c:numCache>
                <c:formatCode>General</c:formatCode>
                <c:ptCount val="100"/>
                <c:pt idx="0">
                  <c:v>-2.7474124414136828E-3</c:v>
                </c:pt>
                <c:pt idx="1">
                  <c:v>-3.8854279360798069E-3</c:v>
                </c:pt>
                <c:pt idx="2">
                  <c:v>-4.7586579378753498E-3</c:v>
                </c:pt>
                <c:pt idx="3">
                  <c:v>-5.4948248828273656E-3</c:v>
                </c:pt>
                <c:pt idx="4">
                  <c:v>-6.1434009812296533E-3</c:v>
                </c:pt>
                <c:pt idx="5">
                  <c:v>-6.7297585944377063E-3</c:v>
                </c:pt>
                <c:pt idx="6">
                  <c:v>-7.2689700689054192E-3</c:v>
                </c:pt>
                <c:pt idx="7">
                  <c:v>-7.7708558721596138E-3</c:v>
                </c:pt>
                <c:pt idx="8">
                  <c:v>-8.2422373242410484E-3</c:v>
                </c:pt>
                <c:pt idx="9">
                  <c:v>-8.6880809867511538E-3</c:v>
                </c:pt>
                <c:pt idx="10">
                  <c:v>-9.1121362125234726E-3</c:v>
                </c:pt>
                <c:pt idx="11">
                  <c:v>-9.5173158757506995E-3</c:v>
                </c:pt>
                <c:pt idx="12">
                  <c:v>-9.9059364323647366E-3</c:v>
                </c:pt>
                <c:pt idx="13">
                  <c:v>-1.0279876055930136E-2</c:v>
                </c:pt>
                <c:pt idx="14">
                  <c:v>-1.0640682630758255E-2</c:v>
                </c:pt>
                <c:pt idx="15">
                  <c:v>-1.0989649765654731E-2</c:v>
                </c:pt>
                <c:pt idx="16">
                  <c:v>-1.1327871693084709E-2</c:v>
                </c:pt>
                <c:pt idx="17">
                  <c:v>-1.165628380823942E-2</c:v>
                </c:pt>
                <c:pt idx="18">
                  <c:v>-1.1975693188348603E-2</c:v>
                </c:pt>
                <c:pt idx="19">
                  <c:v>-1.2286801962459307E-2</c:v>
                </c:pt>
                <c:pt idx="20">
                  <c:v>-1.2590225478041627E-2</c:v>
                </c:pt>
                <c:pt idx="21">
                  <c:v>-1.2886506613941705E-2</c:v>
                </c:pt>
                <c:pt idx="22">
                  <c:v>-1.3176127194073297E-2</c:v>
                </c:pt>
                <c:pt idx="23">
                  <c:v>-1.3459517188875413E-2</c:v>
                </c:pt>
                <c:pt idx="24">
                  <c:v>-1.3737062207068414E-2</c:v>
                </c:pt>
                <c:pt idx="25">
                  <c:v>-1.400910965065596E-2</c:v>
                </c:pt>
                <c:pt idx="26">
                  <c:v>-1.4275973813626053E-2</c:v>
                </c:pt>
                <c:pt idx="27">
                  <c:v>-1.4537940137810838E-2</c:v>
                </c:pt>
                <c:pt idx="28">
                  <c:v>-1.4795268790184453E-2</c:v>
                </c:pt>
                <c:pt idx="29">
                  <c:v>-1.5048197689326146E-2</c:v>
                </c:pt>
                <c:pt idx="30">
                  <c:v>-1.529694508129893E-2</c:v>
                </c:pt>
                <c:pt idx="31">
                  <c:v>-1.5541711744319228E-2</c:v>
                </c:pt>
                <c:pt idx="32">
                  <c:v>-1.5782682885578894E-2</c:v>
                </c:pt>
                <c:pt idx="33">
                  <c:v>-1.6020029781182665E-2</c:v>
                </c:pt>
                <c:pt idx="34">
                  <c:v>-1.6253911200483848E-2</c:v>
                </c:pt>
                <c:pt idx="35">
                  <c:v>-1.6484474648482097E-2</c:v>
                </c:pt>
                <c:pt idx="36">
                  <c:v>-1.6711857453906305E-2</c:v>
                </c:pt>
                <c:pt idx="37">
                  <c:v>-1.693618772578169E-2</c:v>
                </c:pt>
                <c:pt idx="38">
                  <c:v>-1.7157585197403305E-2</c:v>
                </c:pt>
                <c:pt idx="39">
                  <c:v>-1.7376161973502308E-2</c:v>
                </c:pt>
                <c:pt idx="40">
                  <c:v>-1.7592023193840504E-2</c:v>
                </c:pt>
                <c:pt idx="41">
                  <c:v>-1.7805267624381754E-2</c:v>
                </c:pt>
                <c:pt idx="42">
                  <c:v>-1.8015988185472696E-2</c:v>
                </c:pt>
                <c:pt idx="43">
                  <c:v>-1.8224272425046945E-2</c:v>
                </c:pt>
                <c:pt idx="44">
                  <c:v>-1.843020294368896E-2</c:v>
                </c:pt>
                <c:pt idx="45">
                  <c:v>-1.8633857777411413E-2</c:v>
                </c:pt>
                <c:pt idx="46">
                  <c:v>-1.8835310743176778E-2</c:v>
                </c:pt>
                <c:pt idx="47">
                  <c:v>-1.9034631751501399E-2</c:v>
                </c:pt>
                <c:pt idx="48">
                  <c:v>-1.9231887089895781E-2</c:v>
                </c:pt>
                <c:pt idx="49">
                  <c:v>-1.9427139680399032E-2</c:v>
                </c:pt>
                <c:pt idx="50">
                  <c:v>-1.962044931404399E-2</c:v>
                </c:pt>
                <c:pt idx="51">
                  <c:v>-1.9811872864729473E-2</c:v>
                </c:pt>
                <c:pt idx="52">
                  <c:v>-2.000146448466808E-2</c:v>
                </c:pt>
                <c:pt idx="53">
                  <c:v>-2.0189275783313115E-2</c:v>
                </c:pt>
                <c:pt idx="54">
                  <c:v>-2.0375355991439956E-2</c:v>
                </c:pt>
                <c:pt idx="55">
                  <c:v>-2.0559752111860272E-2</c:v>
                </c:pt>
                <c:pt idx="56">
                  <c:v>-2.0742509058076303E-2</c:v>
                </c:pt>
                <c:pt idx="57">
                  <c:v>-2.0923669782034228E-2</c:v>
                </c:pt>
                <c:pt idx="58">
                  <c:v>-2.1103275392006019E-2</c:v>
                </c:pt>
                <c:pt idx="59">
                  <c:v>-2.128136526151651E-2</c:v>
                </c:pt>
                <c:pt idx="60">
                  <c:v>-2.1457977130133123E-2</c:v>
                </c:pt>
                <c:pt idx="61">
                  <c:v>-2.1633147196849348E-2</c:v>
                </c:pt>
                <c:pt idx="62">
                  <c:v>-2.1806910206716254E-2</c:v>
                </c:pt>
                <c:pt idx="63">
                  <c:v>-2.1979299531309462E-2</c:v>
                </c:pt>
                <c:pt idx="64">
                  <c:v>-2.2150347243559292E-2</c:v>
                </c:pt>
                <c:pt idx="65">
                  <c:v>-2.2320084187419403E-2</c:v>
                </c:pt>
                <c:pt idx="66">
                  <c:v>-2.2488540042802346E-2</c:v>
                </c:pt>
                <c:pt idx="67">
                  <c:v>-2.2655743386169418E-2</c:v>
                </c:pt>
                <c:pt idx="68">
                  <c:v>-2.28217217471249E-2</c:v>
                </c:pt>
                <c:pt idx="69">
                  <c:v>-2.2986501661332214E-2</c:v>
                </c:pt>
                <c:pt idx="70">
                  <c:v>-2.3150108720039808E-2</c:v>
                </c:pt>
                <c:pt idx="71">
                  <c:v>-2.331256761647884E-2</c:v>
                </c:pt>
                <c:pt idx="72">
                  <c:v>-2.3473902189370486E-2</c:v>
                </c:pt>
                <c:pt idx="73">
                  <c:v>-2.3634135463760194E-2</c:v>
                </c:pt>
                <c:pt idx="74">
                  <c:v>-2.3793289689376752E-2</c:v>
                </c:pt>
                <c:pt idx="75">
                  <c:v>-2.3951386376697206E-2</c:v>
                </c:pt>
                <c:pt idx="76">
                  <c:v>-2.4108446330883108E-2</c:v>
                </c:pt>
                <c:pt idx="77">
                  <c:v>-2.4264489683739617E-2</c:v>
                </c:pt>
                <c:pt idx="78">
                  <c:v>-2.4419535923836486E-2</c:v>
                </c:pt>
                <c:pt idx="79">
                  <c:v>-2.4573603924918613E-2</c:v>
                </c:pt>
                <c:pt idx="80">
                  <c:v>-2.4726711972723144E-2</c:v>
                </c:pt>
                <c:pt idx="81">
                  <c:v>-2.4878877790311303E-2</c:v>
                </c:pt>
                <c:pt idx="82">
                  <c:v>-2.5030118562014037E-2</c:v>
                </c:pt>
                <c:pt idx="83">
                  <c:v>-2.5180450956083254E-2</c:v>
                </c:pt>
                <c:pt idx="84">
                  <c:v>-2.5329891146133036E-2</c:v>
                </c:pt>
                <c:pt idx="85">
                  <c:v>-2.5478454831448939E-2</c:v>
                </c:pt>
                <c:pt idx="86">
                  <c:v>-2.562615725623759E-2</c:v>
                </c:pt>
                <c:pt idx="87">
                  <c:v>-2.5773013227883411E-2</c:v>
                </c:pt>
                <c:pt idx="88">
                  <c:v>-2.591903713427425E-2</c:v>
                </c:pt>
                <c:pt idx="89">
                  <c:v>-2.6064242960253468E-2</c:v>
                </c:pt>
                <c:pt idx="90">
                  <c:v>-2.6208644303251497E-2</c:v>
                </c:pt>
                <c:pt idx="91">
                  <c:v>-2.6352254388146593E-2</c:v>
                </c:pt>
                <c:pt idx="92">
                  <c:v>-2.6495086081400578E-2</c:v>
                </c:pt>
                <c:pt idx="93">
                  <c:v>-2.6637151904512262E-2</c:v>
                </c:pt>
                <c:pt idx="94">
                  <c:v>-2.6778464046828668E-2</c:v>
                </c:pt>
                <c:pt idx="95">
                  <c:v>-2.6919034377750825E-2</c:v>
                </c:pt>
                <c:pt idx="96">
                  <c:v>-2.7058874458368833E-2</c:v>
                </c:pt>
                <c:pt idx="97">
                  <c:v>-2.7197995552558647E-2</c:v>
                </c:pt>
                <c:pt idx="98">
                  <c:v>-2.7336408637570423E-2</c:v>
                </c:pt>
                <c:pt idx="99">
                  <c:v>-2.7474124414136828E-2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5-4961-A455-048BDEAF4149}"/>
            </c:ext>
          </c:extLst>
        </c:ser>
        <c:ser>
          <c:idx val="1"/>
          <c:order val="1"/>
          <c:tx>
            <c:strRef>
              <c:f>Sheet1!$BM$137</c:f>
              <c:strCache>
                <c:ptCount val="1"/>
                <c:pt idx="0">
                  <c:v>0,91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Sheet1!$BK$138:$BK$237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Sheet1!$BM$138:$BM$237</c:f>
              <c:numCache>
                <c:formatCode>General</c:formatCode>
                <c:ptCount val="100"/>
                <c:pt idx="0">
                  <c:v>-2.9814394939474032E-3</c:v>
                </c:pt>
                <c:pt idx="1">
                  <c:v>-4.2163921677351949E-3</c:v>
                </c:pt>
                <c:pt idx="2">
                  <c:v>-5.1640046832093448E-3</c:v>
                </c:pt>
                <c:pt idx="3">
                  <c:v>-5.9628789878948063E-3</c:v>
                </c:pt>
                <c:pt idx="4">
                  <c:v>-6.6667013792689666E-3</c:v>
                </c:pt>
                <c:pt idx="5">
                  <c:v>-7.3030054591528334E-3</c:v>
                </c:pt>
                <c:pt idx="6">
                  <c:v>-7.8881474499710932E-3</c:v>
                </c:pt>
                <c:pt idx="7">
                  <c:v>-8.4327843354703898E-3</c:v>
                </c:pt>
                <c:pt idx="8">
                  <c:v>-8.9443184818422099E-3</c:v>
                </c:pt>
                <c:pt idx="9">
                  <c:v>-9.4281395068535924E-3</c:v>
                </c:pt>
                <c:pt idx="10">
                  <c:v>-9.8883161365706154E-3</c:v>
                </c:pt>
                <c:pt idx="11">
                  <c:v>-1.032800936641869E-2</c:v>
                </c:pt>
                <c:pt idx="12">
                  <c:v>-1.0749732970120768E-2</c:v>
                </c:pt>
                <c:pt idx="13">
                  <c:v>-1.1155525105747861E-2</c:v>
                </c:pt>
                <c:pt idx="14">
                  <c:v>-1.1547065507783364E-2</c:v>
                </c:pt>
                <c:pt idx="15">
                  <c:v>-1.1925757975789613E-2</c:v>
                </c:pt>
                <c:pt idx="16">
                  <c:v>-1.229278994993321E-2</c:v>
                </c:pt>
                <c:pt idx="17">
                  <c:v>-1.2649176503205585E-2</c:v>
                </c:pt>
                <c:pt idx="18">
                  <c:v>-1.2995793460397777E-2</c:v>
                </c:pt>
                <c:pt idx="19">
                  <c:v>-1.3333402758537933E-2</c:v>
                </c:pt>
                <c:pt idx="20">
                  <c:v>-1.3662672160944807E-2</c:v>
                </c:pt>
                <c:pt idx="21">
                  <c:v>-1.398419078937089E-2</c:v>
                </c:pt>
                <c:pt idx="22">
                  <c:v>-1.4298481509922474E-2</c:v>
                </c:pt>
                <c:pt idx="23">
                  <c:v>-1.4606010918305667E-2</c:v>
                </c:pt>
                <c:pt idx="24">
                  <c:v>-1.4907197469737015E-2</c:v>
                </c:pt>
                <c:pt idx="25">
                  <c:v>-1.5202418158234006E-2</c:v>
                </c:pt>
                <c:pt idx="26">
                  <c:v>-1.5492014049628031E-2</c:v>
                </c:pt>
                <c:pt idx="27">
                  <c:v>-1.5776294899942186E-2</c:v>
                </c:pt>
                <c:pt idx="28">
                  <c:v>-1.6055543037406458E-2</c:v>
                </c:pt>
                <c:pt idx="29">
                  <c:v>-1.6330016646717797E-2</c:v>
                </c:pt>
                <c:pt idx="30">
                  <c:v>-1.6599952564334323E-2</c:v>
                </c:pt>
                <c:pt idx="31">
                  <c:v>-1.686556867094078E-2</c:v>
                </c:pt>
                <c:pt idx="32">
                  <c:v>-1.7127065949843496E-2</c:v>
                </c:pt>
                <c:pt idx="33">
                  <c:v>-1.7384630266599223E-2</c:v>
                </c:pt>
                <c:pt idx="34">
                  <c:v>-1.7638433914676982E-2</c:v>
                </c:pt>
                <c:pt idx="35">
                  <c:v>-1.788863696368442E-2</c:v>
                </c:pt>
                <c:pt idx="36">
                  <c:v>-1.8135388440134549E-2</c:v>
                </c:pt>
                <c:pt idx="37">
                  <c:v>-1.8378827365494114E-2</c:v>
                </c:pt>
                <c:pt idx="38">
                  <c:v>-1.8619083672047468E-2</c:v>
                </c:pt>
                <c:pt idx="39">
                  <c:v>-1.8856279013707185E-2</c:v>
                </c:pt>
                <c:pt idx="40">
                  <c:v>-1.9090527486134143E-2</c:v>
                </c:pt>
                <c:pt idx="41">
                  <c:v>-1.932193626826547E-2</c:v>
                </c:pt>
                <c:pt idx="42">
                  <c:v>-1.955060619548616E-2</c:v>
                </c:pt>
                <c:pt idx="43">
                  <c:v>-1.9776632273141231E-2</c:v>
                </c:pt>
                <c:pt idx="44">
                  <c:v>-2.0000104137806896E-2</c:v>
                </c:pt>
                <c:pt idx="45">
                  <c:v>-2.0221106472673302E-2</c:v>
                </c:pt>
                <c:pt idx="46">
                  <c:v>-2.0439719382497879E-2</c:v>
                </c:pt>
                <c:pt idx="47">
                  <c:v>-2.0656018732837379E-2</c:v>
                </c:pt>
                <c:pt idx="48">
                  <c:v>-2.0870076457631819E-2</c:v>
                </c:pt>
                <c:pt idx="49">
                  <c:v>-2.1081960838675973E-2</c:v>
                </c:pt>
                <c:pt idx="50">
                  <c:v>-2.1291736760056391E-2</c:v>
                </c:pt>
                <c:pt idx="51">
                  <c:v>-2.1499465940241536E-2</c:v>
                </c:pt>
                <c:pt idx="52">
                  <c:v>-2.1705207144178E-2</c:v>
                </c:pt>
                <c:pt idx="53">
                  <c:v>-2.1909016377458498E-2</c:v>
                </c:pt>
                <c:pt idx="54">
                  <c:v>-2.2110947064379997E-2</c:v>
                </c:pt>
                <c:pt idx="55">
                  <c:v>-2.2311050211495723E-2</c:v>
                </c:pt>
                <c:pt idx="56">
                  <c:v>-2.2509374558080303E-2</c:v>
                </c:pt>
                <c:pt idx="57">
                  <c:v>-2.2705966714765137E-2</c:v>
                </c:pt>
                <c:pt idx="58">
                  <c:v>-2.2900871291461629E-2</c:v>
                </c:pt>
                <c:pt idx="59">
                  <c:v>-2.3094131015566729E-2</c:v>
                </c:pt>
                <c:pt idx="60">
                  <c:v>-2.3285786841338009E-2</c:v>
                </c:pt>
                <c:pt idx="61">
                  <c:v>-2.3475878051231643E-2</c:v>
                </c:pt>
                <c:pt idx="62">
                  <c:v>-2.3664442349913276E-2</c:v>
                </c:pt>
                <c:pt idx="63">
                  <c:v>-2.3851515951579225E-2</c:v>
                </c:pt>
                <c:pt idx="64">
                  <c:v>-2.4037133661160757E-2</c:v>
                </c:pt>
                <c:pt idx="65">
                  <c:v>-2.4221328949927106E-2</c:v>
                </c:pt>
                <c:pt idx="66">
                  <c:v>-2.4404134025952366E-2</c:v>
                </c:pt>
                <c:pt idx="67">
                  <c:v>-2.4585579899866421E-2</c:v>
                </c:pt>
                <c:pt idx="68">
                  <c:v>-2.4765696446269893E-2</c:v>
                </c:pt>
                <c:pt idx="69">
                  <c:v>-2.4944512461157746E-2</c:v>
                </c:pt>
                <c:pt idx="70">
                  <c:v>-2.5122055715663946E-2</c:v>
                </c:pt>
                <c:pt idx="71">
                  <c:v>-2.5298353006411169E-2</c:v>
                </c:pt>
                <c:pt idx="72">
                  <c:v>-2.5473430202724214E-2</c:v>
                </c:pt>
                <c:pt idx="73">
                  <c:v>-2.5647312290942526E-2</c:v>
                </c:pt>
                <c:pt idx="74">
                  <c:v>-2.5820023416046719E-2</c:v>
                </c:pt>
                <c:pt idx="75">
                  <c:v>-2.5991586920795555E-2</c:v>
                </c:pt>
                <c:pt idx="76">
                  <c:v>-2.6162025382552852E-2</c:v>
                </c:pt>
                <c:pt idx="77">
                  <c:v>-2.6331360647968982E-2</c:v>
                </c:pt>
                <c:pt idx="78">
                  <c:v>-2.6499613865667519E-2</c:v>
                </c:pt>
                <c:pt idx="79">
                  <c:v>-2.6666805517075867E-2</c:v>
                </c:pt>
                <c:pt idx="80">
                  <c:v>-2.6832955445526632E-2</c:v>
                </c:pt>
                <c:pt idx="81">
                  <c:v>-2.6998082883747259E-2</c:v>
                </c:pt>
                <c:pt idx="82">
                  <c:v>-2.7162206479845408E-2</c:v>
                </c:pt>
                <c:pt idx="83">
                  <c:v>-2.7325344321889614E-2</c:v>
                </c:pt>
                <c:pt idx="84">
                  <c:v>-2.748751396117689E-2</c:v>
                </c:pt>
                <c:pt idx="85">
                  <c:v>-2.7648732434271992E-2</c:v>
                </c:pt>
                <c:pt idx="86">
                  <c:v>-2.7809016283896724E-2</c:v>
                </c:pt>
                <c:pt idx="87">
                  <c:v>-2.7968381578741781E-2</c:v>
                </c:pt>
                <c:pt idx="88">
                  <c:v>-2.8126843932268185E-2</c:v>
                </c:pt>
                <c:pt idx="89">
                  <c:v>-2.8284418520560774E-2</c:v>
                </c:pt>
                <c:pt idx="90">
                  <c:v>-2.8441120099291277E-2</c:v>
                </c:pt>
                <c:pt idx="91">
                  <c:v>-2.8596963019844948E-2</c:v>
                </c:pt>
                <c:pt idx="92">
                  <c:v>-2.8751961244660323E-2</c:v>
                </c:pt>
                <c:pt idx="93">
                  <c:v>-2.8906128361828723E-2</c:v>
                </c:pt>
                <c:pt idx="94">
                  <c:v>-2.9059477598996644E-2</c:v>
                </c:pt>
                <c:pt idx="95">
                  <c:v>-2.9212021836611334E-2</c:v>
                </c:pt>
                <c:pt idx="96">
                  <c:v>-2.9363773620546908E-2</c:v>
                </c:pt>
                <c:pt idx="97">
                  <c:v>-2.9514745174146359E-2</c:v>
                </c:pt>
                <c:pt idx="98">
                  <c:v>-2.9664948409711844E-2</c:v>
                </c:pt>
                <c:pt idx="99">
                  <c:v>-2.9814394939474031E-2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05-4961-A455-048BDEAF4149}"/>
            </c:ext>
          </c:extLst>
        </c:ser>
        <c:ser>
          <c:idx val="2"/>
          <c:order val="2"/>
          <c:tx>
            <c:strRef>
              <c:f>Sheet1!$BN$137</c:f>
              <c:strCache>
                <c:ptCount val="1"/>
                <c:pt idx="0">
                  <c:v>0,92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Sheet1!$BK$138:$BK$237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Sheet1!$BN$138:$BN$237</c:f>
              <c:numCache>
                <c:formatCode>General</c:formatCode>
                <c:ptCount val="100"/>
                <c:pt idx="0">
                  <c:v>-3.2356780989718178E-3</c:v>
                </c:pt>
                <c:pt idx="1">
                  <c:v>-4.5759398510395403E-3</c:v>
                </c:pt>
                <c:pt idx="2">
                  <c:v>-5.6043588643570653E-3</c:v>
                </c:pt>
                <c:pt idx="3">
                  <c:v>-6.4713561979436356E-3</c:v>
                </c:pt>
                <c:pt idx="4">
                  <c:v>-7.2351961826082768E-3</c:v>
                </c:pt>
                <c:pt idx="5">
                  <c:v>-7.9257603143796408E-3</c:v>
                </c:pt>
                <c:pt idx="6">
                  <c:v>-8.5607995725376709E-3</c:v>
                </c:pt>
                <c:pt idx="7">
                  <c:v>-9.1518797020790806E-3</c:v>
                </c:pt>
                <c:pt idx="8">
                  <c:v>-9.7070342969154538E-3</c:v>
                </c:pt>
                <c:pt idx="9">
                  <c:v>-1.0232112567874671E-2</c:v>
                </c:pt>
                <c:pt idx="10">
                  <c:v>-1.0731530196659966E-2</c:v>
                </c:pt>
                <c:pt idx="11">
                  <c:v>-1.1208717728714131E-2</c:v>
                </c:pt>
                <c:pt idx="12">
                  <c:v>-1.1666403296738733E-2</c:v>
                </c:pt>
                <c:pt idx="13">
                  <c:v>-1.2106798860240565E-2</c:v>
                </c:pt>
                <c:pt idx="14">
                  <c:v>-1.2531727391005925E-2</c:v>
                </c:pt>
                <c:pt idx="15">
                  <c:v>-1.2942712395887271E-2</c:v>
                </c:pt>
                <c:pt idx="16">
                  <c:v>-1.334104257255856E-2</c:v>
                </c:pt>
                <c:pt idx="17">
                  <c:v>-1.3727819553118616E-2</c:v>
                </c:pt>
                <c:pt idx="18">
                  <c:v>-1.4103993847245954E-2</c:v>
                </c:pt>
                <c:pt idx="19">
                  <c:v>-1.4470392365216554E-2</c:v>
                </c:pt>
                <c:pt idx="20">
                  <c:v>-1.4827739813049167E-2</c:v>
                </c:pt>
                <c:pt idx="21">
                  <c:v>-1.5176675549132931E-2</c:v>
                </c:pt>
                <c:pt idx="22">
                  <c:v>-1.5517767026341615E-2</c:v>
                </c:pt>
                <c:pt idx="23">
                  <c:v>-1.5851520628759282E-2</c:v>
                </c:pt>
                <c:pt idx="24">
                  <c:v>-1.6178390494859089E-2</c:v>
                </c:pt>
                <c:pt idx="25">
                  <c:v>-1.6498785766362101E-2</c:v>
                </c:pt>
                <c:pt idx="26">
                  <c:v>-1.6813076593071203E-2</c:v>
                </c:pt>
                <c:pt idx="27">
                  <c:v>-1.7121599145075342E-2</c:v>
                </c:pt>
                <c:pt idx="28">
                  <c:v>-1.742465982579891E-2</c:v>
                </c:pt>
                <c:pt idx="29">
                  <c:v>-1.7722538836322979E-2</c:v>
                </c:pt>
                <c:pt idx="30">
                  <c:v>-1.8015493209044883E-2</c:v>
                </c:pt>
                <c:pt idx="31">
                  <c:v>-1.8303759404158161E-2</c:v>
                </c:pt>
                <c:pt idx="32">
                  <c:v>-1.8587555543574684E-2</c:v>
                </c:pt>
                <c:pt idx="33">
                  <c:v>-1.886708334230916E-2</c:v>
                </c:pt>
                <c:pt idx="34">
                  <c:v>-1.914252978594537E-2</c:v>
                </c:pt>
                <c:pt idx="35">
                  <c:v>-1.9414068593830908E-2</c:v>
                </c:pt>
                <c:pt idx="36">
                  <c:v>-1.9681861500532343E-2</c:v>
                </c:pt>
                <c:pt idx="37">
                  <c:v>-1.9946059382401911E-2</c:v>
                </c:pt>
                <c:pt idx="38">
                  <c:v>-2.0206803251540534E-2</c:v>
                </c:pt>
                <c:pt idx="39">
                  <c:v>-2.0464225135749341E-2</c:v>
                </c:pt>
                <c:pt idx="40">
                  <c:v>-2.0718448860057088E-2</c:v>
                </c:pt>
                <c:pt idx="41">
                  <c:v>-2.0969590742953632E-2</c:v>
                </c:pt>
                <c:pt idx="42">
                  <c:v>-2.1217760218438055E-2</c:v>
                </c:pt>
                <c:pt idx="43">
                  <c:v>-2.1463060393319931E-2</c:v>
                </c:pt>
                <c:pt idx="44">
                  <c:v>-2.1705588547824832E-2</c:v>
                </c:pt>
                <c:pt idx="45">
                  <c:v>-2.1945436586398324E-2</c:v>
                </c:pt>
                <c:pt idx="46">
                  <c:v>-2.218269144463305E-2</c:v>
                </c:pt>
                <c:pt idx="47">
                  <c:v>-2.2417435457428261E-2</c:v>
                </c:pt>
                <c:pt idx="48">
                  <c:v>-2.2649746692802723E-2</c:v>
                </c:pt>
                <c:pt idx="49">
                  <c:v>-2.2879699255197693E-2</c:v>
                </c:pt>
                <c:pt idx="50">
                  <c:v>-2.3107363561610826E-2</c:v>
                </c:pt>
                <c:pt idx="51">
                  <c:v>-2.3332806593477466E-2</c:v>
                </c:pt>
                <c:pt idx="52">
                  <c:v>-2.3556092126853116E-2</c:v>
                </c:pt>
                <c:pt idx="53">
                  <c:v>-2.3777280943138919E-2</c:v>
                </c:pt>
                <c:pt idx="54">
                  <c:v>-2.3996431022323364E-2</c:v>
                </c:pt>
                <c:pt idx="55">
                  <c:v>-2.421359772048113E-2</c:v>
                </c:pt>
                <c:pt idx="56">
                  <c:v>-2.4428833933068821E-2</c:v>
                </c:pt>
                <c:pt idx="57">
                  <c:v>-2.4642190245382431E-2</c:v>
                </c:pt>
                <c:pt idx="58">
                  <c:v>-2.4853715071388959E-2</c:v>
                </c:pt>
                <c:pt idx="59">
                  <c:v>-2.506345478201185E-2</c:v>
                </c:pt>
                <c:pt idx="60">
                  <c:v>-2.5271453823832894E-2</c:v>
                </c:pt>
                <c:pt idx="61">
                  <c:v>-2.5477754829071664E-2</c:v>
                </c:pt>
                <c:pt idx="62">
                  <c:v>-2.5682398717613009E-2</c:v>
                </c:pt>
                <c:pt idx="63">
                  <c:v>-2.5885424791774542E-2</c:v>
                </c:pt>
                <c:pt idx="64">
                  <c:v>-2.6086870824435456E-2</c:v>
                </c:pt>
                <c:pt idx="65">
                  <c:v>-2.628677314108652E-2</c:v>
                </c:pt>
                <c:pt idx="66">
                  <c:v>-2.6485166696305951E-2</c:v>
                </c:pt>
                <c:pt idx="67">
                  <c:v>-2.6682085145117121E-2</c:v>
                </c:pt>
                <c:pt idx="68">
                  <c:v>-2.6877560909640698E-2</c:v>
                </c:pt>
                <c:pt idx="69">
                  <c:v>-2.7071625241414887E-2</c:v>
                </c:pt>
                <c:pt idx="70">
                  <c:v>-2.7264308279723093E-2</c:v>
                </c:pt>
                <c:pt idx="71">
                  <c:v>-2.7455639106237231E-2</c:v>
                </c:pt>
                <c:pt idx="72">
                  <c:v>-2.7645645796257119E-2</c:v>
                </c:pt>
                <c:pt idx="73">
                  <c:v>-2.7834355466801717E-2</c:v>
                </c:pt>
                <c:pt idx="74">
                  <c:v>-2.8021794321785334E-2</c:v>
                </c:pt>
                <c:pt idx="75">
                  <c:v>-2.8207987694491909E-2</c:v>
                </c:pt>
                <c:pt idx="76">
                  <c:v>-2.8392960087542347E-2</c:v>
                </c:pt>
                <c:pt idx="77">
                  <c:v>-2.8576735210533381E-2</c:v>
                </c:pt>
                <c:pt idx="78">
                  <c:v>-2.8759336015511623E-2</c:v>
                </c:pt>
                <c:pt idx="79">
                  <c:v>-2.8940784730433107E-2</c:v>
                </c:pt>
                <c:pt idx="80">
                  <c:v>-2.9121102890746358E-2</c:v>
                </c:pt>
                <c:pt idx="81">
                  <c:v>-2.9300311369226131E-2</c:v>
                </c:pt>
                <c:pt idx="82">
                  <c:v>-2.9478430404174635E-2</c:v>
                </c:pt>
                <c:pt idx="83">
                  <c:v>-2.9655479626098335E-2</c:v>
                </c:pt>
                <c:pt idx="84">
                  <c:v>-2.9831478082959609E-2</c:v>
                </c:pt>
                <c:pt idx="85">
                  <c:v>-3.000644426409543E-2</c:v>
                </c:pt>
                <c:pt idx="86">
                  <c:v>-3.0180396122887972E-2</c:v>
                </c:pt>
                <c:pt idx="87">
                  <c:v>-3.0353351098265861E-2</c:v>
                </c:pt>
                <c:pt idx="88">
                  <c:v>-3.0525326135108905E-2</c:v>
                </c:pt>
                <c:pt idx="89">
                  <c:v>-3.0696337703624007E-2</c:v>
                </c:pt>
                <c:pt idx="90">
                  <c:v>-3.0866401817754765E-2</c:v>
                </c:pt>
                <c:pt idx="91">
                  <c:v>-3.1035534052683229E-2</c:v>
                </c:pt>
                <c:pt idx="92">
                  <c:v>-3.1203749561477812E-2</c:v>
                </c:pt>
                <c:pt idx="93">
                  <c:v>-3.1371063090937679E-2</c:v>
                </c:pt>
                <c:pt idx="94">
                  <c:v>-3.1537488996680726E-2</c:v>
                </c:pt>
                <c:pt idx="95">
                  <c:v>-3.1703041257518563E-2</c:v>
                </c:pt>
                <c:pt idx="96">
                  <c:v>-3.1867733489159375E-2</c:v>
                </c:pt>
                <c:pt idx="97">
                  <c:v>-3.2031578957276763E-2</c:v>
                </c:pt>
                <c:pt idx="98">
                  <c:v>-3.2194590589979893E-2</c:v>
                </c:pt>
                <c:pt idx="99">
                  <c:v>-3.2356780989718177E-2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5-4961-A455-048BDEAF4149}"/>
            </c:ext>
          </c:extLst>
        </c:ser>
        <c:ser>
          <c:idx val="3"/>
          <c:order val="3"/>
          <c:tx>
            <c:strRef>
              <c:f>Sheet1!$BO$137</c:f>
              <c:strCache>
                <c:ptCount val="1"/>
                <c:pt idx="0">
                  <c:v>0,93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Sheet1!$BK$138:$BK$237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Sheet1!$BO$138:$BO$237</c:f>
              <c:numCache>
                <c:formatCode>General</c:formatCode>
                <c:ptCount val="100"/>
                <c:pt idx="0">
                  <c:v>-3.5152270703522532E-3</c:v>
                </c:pt>
                <c:pt idx="1">
                  <c:v>-4.9712817977131986E-3</c:v>
                </c:pt>
                <c:pt idx="2">
                  <c:v>-6.0885518859915997E-3</c:v>
                </c:pt>
                <c:pt idx="3">
                  <c:v>-7.0304541407045064E-3</c:v>
                </c:pt>
                <c:pt idx="4">
                  <c:v>-7.8602866856550737E-3</c:v>
                </c:pt>
                <c:pt idx="5">
                  <c:v>-8.6105126523816043E-3</c:v>
                </c:pt>
                <c:pt idx="6">
                  <c:v>-9.3004166300742156E-3</c:v>
                </c:pt>
                <c:pt idx="7">
                  <c:v>-9.9425635954263972E-3</c:v>
                </c:pt>
                <c:pt idx="8">
                  <c:v>-1.0545681211056758E-2</c:v>
                </c:pt>
                <c:pt idx="9">
                  <c:v>-1.1116124034994072E-2</c:v>
                </c:pt>
                <c:pt idx="10">
                  <c:v>-1.1658689245258666E-2</c:v>
                </c:pt>
                <c:pt idx="11">
                  <c:v>-1.2177103771983199E-2</c:v>
                </c:pt>
                <c:pt idx="12">
                  <c:v>-1.2674331447054106E-2</c:v>
                </c:pt>
                <c:pt idx="13">
                  <c:v>-1.3152775333971228E-2</c:v>
                </c:pt>
                <c:pt idx="14">
                  <c:v>-1.3614415901611766E-2</c:v>
                </c:pt>
                <c:pt idx="15">
                  <c:v>-1.4060908281409013E-2</c:v>
                </c:pt>
                <c:pt idx="16">
                  <c:v>-1.4493652509092864E-2</c:v>
                </c:pt>
                <c:pt idx="17">
                  <c:v>-1.4913845393139594E-2</c:v>
                </c:pt>
                <c:pt idx="18">
                  <c:v>-1.5322519563264015E-2</c:v>
                </c:pt>
                <c:pt idx="19">
                  <c:v>-1.5720573371310147E-2</c:v>
                </c:pt>
                <c:pt idx="20">
                  <c:v>-1.610879413484706E-2</c:v>
                </c:pt>
                <c:pt idx="21">
                  <c:v>-1.6487876450138154E-2</c:v>
                </c:pt>
                <c:pt idx="22">
                  <c:v>-1.6858436795597551E-2</c:v>
                </c:pt>
                <c:pt idx="23">
                  <c:v>-1.7221025304763209E-2</c:v>
                </c:pt>
                <c:pt idx="24">
                  <c:v>-1.7576135351761266E-2</c:v>
                </c:pt>
                <c:pt idx="25">
                  <c:v>-1.7924211426435736E-2</c:v>
                </c:pt>
                <c:pt idx="26">
                  <c:v>-1.8265655657974798E-2</c:v>
                </c:pt>
                <c:pt idx="27">
                  <c:v>-1.8600833260148431E-2</c:v>
                </c:pt>
                <c:pt idx="28">
                  <c:v>-1.8930077108347473E-2</c:v>
                </c:pt>
                <c:pt idx="29">
                  <c:v>-1.9253691611847291E-2</c:v>
                </c:pt>
                <c:pt idx="30">
                  <c:v>-1.9571956009562658E-2</c:v>
                </c:pt>
                <c:pt idx="31">
                  <c:v>-1.9885127190852794E-2</c:v>
                </c:pt>
                <c:pt idx="32">
                  <c:v>-2.0193442122444866E-2</c:v>
                </c:pt>
                <c:pt idx="33">
                  <c:v>-2.0497119946681967E-2</c:v>
                </c:pt>
                <c:pt idx="34">
                  <c:v>-2.0796363803915453E-2</c:v>
                </c:pt>
                <c:pt idx="35">
                  <c:v>-2.1091362422113517E-2</c:v>
                </c:pt>
                <c:pt idx="36">
                  <c:v>-2.1382291509028664E-2</c:v>
                </c:pt>
                <c:pt idx="37">
                  <c:v>-2.1669314976095037E-2</c:v>
                </c:pt>
                <c:pt idx="38">
                  <c:v>-2.1952586018265687E-2</c:v>
                </c:pt>
                <c:pt idx="39">
                  <c:v>-2.2232248069988143E-2</c:v>
                </c:pt>
                <c:pt idx="40">
                  <c:v>-2.2508435654252576E-2</c:v>
                </c:pt>
                <c:pt idx="41">
                  <c:v>-2.2781275138976882E-2</c:v>
                </c:pt>
                <c:pt idx="42">
                  <c:v>-2.3050885412797123E-2</c:v>
                </c:pt>
                <c:pt idx="43">
                  <c:v>-2.3317378490517331E-2</c:v>
                </c:pt>
                <c:pt idx="44">
                  <c:v>-2.3580860056965219E-2</c:v>
                </c:pt>
                <c:pt idx="45">
                  <c:v>-2.3841429956743682E-2</c:v>
                </c:pt>
                <c:pt idx="46">
                  <c:v>-2.4099182636314706E-2</c:v>
                </c:pt>
                <c:pt idx="47">
                  <c:v>-2.4354207543966399E-2</c:v>
                </c:pt>
                <c:pt idx="48">
                  <c:v>-2.4606589492465771E-2</c:v>
                </c:pt>
                <c:pt idx="49">
                  <c:v>-2.4856408988565989E-2</c:v>
                </c:pt>
                <c:pt idx="50">
                  <c:v>-2.5103742532996985E-2</c:v>
                </c:pt>
                <c:pt idx="51">
                  <c:v>-2.5348662894108212E-2</c:v>
                </c:pt>
                <c:pt idx="52">
                  <c:v>-2.5591239357938021E-2</c:v>
                </c:pt>
                <c:pt idx="53">
                  <c:v>-2.583153795714482E-2</c:v>
                </c:pt>
                <c:pt idx="54">
                  <c:v>-2.6069621680944094E-2</c:v>
                </c:pt>
                <c:pt idx="55">
                  <c:v>-2.6305550667942455E-2</c:v>
                </c:pt>
                <c:pt idx="56">
                  <c:v>-2.6539382383541362E-2</c:v>
                </c:pt>
                <c:pt idx="57">
                  <c:v>-2.6771171783393468E-2</c:v>
                </c:pt>
                <c:pt idx="58">
                  <c:v>-2.7000971464228838E-2</c:v>
                </c:pt>
                <c:pt idx="59">
                  <c:v>-2.7228831803223531E-2</c:v>
                </c:pt>
                <c:pt idx="60">
                  <c:v>-2.7454801086956984E-2</c:v>
                </c:pt>
                <c:pt idx="61">
                  <c:v>-2.7678925630893112E-2</c:v>
                </c:pt>
                <c:pt idx="62">
                  <c:v>-2.7901249890222642E-2</c:v>
                </c:pt>
                <c:pt idx="63">
                  <c:v>-2.8121816562818026E-2</c:v>
                </c:pt>
                <c:pt idx="64">
                  <c:v>-2.8340666684976264E-2</c:v>
                </c:pt>
                <c:pt idx="65">
                  <c:v>-2.8557839720557657E-2</c:v>
                </c:pt>
                <c:pt idx="66">
                  <c:v>-2.877337364406889E-2</c:v>
                </c:pt>
                <c:pt idx="67">
                  <c:v>-2.8987305018185729E-2</c:v>
                </c:pt>
                <c:pt idx="68">
                  <c:v>-2.9199669066163621E-2</c:v>
                </c:pt>
                <c:pt idx="69">
                  <c:v>-2.9410499739542167E-2</c:v>
                </c:pt>
                <c:pt idx="70">
                  <c:v>-2.9619829781512036E-2</c:v>
                </c:pt>
                <c:pt idx="71">
                  <c:v>-2.9827690786279188E-2</c:v>
                </c:pt>
                <c:pt idx="72">
                  <c:v>-3.003411325473122E-2</c:v>
                </c:pt>
                <c:pt idx="73">
                  <c:v>-3.0239126646683417E-2</c:v>
                </c:pt>
                <c:pt idx="74">
                  <c:v>-3.0442759429957993E-2</c:v>
                </c:pt>
                <c:pt idx="75">
                  <c:v>-3.064503912652803E-2</c:v>
                </c:pt>
                <c:pt idx="76">
                  <c:v>-3.0845992355937771E-2</c:v>
                </c:pt>
                <c:pt idx="77">
                  <c:v>-3.1045644876193317E-2</c:v>
                </c:pt>
                <c:pt idx="78">
                  <c:v>-3.1244021622301527E-2</c:v>
                </c:pt>
                <c:pt idx="79">
                  <c:v>-3.1441146742620295E-2</c:v>
                </c:pt>
                <c:pt idx="80">
                  <c:v>-3.1637043633170284E-2</c:v>
                </c:pt>
                <c:pt idx="81">
                  <c:v>-3.1831734970046127E-2</c:v>
                </c:pt>
                <c:pt idx="82">
                  <c:v>-3.2025242740054208E-2</c:v>
                </c:pt>
                <c:pt idx="83">
                  <c:v>-3.221758826969412E-2</c:v>
                </c:pt>
                <c:pt idx="84">
                  <c:v>-3.2408792252592036E-2</c:v>
                </c:pt>
                <c:pt idx="85">
                  <c:v>-3.2598874775485842E-2</c:v>
                </c:pt>
                <c:pt idx="86">
                  <c:v>-3.2787855342854375E-2</c:v>
                </c:pt>
                <c:pt idx="87">
                  <c:v>-3.2975752900276309E-2</c:v>
                </c:pt>
                <c:pt idx="88">
                  <c:v>-3.3162585856597759E-2</c:v>
                </c:pt>
                <c:pt idx="89">
                  <c:v>-3.3348372104982212E-2</c:v>
                </c:pt>
                <c:pt idx="90">
                  <c:v>-3.3533129042910573E-2</c:v>
                </c:pt>
                <c:pt idx="91">
                  <c:v>-3.3716873591195101E-2</c:v>
                </c:pt>
                <c:pt idx="92">
                  <c:v>-3.3899622212065543E-2</c:v>
                </c:pt>
                <c:pt idx="93">
                  <c:v>-3.408139092638246E-2</c:v>
                </c:pt>
                <c:pt idx="94">
                  <c:v>-3.4262195330028722E-2</c:v>
                </c:pt>
                <c:pt idx="95">
                  <c:v>-3.4442050609526417E-2</c:v>
                </c:pt>
                <c:pt idx="96">
                  <c:v>-3.4620971556923653E-2</c:v>
                </c:pt>
                <c:pt idx="97">
                  <c:v>-3.4798972583992387E-2</c:v>
                </c:pt>
                <c:pt idx="98">
                  <c:v>-3.4976067735776009E-2</c:v>
                </c:pt>
                <c:pt idx="99">
                  <c:v>-3.5152270703522531E-2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5-4961-A455-048BDEAF4149}"/>
            </c:ext>
          </c:extLst>
        </c:ser>
        <c:ser>
          <c:idx val="4"/>
          <c:order val="4"/>
          <c:tx>
            <c:strRef>
              <c:f>Sheet1!$BP$137</c:f>
              <c:strCache>
                <c:ptCount val="1"/>
                <c:pt idx="0">
                  <c:v>0,94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Sheet1!$BK$138:$BK$237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Sheet1!$BP$138:$BP$237</c:f>
              <c:numCache>
                <c:formatCode>General</c:formatCode>
                <c:ptCount val="100"/>
                <c:pt idx="0">
                  <c:v>-3.8274394761325342E-3</c:v>
                </c:pt>
                <c:pt idx="1">
                  <c:v>-5.4128168163088044E-3</c:v>
                </c:pt>
                <c:pt idx="2">
                  <c:v>-6.6293196355563565E-3</c:v>
                </c:pt>
                <c:pt idx="3">
                  <c:v>-7.6548789522650684E-3</c:v>
                </c:pt>
                <c:pt idx="4">
                  <c:v>-8.5584148483985323E-3</c:v>
                </c:pt>
                <c:pt idx="5">
                  <c:v>-9.3752737379100629E-3</c:v>
                </c:pt>
                <c:pt idx="6">
                  <c:v>-1.0126453011998025E-2</c:v>
                </c:pt>
                <c:pt idx="7">
                  <c:v>-1.0825633632617609E-2</c:v>
                </c:pt>
                <c:pt idx="8">
                  <c:v>-1.1482318428397604E-2</c:v>
                </c:pt>
                <c:pt idx="9">
                  <c:v>-1.2103426351020479E-2</c:v>
                </c:pt>
                <c:pt idx="10">
                  <c:v>-1.269418065012605E-2</c:v>
                </c:pt>
                <c:pt idx="11">
                  <c:v>-1.3258639271112713E-2</c:v>
                </c:pt>
                <c:pt idx="12">
                  <c:v>-1.3800029284930878E-2</c:v>
                </c:pt>
                <c:pt idx="13">
                  <c:v>-1.4320967188301477E-2</c:v>
                </c:pt>
                <c:pt idx="14">
                  <c:v>-1.4823609349678146E-2</c:v>
                </c:pt>
                <c:pt idx="15">
                  <c:v>-1.5309757904530137E-2</c:v>
                </c:pt>
                <c:pt idx="16">
                  <c:v>-1.5780937235753162E-2</c:v>
                </c:pt>
                <c:pt idx="17">
                  <c:v>-1.6238450448926411E-2</c:v>
                </c:pt>
                <c:pt idx="18">
                  <c:v>-1.6683421888979977E-2</c:v>
                </c:pt>
                <c:pt idx="19">
                  <c:v>-1.7116829696797065E-2</c:v>
                </c:pt>
                <c:pt idx="20">
                  <c:v>-1.7539531117239462E-2</c:v>
                </c:pt>
                <c:pt idx="21">
                  <c:v>-1.7952282438622374E-2</c:v>
                </c:pt>
                <c:pt idx="22">
                  <c:v>-1.835575489320793E-2</c:v>
                </c:pt>
                <c:pt idx="23">
                  <c:v>-1.8750547475820126E-2</c:v>
                </c:pt>
                <c:pt idx="24">
                  <c:v>-1.913719738066267E-2</c:v>
                </c:pt>
                <c:pt idx="25">
                  <c:v>-1.9516188575895134E-2</c:v>
                </c:pt>
                <c:pt idx="26">
                  <c:v>-1.988795890666907E-2</c:v>
                </c:pt>
                <c:pt idx="27">
                  <c:v>-2.0252906023996049E-2</c:v>
                </c:pt>
                <c:pt idx="28">
                  <c:v>-2.0611392368306246E-2</c:v>
                </c:pt>
                <c:pt idx="29">
                  <c:v>-2.0963749385635454E-2</c:v>
                </c:pt>
                <c:pt idx="30">
                  <c:v>-2.1310281116099526E-2</c:v>
                </c:pt>
                <c:pt idx="31">
                  <c:v>-2.1651267265235218E-2</c:v>
                </c:pt>
                <c:pt idx="32">
                  <c:v>-2.1986965846476036E-2</c:v>
                </c:pt>
                <c:pt idx="33">
                  <c:v>-2.2317615465760703E-2</c:v>
                </c:pt>
                <c:pt idx="34">
                  <c:v>-2.2643437305785066E-2</c:v>
                </c:pt>
                <c:pt idx="35">
                  <c:v>-2.2964636856795208E-2</c:v>
                </c:pt>
                <c:pt idx="36">
                  <c:v>-2.3281405432403222E-2</c:v>
                </c:pt>
                <c:pt idx="37">
                  <c:v>-2.3593921502187636E-2</c:v>
                </c:pt>
                <c:pt idx="38">
                  <c:v>-2.3902351867438693E-2</c:v>
                </c:pt>
                <c:pt idx="39">
                  <c:v>-2.4206852702040958E-2</c:v>
                </c:pt>
                <c:pt idx="40">
                  <c:v>-2.4507570476931511E-2</c:v>
                </c:pt>
                <c:pt idx="41">
                  <c:v>-2.4804642783664978E-2</c:v>
                </c:pt>
                <c:pt idx="42">
                  <c:v>-2.5098199070225743E-2</c:v>
                </c:pt>
                <c:pt idx="43">
                  <c:v>-2.5388361300252099E-2</c:v>
                </c:pt>
                <c:pt idx="44">
                  <c:v>-2.5675244545195593E-2</c:v>
                </c:pt>
                <c:pt idx="45">
                  <c:v>-2.5958957517570963E-2</c:v>
                </c:pt>
                <c:pt idx="46">
                  <c:v>-2.6239603052304571E-2</c:v>
                </c:pt>
                <c:pt idx="47">
                  <c:v>-2.6517278542225426E-2</c:v>
                </c:pt>
                <c:pt idx="48">
                  <c:v>-2.6792076332927742E-2</c:v>
                </c:pt>
                <c:pt idx="49">
                  <c:v>-2.7064084081544024E-2</c:v>
                </c:pt>
                <c:pt idx="50">
                  <c:v>-2.7333385083380034E-2</c:v>
                </c:pt>
                <c:pt idx="51">
                  <c:v>-2.7600058569861755E-2</c:v>
                </c:pt>
                <c:pt idx="52">
                  <c:v>-2.7864179980815106E-2</c:v>
                </c:pt>
                <c:pt idx="53">
                  <c:v>-2.8125821213730192E-2</c:v>
                </c:pt>
                <c:pt idx="54">
                  <c:v>-2.8385050852344319E-2</c:v>
                </c:pt>
                <c:pt idx="55">
                  <c:v>-2.8641934376602955E-2</c:v>
                </c:pt>
                <c:pt idx="56">
                  <c:v>-2.8896534355820045E-2</c:v>
                </c:pt>
                <c:pt idx="57">
                  <c:v>-2.9148910626652001E-2</c:v>
                </c:pt>
                <c:pt idx="58">
                  <c:v>-2.9399120457319867E-2</c:v>
                </c:pt>
                <c:pt idx="59">
                  <c:v>-2.9647218699356291E-2</c:v>
                </c:pt>
                <c:pt idx="60">
                  <c:v>-2.9893257928016462E-2</c:v>
                </c:pt>
                <c:pt idx="61">
                  <c:v>-3.0137288572371215E-2</c:v>
                </c:pt>
                <c:pt idx="62">
                  <c:v>-3.0379359035994064E-2</c:v>
                </c:pt>
                <c:pt idx="63">
                  <c:v>-3.0619515809060274E-2</c:v>
                </c:pt>
                <c:pt idx="64">
                  <c:v>-3.0857803572593261E-2</c:v>
                </c:pt>
                <c:pt idx="65">
                  <c:v>-3.1094265295520451E-2</c:v>
                </c:pt>
                <c:pt idx="66">
                  <c:v>-3.1328942325135473E-2</c:v>
                </c:pt>
                <c:pt idx="67">
                  <c:v>-3.1561874471506324E-2</c:v>
                </c:pt>
                <c:pt idx="68">
                  <c:v>-3.1793100086317166E-2</c:v>
                </c:pt>
                <c:pt idx="69">
                  <c:v>-3.2022656136586149E-2</c:v>
                </c:pt>
                <c:pt idx="70">
                  <c:v>-3.2250578273660402E-2</c:v>
                </c:pt>
                <c:pt idx="71">
                  <c:v>-3.2476900897852823E-2</c:v>
                </c:pt>
                <c:pt idx="72">
                  <c:v>-3.2701657219052535E-2</c:v>
                </c:pt>
                <c:pt idx="73">
                  <c:v>-3.2924879313611294E-2</c:v>
                </c:pt>
                <c:pt idx="74">
                  <c:v>-3.3146598177781789E-2</c:v>
                </c:pt>
                <c:pt idx="75">
                  <c:v>-3.3366843777959954E-2</c:v>
                </c:pt>
                <c:pt idx="76">
                  <c:v>-3.3585645097961747E-2</c:v>
                </c:pt>
                <c:pt idx="77">
                  <c:v>-3.3803030183545676E-2</c:v>
                </c:pt>
                <c:pt idx="78">
                  <c:v>-3.4019026184374489E-2</c:v>
                </c:pt>
                <c:pt idx="79">
                  <c:v>-3.4233659393594129E-2</c:v>
                </c:pt>
                <c:pt idx="80">
                  <c:v>-3.4446955285192801E-2</c:v>
                </c:pt>
                <c:pt idx="81">
                  <c:v>-3.4658938549291009E-2</c:v>
                </c:pt>
                <c:pt idx="82">
                  <c:v>-3.4869633125500302E-2</c:v>
                </c:pt>
                <c:pt idx="83">
                  <c:v>-3.5079062234478924E-2</c:v>
                </c:pt>
                <c:pt idx="84">
                  <c:v>-3.5287248407801702E-2</c:v>
                </c:pt>
                <c:pt idx="85">
                  <c:v>-3.5494213516253058E-2</c:v>
                </c:pt>
                <c:pt idx="86">
                  <c:v>-3.5699978796643828E-2</c:v>
                </c:pt>
                <c:pt idx="87">
                  <c:v>-3.5904564877244749E-2</c:v>
                </c:pt>
                <c:pt idx="88">
                  <c:v>-3.6107991801922937E-2</c:v>
                </c:pt>
                <c:pt idx="89">
                  <c:v>-3.6310279053061431E-2</c:v>
                </c:pt>
                <c:pt idx="90">
                  <c:v>-3.6511445573335632E-2</c:v>
                </c:pt>
                <c:pt idx="91">
                  <c:v>-3.6711509786415859E-2</c:v>
                </c:pt>
                <c:pt idx="92">
                  <c:v>-3.6910489616659992E-2</c:v>
                </c:pt>
                <c:pt idx="93">
                  <c:v>-3.710840250785559E-2</c:v>
                </c:pt>
                <c:pt idx="94">
                  <c:v>-3.7305265441067173E-2</c:v>
                </c:pt>
                <c:pt idx="95">
                  <c:v>-3.7501094951640251E-2</c:v>
                </c:pt>
                <c:pt idx="96">
                  <c:v>-3.7695907145410296E-2</c:v>
                </c:pt>
                <c:pt idx="97">
                  <c:v>-3.7889717714161636E-2</c:v>
                </c:pt>
                <c:pt idx="98">
                  <c:v>-3.8082541950378135E-2</c:v>
                </c:pt>
                <c:pt idx="99">
                  <c:v>-3.8274394761325339E-2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5-4961-A455-048BDEAF4149}"/>
            </c:ext>
          </c:extLst>
        </c:ser>
        <c:ser>
          <c:idx val="5"/>
          <c:order val="5"/>
          <c:tx>
            <c:strRef>
              <c:f>Sheet1!$BQ$137</c:f>
              <c:strCache>
                <c:ptCount val="1"/>
                <c:pt idx="0">
                  <c:v>0,95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Sheet1!$BK$138:$BK$237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Sheet1!$BQ$138:$BQ$237</c:f>
              <c:numCache>
                <c:formatCode>General</c:formatCode>
                <c:ptCount val="100"/>
                <c:pt idx="0">
                  <c:v>-4.1835193667943936E-3</c:v>
                </c:pt>
                <c:pt idx="1">
                  <c:v>-5.9163898269711333E-3</c:v>
                </c:pt>
                <c:pt idx="2">
                  <c:v>-7.2460680977362666E-3</c:v>
                </c:pt>
                <c:pt idx="3">
                  <c:v>-8.3670387335887872E-3</c:v>
                </c:pt>
                <c:pt idx="4">
                  <c:v>-9.3546336893391389E-3</c:v>
                </c:pt>
                <c:pt idx="5">
                  <c:v>-1.0247487777697638E-2</c:v>
                </c:pt>
                <c:pt idx="6">
                  <c:v>-1.1068551849560373E-2</c:v>
                </c:pt>
                <c:pt idx="7">
                  <c:v>-1.1832779653942267E-2</c:v>
                </c:pt>
                <c:pt idx="8">
                  <c:v>-1.2550558100383177E-2</c:v>
                </c:pt>
                <c:pt idx="9">
                  <c:v>-1.3229449834495675E-2</c:v>
                </c:pt>
                <c:pt idx="10">
                  <c:v>-1.387516404284221E-2</c:v>
                </c:pt>
                <c:pt idx="11">
                  <c:v>-1.4492136195472533E-2</c:v>
                </c:pt>
                <c:pt idx="12">
                  <c:v>-1.5083893588873826E-2</c:v>
                </c:pt>
                <c:pt idx="13">
                  <c:v>-1.5653296141478083E-2</c:v>
                </c:pt>
                <c:pt idx="14">
                  <c:v>-1.6202700836130884E-2</c:v>
                </c:pt>
                <c:pt idx="15">
                  <c:v>-1.6734077467177574E-2</c:v>
                </c:pt>
                <c:pt idx="16">
                  <c:v>-1.7249092236110396E-2</c:v>
                </c:pt>
                <c:pt idx="17">
                  <c:v>-1.7749169480913402E-2</c:v>
                </c:pt>
                <c:pt idx="18">
                  <c:v>-1.823553814820203E-2</c:v>
                </c:pt>
                <c:pt idx="19">
                  <c:v>-1.8709267378678278E-2</c:v>
                </c:pt>
                <c:pt idx="20">
                  <c:v>-1.9171294169649036E-2</c:v>
                </c:pt>
                <c:pt idx="21">
                  <c:v>-1.9622445169538962E-2</c:v>
                </c:pt>
                <c:pt idx="22">
                  <c:v>-2.0063454057661814E-2</c:v>
                </c:pt>
                <c:pt idx="23">
                  <c:v>-2.0494975555395277E-2</c:v>
                </c:pt>
                <c:pt idx="24">
                  <c:v>-2.0917596833971968E-2</c:v>
                </c:pt>
                <c:pt idx="25">
                  <c:v>-2.1331846886777937E-2</c:v>
                </c:pt>
                <c:pt idx="26">
                  <c:v>-2.1738204293208802E-2</c:v>
                </c:pt>
                <c:pt idx="27">
                  <c:v>-2.2137103699120746E-2</c:v>
                </c:pt>
                <c:pt idx="28">
                  <c:v>-2.2528941264026783E-2</c:v>
                </c:pt>
                <c:pt idx="29">
                  <c:v>-2.2914079269530187E-2</c:v>
                </c:pt>
                <c:pt idx="30">
                  <c:v>-2.3292850041647044E-2</c:v>
                </c:pt>
                <c:pt idx="31">
                  <c:v>-2.3665559307884533E-2</c:v>
                </c:pt>
                <c:pt idx="32">
                  <c:v>-2.4032489085555494E-2</c:v>
                </c:pt>
                <c:pt idx="33">
                  <c:v>-2.4393900178931782E-2</c:v>
                </c:pt>
                <c:pt idx="34">
                  <c:v>-2.4750034348098016E-2</c:v>
                </c:pt>
                <c:pt idx="35">
                  <c:v>-2.5101116200766355E-2</c:v>
                </c:pt>
                <c:pt idx="36">
                  <c:v>-2.5447354849113868E-2</c:v>
                </c:pt>
                <c:pt idx="37">
                  <c:v>-2.5788945366359266E-2</c:v>
                </c:pt>
                <c:pt idx="38">
                  <c:v>-2.6126070071891924E-2</c:v>
                </c:pt>
                <c:pt idx="39">
                  <c:v>-2.6458899668991349E-2</c:v>
                </c:pt>
                <c:pt idx="40">
                  <c:v>-2.6787594255290901E-2</c:v>
                </c:pt>
                <c:pt idx="41">
                  <c:v>-2.7112304222961906E-2</c:v>
                </c:pt>
                <c:pt idx="42">
                  <c:v>-2.7433171062981057E-2</c:v>
                </c:pt>
                <c:pt idx="43">
                  <c:v>-2.7750328085684419E-2</c:v>
                </c:pt>
                <c:pt idx="44">
                  <c:v>-2.8063901068017424E-2</c:v>
                </c:pt>
                <c:pt idx="45">
                  <c:v>-2.8374008836394845E-2</c:v>
                </c:pt>
                <c:pt idx="46">
                  <c:v>-2.8680763792830844E-2</c:v>
                </c:pt>
                <c:pt idx="47">
                  <c:v>-2.8984272390945066E-2</c:v>
                </c:pt>
                <c:pt idx="48">
                  <c:v>-2.9284635567560745E-2</c:v>
                </c:pt>
                <c:pt idx="49">
                  <c:v>-2.9581949134855672E-2</c:v>
                </c:pt>
                <c:pt idx="50">
                  <c:v>-2.9876304137385061E-2</c:v>
                </c:pt>
                <c:pt idx="51">
                  <c:v>-3.0167787177747651E-2</c:v>
                </c:pt>
                <c:pt idx="52">
                  <c:v>-3.0456480714196436E-2</c:v>
                </c:pt>
                <c:pt idx="53">
                  <c:v>-3.0742463333092929E-2</c:v>
                </c:pt>
                <c:pt idx="54">
                  <c:v>-3.1025809998755986E-2</c:v>
                </c:pt>
                <c:pt idx="55">
                  <c:v>-3.1306592282956167E-2</c:v>
                </c:pt>
                <c:pt idx="56">
                  <c:v>-3.1584878576046388E-2</c:v>
                </c:pt>
                <c:pt idx="57">
                  <c:v>-3.1860734281493545E-2</c:v>
                </c:pt>
                <c:pt idx="58">
                  <c:v>-3.2134221995378714E-2</c:v>
                </c:pt>
                <c:pt idx="59">
                  <c:v>-3.2405401672261767E-2</c:v>
                </c:pt>
                <c:pt idx="60">
                  <c:v>-3.2674330778655114E-2</c:v>
                </c:pt>
                <c:pt idx="61">
                  <c:v>-3.2941064435219956E-2</c:v>
                </c:pt>
                <c:pt idx="62">
                  <c:v>-3.3205655548681115E-2</c:v>
                </c:pt>
                <c:pt idx="63">
                  <c:v>-3.3468154934355149E-2</c:v>
                </c:pt>
                <c:pt idx="64">
                  <c:v>-3.3728611430095132E-2</c:v>
                </c:pt>
                <c:pt idx="65">
                  <c:v>-3.3987072002375968E-2</c:v>
                </c:pt>
                <c:pt idx="66">
                  <c:v>-3.4243581845172566E-2</c:v>
                </c:pt>
                <c:pt idx="67">
                  <c:v>-3.4498184472220791E-2</c:v>
                </c:pt>
                <c:pt idx="68">
                  <c:v>-3.4750921803194224E-2</c:v>
                </c:pt>
                <c:pt idx="69">
                  <c:v>-3.5001834244280161E-2</c:v>
                </c:pt>
                <c:pt idx="70">
                  <c:v>-3.5250960763593478E-2</c:v>
                </c:pt>
                <c:pt idx="71">
                  <c:v>-3.5498338961826803E-2</c:v>
                </c:pt>
                <c:pt idx="72">
                  <c:v>-3.5744005138499714E-2</c:v>
                </c:pt>
                <c:pt idx="73">
                  <c:v>-3.5987994354137583E-2</c:v>
                </c:pt>
                <c:pt idx="74">
                  <c:v>-3.6230340488681338E-2</c:v>
                </c:pt>
                <c:pt idx="75">
                  <c:v>-3.6471076296404059E-2</c:v>
                </c:pt>
                <c:pt idx="76">
                  <c:v>-3.6710233457586047E-2</c:v>
                </c:pt>
                <c:pt idx="77">
                  <c:v>-3.6947842627179379E-2</c:v>
                </c:pt>
                <c:pt idx="78">
                  <c:v>-3.7183933480673573E-2</c:v>
                </c:pt>
                <c:pt idx="79">
                  <c:v>-3.7418534757356556E-2</c:v>
                </c:pt>
                <c:pt idx="80">
                  <c:v>-3.7651674301149539E-2</c:v>
                </c:pt>
                <c:pt idx="81">
                  <c:v>-3.7883379099179999E-2</c:v>
                </c:pt>
                <c:pt idx="82">
                  <c:v>-3.8113675318244139E-2</c:v>
                </c:pt>
                <c:pt idx="83">
                  <c:v>-3.8342588339298073E-2</c:v>
                </c:pt>
                <c:pt idx="84">
                  <c:v>-3.8570142790106697E-2</c:v>
                </c:pt>
                <c:pt idx="85">
                  <c:v>-3.8796362576168961E-2</c:v>
                </c:pt>
                <c:pt idx="86">
                  <c:v>-3.902127091002941E-2</c:v>
                </c:pt>
                <c:pt idx="87">
                  <c:v>-3.9244890339077923E-2</c:v>
                </c:pt>
                <c:pt idx="88">
                  <c:v>-3.9467242771931692E-2</c:v>
                </c:pt>
                <c:pt idx="89">
                  <c:v>-3.9688349503487014E-2</c:v>
                </c:pt>
                <c:pt idx="90">
                  <c:v>-3.9908231238721684E-2</c:v>
                </c:pt>
                <c:pt idx="91">
                  <c:v>-4.0126908115323628E-2</c:v>
                </c:pt>
                <c:pt idx="92">
                  <c:v>-4.0344399725215523E-2</c:v>
                </c:pt>
                <c:pt idx="93">
                  <c:v>-4.0560725135040603E-2</c:v>
                </c:pt>
                <c:pt idx="94">
                  <c:v>-4.0775902905670375E-2</c:v>
                </c:pt>
                <c:pt idx="95">
                  <c:v>-4.0989951110790554E-2</c:v>
                </c:pt>
                <c:pt idx="96">
                  <c:v>-4.1202887354618065E-2</c:v>
                </c:pt>
                <c:pt idx="97">
                  <c:v>-4.1414728788797935E-2</c:v>
                </c:pt>
                <c:pt idx="98">
                  <c:v>-4.162549212852662E-2</c:v>
                </c:pt>
                <c:pt idx="99">
                  <c:v>-4.1835193667943936E-2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5-4961-A455-048BDEAF4149}"/>
            </c:ext>
          </c:extLst>
        </c:ser>
        <c:ser>
          <c:idx val="6"/>
          <c:order val="6"/>
          <c:tx>
            <c:strRef>
              <c:f>Sheet1!$BR$137</c:f>
              <c:strCache>
                <c:ptCount val="1"/>
                <c:pt idx="0">
                  <c:v>0,96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Sheet1!$BK$138:$BK$237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Sheet1!$BR$138:$BR$237</c:f>
              <c:numCache>
                <c:formatCode>General</c:formatCode>
                <c:ptCount val="100"/>
                <c:pt idx="0">
                  <c:v>-4.6018674091964622E-3</c:v>
                </c:pt>
                <c:pt idx="1">
                  <c:v>-6.5080233023283732E-3</c:v>
                </c:pt>
                <c:pt idx="2">
                  <c:v>-7.9706681624236303E-3</c:v>
                </c:pt>
                <c:pt idx="3">
                  <c:v>-9.2037348183929245E-3</c:v>
                </c:pt>
                <c:pt idx="4">
                  <c:v>-1.029008835040413E-2</c:v>
                </c:pt>
                <c:pt idx="5">
                  <c:v>-1.1272227016474932E-2</c:v>
                </c:pt>
                <c:pt idx="6">
                  <c:v>-1.2175396731226947E-2</c:v>
                </c:pt>
                <c:pt idx="7">
                  <c:v>-1.3016046604656746E-2</c:v>
                </c:pt>
                <c:pt idx="8">
                  <c:v>-1.3805602227589385E-2</c:v>
                </c:pt>
                <c:pt idx="9">
                  <c:v>-1.4552382503158908E-2</c:v>
                </c:pt>
                <c:pt idx="10">
                  <c:v>-1.5262667531269562E-2</c:v>
                </c:pt>
                <c:pt idx="11">
                  <c:v>-1.5941336324847261E-2</c:v>
                </c:pt>
                <c:pt idx="12">
                  <c:v>-1.6592268906744468E-2</c:v>
                </c:pt>
                <c:pt idx="13">
                  <c:v>-1.7218611184574205E-2</c:v>
                </c:pt>
                <c:pt idx="14">
                  <c:v>-1.7822955837272572E-2</c:v>
                </c:pt>
                <c:pt idx="15">
                  <c:v>-1.8407469636785849E-2</c:v>
                </c:pt>
                <c:pt idx="16">
                  <c:v>-1.8973985403204496E-2</c:v>
                </c:pt>
                <c:pt idx="17">
                  <c:v>-1.9524069906985117E-2</c:v>
                </c:pt>
                <c:pt idx="18">
                  <c:v>-2.0059074988260713E-2</c:v>
                </c:pt>
                <c:pt idx="19">
                  <c:v>-2.0580176700808261E-2</c:v>
                </c:pt>
                <c:pt idx="20">
                  <c:v>-2.1088405740793105E-2</c:v>
                </c:pt>
                <c:pt idx="21">
                  <c:v>-2.1584671420712902E-2</c:v>
                </c:pt>
                <c:pt idx="22">
                  <c:v>-2.2069780787129824E-2</c:v>
                </c:pt>
                <c:pt idx="23">
                  <c:v>-2.2544454032949864E-2</c:v>
                </c:pt>
                <c:pt idx="24">
                  <c:v>-2.3009337045982313E-2</c:v>
                </c:pt>
                <c:pt idx="25">
                  <c:v>-2.3465011718459428E-2</c:v>
                </c:pt>
                <c:pt idx="26">
                  <c:v>-2.3912004487270884E-2</c:v>
                </c:pt>
                <c:pt idx="27">
                  <c:v>-2.4350793462453894E-2</c:v>
                </c:pt>
                <c:pt idx="28">
                  <c:v>-2.4781814419104022E-2</c:v>
                </c:pt>
                <c:pt idx="29">
                  <c:v>-2.520546586664759E-2</c:v>
                </c:pt>
                <c:pt idx="30">
                  <c:v>-2.5622113363392984E-2</c:v>
                </c:pt>
                <c:pt idx="31">
                  <c:v>-2.6032093209313493E-2</c:v>
                </c:pt>
                <c:pt idx="32">
                  <c:v>-2.6435715623190723E-2</c:v>
                </c:pt>
                <c:pt idx="33">
                  <c:v>-2.6833267489480943E-2</c:v>
                </c:pt>
                <c:pt idx="34">
                  <c:v>-2.7225014744052197E-2</c:v>
                </c:pt>
                <c:pt idx="35">
                  <c:v>-2.761120445517877E-2</c:v>
                </c:pt>
                <c:pt idx="36">
                  <c:v>-2.7992066646060784E-2</c:v>
                </c:pt>
                <c:pt idx="37">
                  <c:v>-2.8367815897057235E-2</c:v>
                </c:pt>
                <c:pt idx="38">
                  <c:v>-2.8738652759326726E-2</c:v>
                </c:pt>
                <c:pt idx="39">
                  <c:v>-2.9104765006317816E-2</c:v>
                </c:pt>
                <c:pt idx="40">
                  <c:v>-2.9466328745278172E-2</c:v>
                </c:pt>
                <c:pt idx="41">
                  <c:v>-2.9823509407456244E-2</c:v>
                </c:pt>
                <c:pt idx="42">
                  <c:v>-3.0176462632794714E-2</c:v>
                </c:pt>
                <c:pt idx="43">
                  <c:v>-3.0525335062539124E-2</c:v>
                </c:pt>
                <c:pt idx="44">
                  <c:v>-3.0870265051212386E-2</c:v>
                </c:pt>
                <c:pt idx="45">
                  <c:v>-3.1211383307760167E-2</c:v>
                </c:pt>
                <c:pt idx="46">
                  <c:v>-3.1548813474293357E-2</c:v>
                </c:pt>
                <c:pt idx="47">
                  <c:v>-3.1882672649694521E-2</c:v>
                </c:pt>
                <c:pt idx="48">
                  <c:v>-3.2213071864375234E-2</c:v>
                </c:pt>
                <c:pt idx="49">
                  <c:v>-3.2540116511641876E-2</c:v>
                </c:pt>
                <c:pt idx="50">
                  <c:v>-3.2863906740420445E-2</c:v>
                </c:pt>
                <c:pt idx="51">
                  <c:v>-3.3184537813488936E-2</c:v>
                </c:pt>
                <c:pt idx="52">
                  <c:v>-3.3502100434848886E-2</c:v>
                </c:pt>
                <c:pt idx="53">
                  <c:v>-3.3816681049424799E-2</c:v>
                </c:pt>
                <c:pt idx="54">
                  <c:v>-3.4128362117897632E-2</c:v>
                </c:pt>
                <c:pt idx="55">
                  <c:v>-3.443722236914841E-2</c:v>
                </c:pt>
                <c:pt idx="56">
                  <c:v>-3.4743337032501639E-2</c:v>
                </c:pt>
                <c:pt idx="57">
                  <c:v>-3.5046778051710033E-2</c:v>
                </c:pt>
                <c:pt idx="58">
                  <c:v>-3.534761428240453E-2</c:v>
                </c:pt>
                <c:pt idx="59">
                  <c:v>-3.5645911674545144E-2</c:v>
                </c:pt>
                <c:pt idx="60">
                  <c:v>-3.594173344124206E-2</c:v>
                </c:pt>
                <c:pt idx="61">
                  <c:v>-3.6235140215171276E-2</c:v>
                </c:pt>
                <c:pt idx="62">
                  <c:v>-3.6526190193680849E-2</c:v>
                </c:pt>
                <c:pt idx="63">
                  <c:v>-3.6814939273571698E-2</c:v>
                </c:pt>
                <c:pt idx="64">
                  <c:v>-3.7101441176436753E-2</c:v>
                </c:pt>
                <c:pt idx="65">
                  <c:v>-3.7385747565354649E-2</c:v>
                </c:pt>
                <c:pt idx="66">
                  <c:v>-3.7667908153655755E-2</c:v>
                </c:pt>
                <c:pt idx="67">
                  <c:v>-3.7947970806408993E-2</c:v>
                </c:pt>
                <c:pt idx="68">
                  <c:v>-3.8225981635216302E-2</c:v>
                </c:pt>
                <c:pt idx="69">
                  <c:v>-3.8501985086846102E-2</c:v>
                </c:pt>
                <c:pt idx="70">
                  <c:v>-3.8776024026188446E-2</c:v>
                </c:pt>
                <c:pt idx="71">
                  <c:v>-3.9048139813970234E-2</c:v>
                </c:pt>
                <c:pt idx="72">
                  <c:v>-3.9318372379629249E-2</c:v>
                </c:pt>
                <c:pt idx="73">
                  <c:v>-3.9586760289710712E-2</c:v>
                </c:pt>
                <c:pt idx="74">
                  <c:v>-3.9853340812118145E-2</c:v>
                </c:pt>
                <c:pt idx="75">
                  <c:v>-4.0118149976521425E-2</c:v>
                </c:pt>
                <c:pt idx="76">
                  <c:v>-4.0381222631199407E-2</c:v>
                </c:pt>
                <c:pt idx="77">
                  <c:v>-4.0642592496570838E-2</c:v>
                </c:pt>
                <c:pt idx="78">
                  <c:v>-4.0902292215646549E-2</c:v>
                </c:pt>
                <c:pt idx="79">
                  <c:v>-4.1160353401616522E-2</c:v>
                </c:pt>
                <c:pt idx="80">
                  <c:v>-4.1416806682768162E-2</c:v>
                </c:pt>
                <c:pt idx="81">
                  <c:v>-4.1671681744916575E-2</c:v>
                </c:pt>
                <c:pt idx="82">
                  <c:v>-4.1925007371513237E-2</c:v>
                </c:pt>
                <c:pt idx="83">
                  <c:v>-4.217681148158621E-2</c:v>
                </c:pt>
                <c:pt idx="84">
                  <c:v>-4.2427121165654016E-2</c:v>
                </c:pt>
                <c:pt idx="85">
                  <c:v>-4.26759627197432E-2</c:v>
                </c:pt>
                <c:pt idx="86">
                  <c:v>-4.2923361677631167E-2</c:v>
                </c:pt>
                <c:pt idx="87">
                  <c:v>-4.3169342841425803E-2</c:v>
                </c:pt>
                <c:pt idx="88">
                  <c:v>-4.341393031058563E-2</c:v>
                </c:pt>
                <c:pt idx="89">
                  <c:v>-4.3657147509476718E-2</c:v>
                </c:pt>
                <c:pt idx="90">
                  <c:v>-4.3899017213555408E-2</c:v>
                </c:pt>
                <c:pt idx="91">
                  <c:v>-4.4139561574259648E-2</c:v>
                </c:pt>
                <c:pt idx="92">
                  <c:v>-4.4378802142686129E-2</c:v>
                </c:pt>
                <c:pt idx="93">
                  <c:v>-4.461675989212472E-2</c:v>
                </c:pt>
                <c:pt idx="94">
                  <c:v>-4.4853455239516747E-2</c:v>
                </c:pt>
                <c:pt idx="95">
                  <c:v>-4.5088908065899727E-2</c:v>
                </c:pt>
                <c:pt idx="96">
                  <c:v>-4.5323137735895795E-2</c:v>
                </c:pt>
                <c:pt idx="97">
                  <c:v>-4.555616311629862E-2</c:v>
                </c:pt>
                <c:pt idx="98">
                  <c:v>-4.5788002593808684E-2</c:v>
                </c:pt>
                <c:pt idx="99">
                  <c:v>-4.6018674091964626E-2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5-4961-A455-048BDEAF4149}"/>
            </c:ext>
          </c:extLst>
        </c:ser>
        <c:ser>
          <c:idx val="7"/>
          <c:order val="7"/>
          <c:tx>
            <c:strRef>
              <c:f>Sheet1!$BS$137</c:f>
              <c:strCache>
                <c:ptCount val="1"/>
                <c:pt idx="0">
                  <c:v>0,97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Sheet1!$BK$138:$BK$237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Sheet1!$BS$138:$BS$237</c:f>
              <c:numCache>
                <c:formatCode>General</c:formatCode>
                <c:ptCount val="100"/>
                <c:pt idx="0">
                  <c:v>-5.1161731471309913E-3</c:v>
                </c:pt>
                <c:pt idx="1">
                  <c:v>-7.2353614521216865E-3</c:v>
                </c:pt>
                <c:pt idx="2">
                  <c:v>-8.8614718311504359E-3</c:v>
                </c:pt>
                <c:pt idx="3">
                  <c:v>-1.0232346294261983E-2</c:v>
                </c:pt>
                <c:pt idx="4">
                  <c:v>-1.1440110941643926E-2</c:v>
                </c:pt>
                <c:pt idx="5">
                  <c:v>-1.2532013646200093E-2</c:v>
                </c:pt>
                <c:pt idx="6">
                  <c:v>-1.3536121811655271E-2</c:v>
                </c:pt>
                <c:pt idx="7">
                  <c:v>-1.4470722904243373E-2</c:v>
                </c:pt>
                <c:pt idx="8">
                  <c:v>-1.5348519441392969E-2</c:v>
                </c:pt>
                <c:pt idx="9">
                  <c:v>-1.6178760048725684E-2</c:v>
                </c:pt>
                <c:pt idx="10">
                  <c:v>-1.6968426691525249E-2</c:v>
                </c:pt>
                <c:pt idx="11">
                  <c:v>-1.7722943662300872E-2</c:v>
                </c:pt>
                <c:pt idx="12">
                  <c:v>-1.8446624616132754E-2</c:v>
                </c:pt>
                <c:pt idx="13">
                  <c:v>-1.914296704797715E-2</c:v>
                </c:pt>
                <c:pt idx="14">
                  <c:v>-1.9814853395151912E-2</c:v>
                </c:pt>
                <c:pt idx="15">
                  <c:v>-2.0464692588523965E-2</c:v>
                </c:pt>
                <c:pt idx="16">
                  <c:v>-2.1094522284569792E-2</c:v>
                </c:pt>
                <c:pt idx="17">
                  <c:v>-2.1706084356365056E-2</c:v>
                </c:pt>
                <c:pt idx="18">
                  <c:v>-2.2300881726000442E-2</c:v>
                </c:pt>
                <c:pt idx="19">
                  <c:v>-2.2880221883287852E-2</c:v>
                </c:pt>
                <c:pt idx="20">
                  <c:v>-2.34452507152282E-2</c:v>
                </c:pt>
                <c:pt idx="21">
                  <c:v>-2.3996979159288629E-2</c:v>
                </c:pt>
                <c:pt idx="22">
                  <c:v>-2.453630445773684E-2</c:v>
                </c:pt>
                <c:pt idx="23">
                  <c:v>-2.5064027292400187E-2</c:v>
                </c:pt>
                <c:pt idx="24">
                  <c:v>-2.5580865735654951E-2</c:v>
                </c:pt>
                <c:pt idx="25">
                  <c:v>-2.6087466712140329E-2</c:v>
                </c:pt>
                <c:pt idx="26">
                  <c:v>-2.6584415493451308E-2</c:v>
                </c:pt>
                <c:pt idx="27">
                  <c:v>-2.7072243623310541E-2</c:v>
                </c:pt>
                <c:pt idx="28">
                  <c:v>-2.7551435579136384E-2</c:v>
                </c:pt>
                <c:pt idx="29">
                  <c:v>-2.8022434407858399E-2</c:v>
                </c:pt>
                <c:pt idx="30">
                  <c:v>-2.8485646522663843E-2</c:v>
                </c:pt>
                <c:pt idx="31">
                  <c:v>-2.8941445808486746E-2</c:v>
                </c:pt>
                <c:pt idx="32">
                  <c:v>-2.9390177154229594E-2</c:v>
                </c:pt>
                <c:pt idx="33">
                  <c:v>-2.9832159506620087E-2</c:v>
                </c:pt>
                <c:pt idx="34">
                  <c:v>-3.0267688522578794E-2</c:v>
                </c:pt>
                <c:pt idx="35">
                  <c:v>-3.0697038882785938E-2</c:v>
                </c:pt>
                <c:pt idx="36">
                  <c:v>-3.1120466317886307E-2</c:v>
                </c:pt>
                <c:pt idx="37">
                  <c:v>-3.153820938978813E-2</c:v>
                </c:pt>
                <c:pt idx="38">
                  <c:v>-3.1950491063292667E-2</c:v>
                </c:pt>
                <c:pt idx="39">
                  <c:v>-3.2357520097451367E-2</c:v>
                </c:pt>
                <c:pt idx="40">
                  <c:v>-3.2759492281297542E-2</c:v>
                </c:pt>
                <c:pt idx="41">
                  <c:v>-3.3156591534713231E-2</c:v>
                </c:pt>
                <c:pt idx="42">
                  <c:v>-3.3548990891996158E-2</c:v>
                </c:pt>
                <c:pt idx="43">
                  <c:v>-3.3936853383050497E-2</c:v>
                </c:pt>
                <c:pt idx="44">
                  <c:v>-3.4320332824931785E-2</c:v>
                </c:pt>
                <c:pt idx="45">
                  <c:v>-3.4699574534646879E-2</c:v>
                </c:pt>
                <c:pt idx="46">
                  <c:v>-3.5074715972576859E-2</c:v>
                </c:pt>
                <c:pt idx="47">
                  <c:v>-3.5445887324601744E-2</c:v>
                </c:pt>
                <c:pt idx="48">
                  <c:v>-3.5813212029916934E-2</c:v>
                </c:pt>
                <c:pt idx="49">
                  <c:v>-3.6176807260608429E-2</c:v>
                </c:pt>
                <c:pt idx="50">
                  <c:v>-3.6536784358268792E-2</c:v>
                </c:pt>
                <c:pt idx="51">
                  <c:v>-3.6893249232265508E-2</c:v>
                </c:pt>
                <c:pt idx="52">
                  <c:v>-3.7246302723699748E-2</c:v>
                </c:pt>
                <c:pt idx="53">
                  <c:v>-3.7596040938600278E-2</c:v>
                </c:pt>
                <c:pt idx="54">
                  <c:v>-3.7942555553472306E-2</c:v>
                </c:pt>
                <c:pt idx="55">
                  <c:v>-3.8285934095954301E-2</c:v>
                </c:pt>
                <c:pt idx="56">
                  <c:v>-3.8626260203017071E-2</c:v>
                </c:pt>
                <c:pt idx="57">
                  <c:v>-3.8963613858863301E-2</c:v>
                </c:pt>
                <c:pt idx="58">
                  <c:v>-3.9298071614444763E-2</c:v>
                </c:pt>
                <c:pt idx="59">
                  <c:v>-3.9629706790303823E-2</c:v>
                </c:pt>
                <c:pt idx="60">
                  <c:v>-3.9958589664262148E-2</c:v>
                </c:pt>
                <c:pt idx="61">
                  <c:v>-4.0284787645317205E-2</c:v>
                </c:pt>
                <c:pt idx="62">
                  <c:v>-4.0608365434965807E-2</c:v>
                </c:pt>
                <c:pt idx="63">
                  <c:v>-4.0929385177047931E-2</c:v>
                </c:pt>
                <c:pt idx="64">
                  <c:v>-4.1247906597093806E-2</c:v>
                </c:pt>
                <c:pt idx="65">
                  <c:v>-4.1563987132059388E-2</c:v>
                </c:pt>
                <c:pt idx="66">
                  <c:v>-4.187768205124804E-2</c:v>
                </c:pt>
                <c:pt idx="67">
                  <c:v>-4.2189044569139585E-2</c:v>
                </c:pt>
                <c:pt idx="68">
                  <c:v>-4.2498125950778953E-2</c:v>
                </c:pt>
                <c:pt idx="69">
                  <c:v>-4.2804975610315391E-2</c:v>
                </c:pt>
                <c:pt idx="70">
                  <c:v>-4.3109641203228771E-2</c:v>
                </c:pt>
                <c:pt idx="71">
                  <c:v>-4.3412168712730112E-2</c:v>
                </c:pt>
                <c:pt idx="72">
                  <c:v>-4.3712602530780159E-2</c:v>
                </c:pt>
                <c:pt idx="73">
                  <c:v>-4.4010985534129909E-2</c:v>
                </c:pt>
                <c:pt idx="74">
                  <c:v>-4.430735915575218E-2</c:v>
                </c:pt>
                <c:pt idx="75">
                  <c:v>-4.4601763452000884E-2</c:v>
                </c:pt>
                <c:pt idx="76">
                  <c:v>-4.4894237165806317E-2</c:v>
                </c:pt>
                <c:pt idx="77">
                  <c:v>-4.5184817786188859E-2</c:v>
                </c:pt>
                <c:pt idx="78">
                  <c:v>-4.5473541604349604E-2</c:v>
                </c:pt>
                <c:pt idx="79">
                  <c:v>-4.5760443766575704E-2</c:v>
                </c:pt>
                <c:pt idx="80">
                  <c:v>-4.6045558324178906E-2</c:v>
                </c:pt>
                <c:pt idx="81">
                  <c:v>-4.6328918280667708E-2</c:v>
                </c:pt>
                <c:pt idx="82">
                  <c:v>-4.6610555636338528E-2</c:v>
                </c:pt>
                <c:pt idx="83">
                  <c:v>-4.6890501430456401E-2</c:v>
                </c:pt>
                <c:pt idx="84">
                  <c:v>-4.7168785781182228E-2</c:v>
                </c:pt>
                <c:pt idx="85">
                  <c:v>-4.7445437923392411E-2</c:v>
                </c:pt>
                <c:pt idx="86">
                  <c:v>-4.7720486244525073E-2</c:v>
                </c:pt>
                <c:pt idx="87">
                  <c:v>-4.7993958318577258E-2</c:v>
                </c:pt>
                <c:pt idx="88">
                  <c:v>-4.8265880938368422E-2</c:v>
                </c:pt>
                <c:pt idx="89">
                  <c:v>-4.8536280146177044E-2</c:v>
                </c:pt>
                <c:pt idx="90">
                  <c:v>-4.8805181262849572E-2</c:v>
                </c:pt>
                <c:pt idx="91">
                  <c:v>-4.907260891547368E-2</c:v>
                </c:pt>
                <c:pt idx="92">
                  <c:v>-4.9338587063701492E-2</c:v>
                </c:pt>
                <c:pt idx="93">
                  <c:v>-4.9603139024802421E-2</c:v>
                </c:pt>
                <c:pt idx="94">
                  <c:v>-4.9866287497519812E-2</c:v>
                </c:pt>
                <c:pt idx="95">
                  <c:v>-5.0128054584800373E-2</c:v>
                </c:pt>
                <c:pt idx="96">
                  <c:v>-5.0388461815460785E-2</c:v>
                </c:pt>
                <c:pt idx="97">
                  <c:v>-5.0647530164851809E-2</c:v>
                </c:pt>
                <c:pt idx="98">
                  <c:v>-5.0905280074575739E-2</c:v>
                </c:pt>
                <c:pt idx="99">
                  <c:v>-5.1161731471309903E-2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5-4961-A455-048BDEAF4149}"/>
            </c:ext>
          </c:extLst>
        </c:ser>
        <c:ser>
          <c:idx val="8"/>
          <c:order val="8"/>
          <c:tx>
            <c:strRef>
              <c:f>Sheet1!$BT$137</c:f>
              <c:strCache>
                <c:ptCount val="1"/>
                <c:pt idx="0">
                  <c:v>0,98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Sheet1!$BK$138:$BK$237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Sheet1!$BT$138:$BT$237</c:f>
              <c:numCache>
                <c:formatCode>General</c:formatCode>
                <c:ptCount val="100"/>
                <c:pt idx="0">
                  <c:v>-5.7998530214257178E-3</c:v>
                </c:pt>
                <c:pt idx="1">
                  <c:v>-8.2022308026708235E-3</c:v>
                </c:pt>
                <c:pt idx="2">
                  <c:v>-1.0045640109541207E-2</c:v>
                </c:pt>
                <c:pt idx="3">
                  <c:v>-1.1599706042851436E-2</c:v>
                </c:pt>
                <c:pt idx="4">
                  <c:v>-1.2968865615415447E-2</c:v>
                </c:pt>
                <c:pt idx="5">
                  <c:v>-1.4206680485632315E-2</c:v>
                </c:pt>
                <c:pt idx="6">
                  <c:v>-1.534496873541902E-2</c:v>
                </c:pt>
                <c:pt idx="7">
                  <c:v>-1.6404461605341647E-2</c:v>
                </c:pt>
                <c:pt idx="8">
                  <c:v>-1.7399559064277148E-2</c:v>
                </c:pt>
                <c:pt idx="9">
                  <c:v>-1.8340745641914621E-2</c:v>
                </c:pt>
                <c:pt idx="10">
                  <c:v>-1.92359363112782E-2</c:v>
                </c:pt>
                <c:pt idx="11">
                  <c:v>-2.0091280219082415E-2</c:v>
                </c:pt>
                <c:pt idx="12">
                  <c:v>-2.0911667458905166E-2</c:v>
                </c:pt>
                <c:pt idx="13">
                  <c:v>-2.170106289982069E-2</c:v>
                </c:pt>
                <c:pt idx="14">
                  <c:v>-2.2462734162432565E-2</c:v>
                </c:pt>
                <c:pt idx="15">
                  <c:v>-2.3199412085702871E-2</c:v>
                </c:pt>
                <c:pt idx="16">
                  <c:v>-2.3913406620395955E-2</c:v>
                </c:pt>
                <c:pt idx="17">
                  <c:v>-2.4606692408012467E-2</c:v>
                </c:pt>
                <c:pt idx="18">
                  <c:v>-2.528097320778374E-2</c:v>
                </c:pt>
                <c:pt idx="19">
                  <c:v>-2.5937731230830895E-2</c:v>
                </c:pt>
                <c:pt idx="20">
                  <c:v>-2.6578265490301681E-2</c:v>
                </c:pt>
                <c:pt idx="21">
                  <c:v>-2.7203722016354723E-2</c:v>
                </c:pt>
                <c:pt idx="22">
                  <c:v>-2.7815117950733968E-2</c:v>
                </c:pt>
                <c:pt idx="23">
                  <c:v>-2.841336097126463E-2</c:v>
                </c:pt>
                <c:pt idx="24">
                  <c:v>-2.8999265107128587E-2</c:v>
                </c:pt>
                <c:pt idx="25">
                  <c:v>-2.9573563732219796E-2</c:v>
                </c:pt>
                <c:pt idx="26">
                  <c:v>-3.0136920328623619E-2</c:v>
                </c:pt>
                <c:pt idx="27">
                  <c:v>-3.0689937470838039E-2</c:v>
                </c:pt>
                <c:pt idx="28">
                  <c:v>-3.1233164377534494E-2</c:v>
                </c:pt>
                <c:pt idx="29">
                  <c:v>-3.1767103300493579E-2</c:v>
                </c:pt>
                <c:pt idx="30">
                  <c:v>-3.2292214962346133E-2</c:v>
                </c:pt>
                <c:pt idx="31">
                  <c:v>-3.2808923210683294E-2</c:v>
                </c:pt>
                <c:pt idx="32">
                  <c:v>-3.3317619022292896E-2</c:v>
                </c:pt>
                <c:pt idx="33">
                  <c:v>-3.3818663965106528E-2</c:v>
                </c:pt>
                <c:pt idx="34">
                  <c:v>-3.4312393205005905E-2</c:v>
                </c:pt>
                <c:pt idx="35">
                  <c:v>-3.4799118128554296E-2</c:v>
                </c:pt>
                <c:pt idx="36">
                  <c:v>-3.5279128639965268E-2</c:v>
                </c:pt>
                <c:pt idx="37">
                  <c:v>-3.5752695180438616E-2</c:v>
                </c:pt>
                <c:pt idx="38">
                  <c:v>-3.6220070509808508E-2</c:v>
                </c:pt>
                <c:pt idx="39">
                  <c:v>-3.6681491283829241E-2</c:v>
                </c:pt>
                <c:pt idx="40">
                  <c:v>-3.7137179455039145E-2</c:v>
                </c:pt>
                <c:pt idx="41">
                  <c:v>-3.7587343520737435E-2</c:v>
                </c:pt>
                <c:pt idx="42">
                  <c:v>-3.8032179637986357E-2</c:v>
                </c:pt>
                <c:pt idx="43">
                  <c:v>-3.84718726225564E-2</c:v>
                </c:pt>
                <c:pt idx="44">
                  <c:v>-3.8906596846246332E-2</c:v>
                </c:pt>
                <c:pt idx="45">
                  <c:v>-3.9336517044935321E-2</c:v>
                </c:pt>
                <c:pt idx="46">
                  <c:v>-3.9761789047987113E-2</c:v>
                </c:pt>
                <c:pt idx="47">
                  <c:v>-4.018256043816483E-2</c:v>
                </c:pt>
                <c:pt idx="48">
                  <c:v>-4.0598971149980026E-2</c:v>
                </c:pt>
                <c:pt idx="49">
                  <c:v>-4.1011154013354117E-2</c:v>
                </c:pt>
                <c:pt idx="50">
                  <c:v>-4.1419235248579753E-2</c:v>
                </c:pt>
                <c:pt idx="51">
                  <c:v>-4.1823334917810331E-2</c:v>
                </c:pt>
                <c:pt idx="52">
                  <c:v>-4.2223567337654852E-2</c:v>
                </c:pt>
                <c:pt idx="53">
                  <c:v>-4.2620041456896948E-2</c:v>
                </c:pt>
                <c:pt idx="54">
                  <c:v>-4.3012861202874605E-2</c:v>
                </c:pt>
                <c:pt idx="55">
                  <c:v>-4.3402125799641381E-2</c:v>
                </c:pt>
                <c:pt idx="56">
                  <c:v>-4.3787930060668986E-2</c:v>
                </c:pt>
                <c:pt idx="57">
                  <c:v>-4.4170364658537513E-2</c:v>
                </c:pt>
                <c:pt idx="58">
                  <c:v>-4.4549516373787054E-2</c:v>
                </c:pt>
                <c:pt idx="59">
                  <c:v>-4.4925468324865131E-2</c:v>
                </c:pt>
                <c:pt idx="60">
                  <c:v>-4.5298300180896423E-2</c:v>
                </c:pt>
                <c:pt idx="61">
                  <c:v>-4.5668088358817298E-2</c:v>
                </c:pt>
                <c:pt idx="62">
                  <c:v>-4.6034906206257054E-2</c:v>
                </c:pt>
                <c:pt idx="63">
                  <c:v>-4.6398824171405742E-2</c:v>
                </c:pt>
                <c:pt idx="64">
                  <c:v>-4.6759909960982234E-2</c:v>
                </c:pt>
                <c:pt idx="65">
                  <c:v>-4.7118228687306432E-2</c:v>
                </c:pt>
                <c:pt idx="66">
                  <c:v>-4.7473843005379796E-2</c:v>
                </c:pt>
                <c:pt idx="67">
                  <c:v>-4.782681324079191E-2</c:v>
                </c:pt>
                <c:pt idx="68">
                  <c:v>-4.8177197509192346E-2</c:v>
                </c:pt>
                <c:pt idx="69">
                  <c:v>-4.8525051827997781E-2</c:v>
                </c:pt>
                <c:pt idx="70">
                  <c:v>-4.8870430220942514E-2</c:v>
                </c:pt>
                <c:pt idx="71">
                  <c:v>-4.9213384816024934E-2</c:v>
                </c:pt>
                <c:pt idx="72">
                  <c:v>-4.9553965937352507E-2</c:v>
                </c:pt>
                <c:pt idx="73">
                  <c:v>-4.9892222191343975E-2</c:v>
                </c:pt>
                <c:pt idx="74">
                  <c:v>-5.0228200547706041E-2</c:v>
                </c:pt>
                <c:pt idx="75">
                  <c:v>-5.056194641556748E-2</c:v>
                </c:pt>
                <c:pt idx="76">
                  <c:v>-5.0893503715119276E-2</c:v>
                </c:pt>
                <c:pt idx="77">
                  <c:v>-5.122291494508098E-2</c:v>
                </c:pt>
                <c:pt idx="78">
                  <c:v>-5.1550221246287005E-2</c:v>
                </c:pt>
                <c:pt idx="79">
                  <c:v>-5.1875462461661789E-2</c:v>
                </c:pt>
                <c:pt idx="80">
                  <c:v>-5.2198677192831458E-2</c:v>
                </c:pt>
                <c:pt idx="81">
                  <c:v>-5.251990285359983E-2</c:v>
                </c:pt>
                <c:pt idx="82">
                  <c:v>-5.2839175720498371E-2</c:v>
                </c:pt>
                <c:pt idx="83">
                  <c:v>-5.3156530980603363E-2</c:v>
                </c:pt>
                <c:pt idx="84">
                  <c:v>-5.3472002776798866E-2</c:v>
                </c:pt>
                <c:pt idx="85">
                  <c:v>-5.3785624250650164E-2</c:v>
                </c:pt>
                <c:pt idx="86">
                  <c:v>-5.4097427583040113E-2</c:v>
                </c:pt>
                <c:pt idx="87">
                  <c:v>-5.4407444032709446E-2</c:v>
                </c:pt>
                <c:pt idx="88">
                  <c:v>-5.4715703972831695E-2</c:v>
                </c:pt>
                <c:pt idx="89">
                  <c:v>-5.5022236925743859E-2</c:v>
                </c:pt>
                <c:pt idx="90">
                  <c:v>-5.5327071595945077E-2</c:v>
                </c:pt>
                <c:pt idx="91">
                  <c:v>-5.5630235901467935E-2</c:v>
                </c:pt>
                <c:pt idx="92">
                  <c:v>-5.5931757003719405E-2</c:v>
                </c:pt>
                <c:pt idx="93">
                  <c:v>-5.6231661335881367E-2</c:v>
                </c:pt>
                <c:pt idx="94">
                  <c:v>-5.6529974629955355E-2</c:v>
                </c:pt>
                <c:pt idx="95">
                  <c:v>-5.682672194252926E-2</c:v>
                </c:pt>
                <c:pt idx="96">
                  <c:v>-5.7121927679339372E-2</c:v>
                </c:pt>
                <c:pt idx="97">
                  <c:v>-5.7415615618695744E-2</c:v>
                </c:pt>
                <c:pt idx="98">
                  <c:v>-5.7707808933834592E-2</c:v>
                </c:pt>
                <c:pt idx="99">
                  <c:v>-5.7998530214257174E-2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5-4961-A455-048BDEAF4149}"/>
            </c:ext>
          </c:extLst>
        </c:ser>
        <c:ser>
          <c:idx val="9"/>
          <c:order val="9"/>
          <c:tx>
            <c:strRef>
              <c:f>Sheet1!$BU$137</c:f>
              <c:strCache>
                <c:ptCount val="1"/>
                <c:pt idx="0">
                  <c:v>0,99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Sheet1!$BK$138:$BK$237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Sheet1!$BU$138:$BU$237</c:f>
              <c:numCache>
                <c:formatCode>General</c:formatCode>
                <c:ptCount val="100"/>
                <c:pt idx="0">
                  <c:v>-6.8774171224586182E-3</c:v>
                </c:pt>
                <c:pt idx="1">
                  <c:v>-9.7261365686779205E-3</c:v>
                </c:pt>
                <c:pt idx="2">
                  <c:v>-1.191203588094247E-2</c:v>
                </c:pt>
                <c:pt idx="3">
                  <c:v>-1.3754834244917236E-2</c:v>
                </c:pt>
                <c:pt idx="4">
                  <c:v>-1.5378372195438465E-2</c:v>
                </c:pt>
                <c:pt idx="5">
                  <c:v>-1.6846162698303781E-2</c:v>
                </c:pt>
                <c:pt idx="6">
                  <c:v>-1.8195935368482956E-2</c:v>
                </c:pt>
                <c:pt idx="7">
                  <c:v>-1.9452273137355841E-2</c:v>
                </c:pt>
                <c:pt idx="8">
                  <c:v>-2.0632251367375849E-2</c:v>
                </c:pt>
                <c:pt idx="9">
                  <c:v>-2.1748302526010385E-2</c:v>
                </c:pt>
                <c:pt idx="10">
                  <c:v>-2.2809812121960947E-2</c:v>
                </c:pt>
                <c:pt idx="11">
                  <c:v>-2.3824071761884939E-2</c:v>
                </c:pt>
                <c:pt idx="12">
                  <c:v>-2.4796880077778541E-2</c:v>
                </c:pt>
                <c:pt idx="13">
                  <c:v>-2.5732938578172864E-2</c:v>
                </c:pt>
                <c:pt idx="14">
                  <c:v>-2.6636121980203962E-2</c:v>
                </c:pt>
                <c:pt idx="15">
                  <c:v>-2.7509668489834473E-2</c:v>
                </c:pt>
                <c:pt idx="16">
                  <c:v>-2.835631722732835E-2</c:v>
                </c:pt>
                <c:pt idx="17">
                  <c:v>-2.9178409706033762E-2</c:v>
                </c:pt>
                <c:pt idx="18">
                  <c:v>-2.9977966229373407E-2</c:v>
                </c:pt>
                <c:pt idx="19">
                  <c:v>-3.0756744390876931E-2</c:v>
                </c:pt>
                <c:pt idx="20">
                  <c:v>-3.1516284549451989E-2</c:v>
                </c:pt>
                <c:pt idx="21">
                  <c:v>-3.2257945658059409E-2</c:v>
                </c:pt>
                <c:pt idx="22">
                  <c:v>-3.2982933834857689E-2</c:v>
                </c:pt>
                <c:pt idx="23">
                  <c:v>-3.3692325396607561E-2</c:v>
                </c:pt>
                <c:pt idx="24">
                  <c:v>-3.4387085612293089E-2</c:v>
                </c:pt>
                <c:pt idx="25">
                  <c:v>-3.506808411053363E-2</c:v>
                </c:pt>
                <c:pt idx="26">
                  <c:v>-3.5736107642827419E-2</c:v>
                </c:pt>
                <c:pt idx="27">
                  <c:v>-3.6391870736965912E-2</c:v>
                </c:pt>
                <c:pt idx="28">
                  <c:v>-3.7036024651848395E-2</c:v>
                </c:pt>
                <c:pt idx="29">
                  <c:v>-3.7669164953428542E-2</c:v>
                </c:pt>
                <c:pt idx="30">
                  <c:v>-3.8291837962742076E-2</c:v>
                </c:pt>
                <c:pt idx="31">
                  <c:v>-3.8904546274711682E-2</c:v>
                </c:pt>
                <c:pt idx="32">
                  <c:v>-3.9507753506336826E-2</c:v>
                </c:pt>
                <c:pt idx="33">
                  <c:v>-4.010188840184159E-2</c:v>
                </c:pt>
                <c:pt idx="34">
                  <c:v>-4.0687348398120562E-2</c:v>
                </c:pt>
                <c:pt idx="35">
                  <c:v>-4.1264502734751698E-2</c:v>
                </c:pt>
                <c:pt idx="36">
                  <c:v>-4.1833695177722674E-2</c:v>
                </c:pt>
                <c:pt idx="37">
                  <c:v>-4.2395246413942503E-2</c:v>
                </c:pt>
                <c:pt idx="38">
                  <c:v>-4.2949456163904942E-2</c:v>
                </c:pt>
                <c:pt idx="39">
                  <c:v>-4.349660505202077E-2</c:v>
                </c:pt>
                <c:pt idx="40">
                  <c:v>-4.4036956267750449E-2</c:v>
                </c:pt>
                <c:pt idx="41">
                  <c:v>-4.4570757045444623E-2</c:v>
                </c:pt>
                <c:pt idx="42">
                  <c:v>-4.5098239986504349E-2</c:v>
                </c:pt>
                <c:pt idx="43">
                  <c:v>-4.5619624243921894E-2</c:v>
                </c:pt>
                <c:pt idx="44">
                  <c:v>-4.6135116586315389E-2</c:v>
                </c:pt>
                <c:pt idx="45">
                  <c:v>-4.6644912356110187E-2</c:v>
                </c:pt>
                <c:pt idx="46">
                  <c:v>-4.7149196334460318E-2</c:v>
                </c:pt>
                <c:pt idx="47">
                  <c:v>-4.7648143523769879E-2</c:v>
                </c:pt>
                <c:pt idx="48">
                  <c:v>-4.8141919857210329E-2</c:v>
                </c:pt>
                <c:pt idx="49">
                  <c:v>-4.863068284338961E-2</c:v>
                </c:pt>
                <c:pt idx="50">
                  <c:v>-4.9114582153273342E-2</c:v>
                </c:pt>
                <c:pt idx="51">
                  <c:v>-4.9593760155557082E-2</c:v>
                </c:pt>
                <c:pt idx="52">
                  <c:v>-5.006835240591815E-2</c:v>
                </c:pt>
                <c:pt idx="53">
                  <c:v>-5.0538488094911349E-2</c:v>
                </c:pt>
                <c:pt idx="54">
                  <c:v>-5.1004290458703409E-2</c:v>
                </c:pt>
                <c:pt idx="55">
                  <c:v>-5.1465877156345728E-2</c:v>
                </c:pt>
                <c:pt idx="56">
                  <c:v>-5.1923360616858732E-2</c:v>
                </c:pt>
                <c:pt idx="57">
                  <c:v>-5.2376848359028283E-2</c:v>
                </c:pt>
                <c:pt idx="58">
                  <c:v>-5.2826443286491755E-2</c:v>
                </c:pt>
                <c:pt idx="59">
                  <c:v>-5.3272243960407924E-2</c:v>
                </c:pt>
                <c:pt idx="60">
                  <c:v>-5.3714344851757287E-2</c:v>
                </c:pt>
                <c:pt idx="61">
                  <c:v>-5.4152836575102808E-2</c:v>
                </c:pt>
                <c:pt idx="62">
                  <c:v>-5.4587806105448854E-2</c:v>
                </c:pt>
                <c:pt idx="63">
                  <c:v>-5.5019336979668945E-2</c:v>
                </c:pt>
                <c:pt idx="64">
                  <c:v>-5.5447509483823099E-2</c:v>
                </c:pt>
                <c:pt idx="65">
                  <c:v>-5.5872400827554757E-2</c:v>
                </c:pt>
                <c:pt idx="66">
                  <c:v>-5.62940853066397E-2</c:v>
                </c:pt>
                <c:pt idx="67">
                  <c:v>-5.6712634454656699E-2</c:v>
                </c:pt>
                <c:pt idx="68">
                  <c:v>-5.7128117184656109E-2</c:v>
                </c:pt>
                <c:pt idx="69">
                  <c:v>-5.7540599921621319E-2</c:v>
                </c:pt>
                <c:pt idx="70">
                  <c:v>-5.7950146726443878E-2</c:v>
                </c:pt>
                <c:pt idx="71">
                  <c:v>-5.8356819412067523E-2</c:v>
                </c:pt>
                <c:pt idx="72">
                  <c:v>-5.8760677652397335E-2</c:v>
                </c:pt>
                <c:pt idx="73">
                  <c:v>-5.9161779084517363E-2</c:v>
                </c:pt>
                <c:pt idx="74">
                  <c:v>-5.9560179404712373E-2</c:v>
                </c:pt>
                <c:pt idx="75">
                  <c:v>-5.9955932458746815E-2</c:v>
                </c:pt>
                <c:pt idx="76">
                  <c:v>-6.0349090326815173E-2</c:v>
                </c:pt>
                <c:pt idx="77">
                  <c:v>-6.0739703403543087E-2</c:v>
                </c:pt>
                <c:pt idx="78">
                  <c:v>-6.1127820473387315E-2</c:v>
                </c:pt>
                <c:pt idx="79">
                  <c:v>-6.1513488781753861E-2</c:v>
                </c:pt>
                <c:pt idx="80">
                  <c:v>-6.1896754102127562E-2</c:v>
                </c:pt>
                <c:pt idx="81">
                  <c:v>-6.2277660799483561E-2</c:v>
                </c:pt>
                <c:pt idx="82">
                  <c:v>-6.2656251890228942E-2</c:v>
                </c:pt>
                <c:pt idx="83">
                  <c:v>-6.3032569098903979E-2</c:v>
                </c:pt>
                <c:pt idx="84">
                  <c:v>-6.3406652911854544E-2</c:v>
                </c:pt>
                <c:pt idx="85">
                  <c:v>-6.3778542628071061E-2</c:v>
                </c:pt>
                <c:pt idx="86">
                  <c:v>-6.4148276407374874E-2</c:v>
                </c:pt>
                <c:pt idx="87">
                  <c:v>-6.4515891316118817E-2</c:v>
                </c:pt>
                <c:pt idx="88">
                  <c:v>-6.488142337055762E-2</c:v>
                </c:pt>
                <c:pt idx="89">
                  <c:v>-6.5244907578031155E-2</c:v>
                </c:pt>
                <c:pt idx="90">
                  <c:v>-6.5606377976094019E-2</c:v>
                </c:pt>
                <c:pt idx="91">
                  <c:v>-6.5965867669715378E-2</c:v>
                </c:pt>
                <c:pt idx="92">
                  <c:v>-6.6323408866664019E-2</c:v>
                </c:pt>
                <c:pt idx="93">
                  <c:v>-6.6679032911185626E-2</c:v>
                </c:pt>
                <c:pt idx="94">
                  <c:v>-6.703277031607198E-2</c:v>
                </c:pt>
                <c:pt idx="95">
                  <c:v>-6.7384650793215123E-2</c:v>
                </c:pt>
                <c:pt idx="96">
                  <c:v>-6.7734703282732664E-2</c:v>
                </c:pt>
                <c:pt idx="97">
                  <c:v>-6.8082955980745458E-2</c:v>
                </c:pt>
                <c:pt idx="98">
                  <c:v>-6.8429436365882848E-2</c:v>
                </c:pt>
                <c:pt idx="99">
                  <c:v>-6.8774171224586178E-2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5-4961-A455-048BDEAF4149}"/>
            </c:ext>
          </c:extLst>
        </c:ser>
        <c:ser>
          <c:idx val="10"/>
          <c:order val="10"/>
          <c:tx>
            <c:strRef>
              <c:f>Sheet1!$BV$137</c:f>
              <c:strCache>
                <c:ptCount val="1"/>
                <c:pt idx="0">
                  <c:v>0,995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Sheet1!$BK$138:$BK$237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Sheet1!$BV$138:$BV$237</c:f>
              <c:numCache>
                <c:formatCode>General</c:formatCode>
                <c:ptCount val="100"/>
                <c:pt idx="0">
                  <c:v>-7.8635992742553135E-3</c:v>
                </c:pt>
                <c:pt idx="1">
                  <c:v>-1.1120808742719094E-2</c:v>
                </c:pt>
                <c:pt idx="2">
                  <c:v>-1.3620153473371949E-2</c:v>
                </c:pt>
                <c:pt idx="3">
                  <c:v>-1.5727198548510627E-2</c:v>
                </c:pt>
                <c:pt idx="4">
                  <c:v>-1.7583542525052894E-2</c:v>
                </c:pt>
                <c:pt idx="5">
                  <c:v>-1.9261805763645629E-2</c:v>
                </c:pt>
                <c:pt idx="6">
                  <c:v>-2.0805128089547559E-2</c:v>
                </c:pt>
                <c:pt idx="7">
                  <c:v>-2.2241617485438188E-2</c:v>
                </c:pt>
                <c:pt idx="8">
                  <c:v>-2.3590797822765935E-2</c:v>
                </c:pt>
                <c:pt idx="9">
                  <c:v>-2.4866884313493851E-2</c:v>
                </c:pt>
                <c:pt idx="10">
                  <c:v>-2.60806082944159E-2</c:v>
                </c:pt>
                <c:pt idx="11">
                  <c:v>-2.7240306946743897E-2</c:v>
                </c:pt>
                <c:pt idx="12">
                  <c:v>-2.8352610393028943E-2</c:v>
                </c:pt>
                <c:pt idx="13">
                  <c:v>-2.9422894311147595E-2</c:v>
                </c:pt>
                <c:pt idx="14">
                  <c:v>-3.0455589030439559E-2</c:v>
                </c:pt>
                <c:pt idx="15">
                  <c:v>-3.1454397097021254E-2</c:v>
                </c:pt>
                <c:pt idx="16">
                  <c:v>-3.2422450405285026E-2</c:v>
                </c:pt>
                <c:pt idx="17">
                  <c:v>-3.3362426228157271E-2</c:v>
                </c:pt>
                <c:pt idx="18">
                  <c:v>-3.4276634568978684E-2</c:v>
                </c:pt>
                <c:pt idx="19">
                  <c:v>-3.5167085050105788E-2</c:v>
                </c:pt>
                <c:pt idx="20">
                  <c:v>-3.6035538909074766E-2</c:v>
                </c:pt>
                <c:pt idx="21">
                  <c:v>-3.6883549964903201E-2</c:v>
                </c:pt>
                <c:pt idx="22">
                  <c:v>-3.7712497286172653E-2</c:v>
                </c:pt>
                <c:pt idx="23">
                  <c:v>-3.8523611527291259E-2</c:v>
                </c:pt>
                <c:pt idx="24">
                  <c:v>-3.9317996371276566E-2</c:v>
                </c:pt>
                <c:pt idx="25">
                  <c:v>-4.0096646146501901E-2</c:v>
                </c:pt>
                <c:pt idx="26">
                  <c:v>-4.0860460420115867E-2</c:v>
                </c:pt>
                <c:pt idx="27">
                  <c:v>-4.1610256179095119E-2</c:v>
                </c:pt>
                <c:pt idx="28">
                  <c:v>-4.2346778069128135E-2</c:v>
                </c:pt>
                <c:pt idx="29">
                  <c:v>-4.307070705690888E-2</c:v>
                </c:pt>
                <c:pt idx="30">
                  <c:v>-4.378266780277474E-2</c:v>
                </c:pt>
                <c:pt idx="31">
                  <c:v>-4.4483234970876376E-2</c:v>
                </c:pt>
                <c:pt idx="32">
                  <c:v>-4.5172938658230632E-2</c:v>
                </c:pt>
                <c:pt idx="33">
                  <c:v>-4.5852269088523155E-2</c:v>
                </c:pt>
                <c:pt idx="34">
                  <c:v>-4.6521680688818665E-2</c:v>
                </c:pt>
                <c:pt idx="35">
                  <c:v>-4.7181595645531871E-2</c:v>
                </c:pt>
                <c:pt idx="36">
                  <c:v>-4.7832407018720491E-2</c:v>
                </c:pt>
                <c:pt idx="37">
                  <c:v>-4.8474481479956123E-2</c:v>
                </c:pt>
                <c:pt idx="38">
                  <c:v>-4.9108161727931532E-2</c:v>
                </c:pt>
                <c:pt idx="39">
                  <c:v>-4.9733768626987702E-2</c:v>
                </c:pt>
                <c:pt idx="40">
                  <c:v>-5.0351603106443543E-2</c:v>
                </c:pt>
                <c:pt idx="41">
                  <c:v>-5.0961947852636913E-2</c:v>
                </c:pt>
                <c:pt idx="42">
                  <c:v>-5.156506882067504E-2</c:v>
                </c:pt>
                <c:pt idx="43">
                  <c:v>-5.2161216588831799E-2</c:v>
                </c:pt>
                <c:pt idx="44">
                  <c:v>-5.2750627575158665E-2</c:v>
                </c:pt>
                <c:pt idx="45">
                  <c:v>-5.3333525133063907E-2</c:v>
                </c:pt>
                <c:pt idx="46">
                  <c:v>-5.3910120540258739E-2</c:v>
                </c:pt>
                <c:pt idx="47">
                  <c:v>-5.4480613893487795E-2</c:v>
                </c:pt>
                <c:pt idx="48">
                  <c:v>-5.5045194919787183E-2</c:v>
                </c:pt>
                <c:pt idx="49">
                  <c:v>-5.5604043713595452E-2</c:v>
                </c:pt>
                <c:pt idx="50">
                  <c:v>-5.6157331407835819E-2</c:v>
                </c:pt>
                <c:pt idx="51">
                  <c:v>-5.6705220786057886E-2</c:v>
                </c:pt>
                <c:pt idx="52">
                  <c:v>-5.7247866841845213E-2</c:v>
                </c:pt>
                <c:pt idx="53">
                  <c:v>-5.7785417290936898E-2</c:v>
                </c:pt>
                <c:pt idx="54">
                  <c:v>-5.8318013040858797E-2</c:v>
                </c:pt>
                <c:pt idx="55">
                  <c:v>-5.8845788622295191E-2</c:v>
                </c:pt>
                <c:pt idx="56">
                  <c:v>-5.9368872585942839E-2</c:v>
                </c:pt>
                <c:pt idx="57">
                  <c:v>-5.9887387868164561E-2</c:v>
                </c:pt>
                <c:pt idx="58">
                  <c:v>-6.0401452128388856E-2</c:v>
                </c:pt>
                <c:pt idx="59">
                  <c:v>-6.0911178060879118E-2</c:v>
                </c:pt>
                <c:pt idx="60">
                  <c:v>-6.1416673683212353E-2</c:v>
                </c:pt>
                <c:pt idx="61">
                  <c:v>-6.1918042603559889E-2</c:v>
                </c:pt>
                <c:pt idx="62">
                  <c:v>-6.2415384268642675E-2</c:v>
                </c:pt>
                <c:pt idx="63">
                  <c:v>-6.2908794194042508E-2</c:v>
                </c:pt>
                <c:pt idx="64">
                  <c:v>-6.339836417837974E-2</c:v>
                </c:pt>
                <c:pt idx="65">
                  <c:v>-6.3884182502717629E-2</c:v>
                </c:pt>
                <c:pt idx="66">
                  <c:v>-6.4366334116419899E-2</c:v>
                </c:pt>
                <c:pt idx="67">
                  <c:v>-6.4844900810570053E-2</c:v>
                </c:pt>
                <c:pt idx="68">
                  <c:v>-6.5319961379954425E-2</c:v>
                </c:pt>
                <c:pt idx="69">
                  <c:v>-6.5791591774517877E-2</c:v>
                </c:pt>
                <c:pt idx="70">
                  <c:v>-6.6259865241116184E-2</c:v>
                </c:pt>
                <c:pt idx="71">
                  <c:v>-6.6724852456314543E-2</c:v>
                </c:pt>
                <c:pt idx="72">
                  <c:v>-6.7186621650913603E-2</c:v>
                </c:pt>
                <c:pt idx="73">
                  <c:v>-6.7645238726824541E-2</c:v>
                </c:pt>
                <c:pt idx="74">
                  <c:v>-6.8100767366859771E-2</c:v>
                </c:pt>
                <c:pt idx="75">
                  <c:v>-6.8553269137957368E-2</c:v>
                </c:pt>
                <c:pt idx="76">
                  <c:v>-6.9002803588312914E-2</c:v>
                </c:pt>
                <c:pt idx="77">
                  <c:v>-6.9449428338852121E-2</c:v>
                </c:pt>
                <c:pt idx="78">
                  <c:v>-6.9893199169442977E-2</c:v>
                </c:pt>
                <c:pt idx="79">
                  <c:v>-7.0334170100211577E-2</c:v>
                </c:pt>
                <c:pt idx="80">
                  <c:v>-7.077239346829782E-2</c:v>
                </c:pt>
                <c:pt idx="81">
                  <c:v>-7.1207920000359748E-2</c:v>
                </c:pt>
                <c:pt idx="82">
                  <c:v>-7.1640798881110343E-2</c:v>
                </c:pt>
                <c:pt idx="83">
                  <c:v>-7.2071077818149532E-2</c:v>
                </c:pt>
                <c:pt idx="84">
                  <c:v>-7.249880310333294E-2</c:v>
                </c:pt>
                <c:pt idx="85">
                  <c:v>-7.2924019670900661E-2</c:v>
                </c:pt>
                <c:pt idx="86">
                  <c:v>-7.3346771152573417E-2</c:v>
                </c:pt>
                <c:pt idx="87">
                  <c:v>-7.3767099929806401E-2</c:v>
                </c:pt>
                <c:pt idx="88">
                  <c:v>-7.4185047183378636E-2</c:v>
                </c:pt>
                <c:pt idx="89">
                  <c:v>-7.4600652940481571E-2</c:v>
                </c:pt>
                <c:pt idx="90">
                  <c:v>-7.5013956119459865E-2</c:v>
                </c:pt>
                <c:pt idx="91">
                  <c:v>-7.5424994572345305E-2</c:v>
                </c:pt>
                <c:pt idx="92">
                  <c:v>-7.5833805125315901E-2</c:v>
                </c:pt>
                <c:pt idx="93">
                  <c:v>-7.6240423617202291E-2</c:v>
                </c:pt>
                <c:pt idx="94">
                  <c:v>-7.6644884936155538E-2</c:v>
                </c:pt>
                <c:pt idx="95">
                  <c:v>-7.7047223054582517E-2</c:v>
                </c:pt>
                <c:pt idx="96">
                  <c:v>-7.744747106244762E-2</c:v>
                </c:pt>
                <c:pt idx="97">
                  <c:v>-7.7845661199033633E-2</c:v>
                </c:pt>
                <c:pt idx="98">
                  <c:v>-7.8241824883247713E-2</c:v>
                </c:pt>
                <c:pt idx="99">
                  <c:v>-7.8635992742553132E-2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C05-4961-A455-048BDEAF4149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52975824"/>
        <c:axId val="452974024"/>
        <c:axId val="452247656"/>
      </c:surface3DChart>
      <c:catAx>
        <c:axId val="45297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52974024"/>
        <c:crosses val="autoZero"/>
        <c:auto val="1"/>
        <c:lblAlgn val="ctr"/>
        <c:lblOffset val="100"/>
        <c:noMultiLvlLbl val="0"/>
      </c:catAx>
      <c:valAx>
        <c:axId val="4529740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52975824"/>
        <c:crosses val="autoZero"/>
        <c:crossBetween val="midCat"/>
      </c:valAx>
      <c:serAx>
        <c:axId val="452247656"/>
        <c:scaling>
          <c:orientation val="minMax"/>
        </c:scaling>
        <c:delete val="0"/>
        <c:axPos val="b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52974024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422910</xdr:colOff>
      <xdr:row>134</xdr:row>
      <xdr:rowOff>15242</xdr:rowOff>
    </xdr:from>
    <xdr:ext cx="9124953" cy="3177537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DBA4014-269B-6ECF-0C98-58AF4F32FA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24</xdr:col>
      <xdr:colOff>346713</xdr:colOff>
      <xdr:row>238</xdr:row>
      <xdr:rowOff>41910</xdr:rowOff>
    </xdr:from>
    <xdr:ext cx="4572000" cy="2743200"/>
    <xdr:graphicFrame macro="">
      <xdr:nvGraphicFramePr>
        <xdr:cNvPr id="4" name="Grafico 2">
          <a:extLst>
            <a:ext uri="{FF2B5EF4-FFF2-40B4-BE49-F238E27FC236}">
              <a16:creationId xmlns:a16="http://schemas.microsoft.com/office/drawing/2014/main" id="{35F545E7-0AA6-078F-B12A-A2C6AC7F03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37</xdr:col>
      <xdr:colOff>26670</xdr:colOff>
      <xdr:row>238</xdr:row>
      <xdr:rowOff>72393</xdr:rowOff>
    </xdr:from>
    <xdr:ext cx="4572000" cy="2743200"/>
    <xdr:graphicFrame macro="">
      <xdr:nvGraphicFramePr>
        <xdr:cNvPr id="5" name="Grafico 3">
          <a:extLst>
            <a:ext uri="{FF2B5EF4-FFF2-40B4-BE49-F238E27FC236}">
              <a16:creationId xmlns:a16="http://schemas.microsoft.com/office/drawing/2014/main" id="{E03955B9-056F-65FA-CD52-9C6822D6D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51</xdr:col>
      <xdr:colOff>19046</xdr:colOff>
      <xdr:row>238</xdr:row>
      <xdr:rowOff>19046</xdr:rowOff>
    </xdr:from>
    <xdr:ext cx="4572000" cy="2743200"/>
    <xdr:graphicFrame macro="">
      <xdr:nvGraphicFramePr>
        <xdr:cNvPr id="3" name="Grafico 4">
          <a:extLst>
            <a:ext uri="{FF2B5EF4-FFF2-40B4-BE49-F238E27FC236}">
              <a16:creationId xmlns:a16="http://schemas.microsoft.com/office/drawing/2014/main" id="{2DDFA5F6-4A0A-3CA3-A92E-7CE43BCC8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twoCellAnchor>
    <xdr:from>
      <xdr:col>30</xdr:col>
      <xdr:colOff>118110</xdr:colOff>
      <xdr:row>104</xdr:row>
      <xdr:rowOff>19050</xdr:rowOff>
    </xdr:from>
    <xdr:to>
      <xdr:col>36</xdr:col>
      <xdr:colOff>666750</xdr:colOff>
      <xdr:row>119</xdr:row>
      <xdr:rowOff>133350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7EB9D4BF-9FEE-BF8E-F012-927D5B7C73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22</xdr:col>
      <xdr:colOff>68581</xdr:colOff>
      <xdr:row>136</xdr:row>
      <xdr:rowOff>45720</xdr:rowOff>
    </xdr:from>
    <xdr:ext cx="1379220" cy="1257300"/>
    <xdr:sp macro="" textlink="">
      <xdr:nvSpPr>
        <xdr:cNvPr id="9" name="CasellaDiTesto 8">
          <a:extLst>
            <a:ext uri="{FF2B5EF4-FFF2-40B4-BE49-F238E27FC236}">
              <a16:creationId xmlns:a16="http://schemas.microsoft.com/office/drawing/2014/main" id="{70FEF2BC-CA2D-AD8B-6F48-4319E20ECDCE}"/>
            </a:ext>
          </a:extLst>
        </xdr:cNvPr>
        <xdr:cNvSpPr txBox="1"/>
      </xdr:nvSpPr>
      <xdr:spPr>
        <a:xfrm>
          <a:off x="18592801" y="23705820"/>
          <a:ext cx="1379220" cy="12573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it-IT" sz="1100"/>
            <a:t>cambiando il </a:t>
          </a:r>
        </a:p>
        <a:p>
          <a:r>
            <a:rPr lang="it-IT" sz="1100"/>
            <a:t>riferimento al valore di </a:t>
          </a:r>
        </a:p>
        <a:p>
          <a:r>
            <a:rPr lang="it-IT" sz="1100"/>
            <a:t>sigma è possibile </a:t>
          </a:r>
        </a:p>
        <a:p>
          <a:r>
            <a:rPr lang="it-IT" sz="1100"/>
            <a:t>ottenere</a:t>
          </a:r>
          <a:r>
            <a:rPr lang="it-IT" sz="1100" baseline="0"/>
            <a:t> il VaR per i</a:t>
          </a:r>
        </a:p>
        <a:p>
          <a:r>
            <a:rPr lang="it-IT" sz="1100" baseline="0"/>
            <a:t> primi 2 metodi.</a:t>
          </a:r>
          <a:endParaRPr lang="it-IT" sz="1100"/>
        </a:p>
      </xdr:txBody>
    </xdr:sp>
    <xdr:clientData/>
  </xdr:oneCellAnchor>
  <xdr:twoCellAnchor>
    <xdr:from>
      <xdr:col>42</xdr:col>
      <xdr:colOff>742950</xdr:colOff>
      <xdr:row>103</xdr:row>
      <xdr:rowOff>110490</xdr:rowOff>
    </xdr:from>
    <xdr:to>
      <xdr:col>49</xdr:col>
      <xdr:colOff>339090</xdr:colOff>
      <xdr:row>119</xdr:row>
      <xdr:rowOff>49530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C80CEABA-5152-BEBF-16CD-FC9C1DFB05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64</xdr:col>
      <xdr:colOff>659130</xdr:colOff>
      <xdr:row>237</xdr:row>
      <xdr:rowOff>171450</xdr:rowOff>
    </xdr:from>
    <xdr:to>
      <xdr:col>71</xdr:col>
      <xdr:colOff>537210</xdr:colOff>
      <xdr:row>253</xdr:row>
      <xdr:rowOff>110490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E26B463B-2FFC-C26C-112F-C467402FB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V237"/>
  <sheetViews>
    <sheetView tabSelected="1" topLeftCell="J1" workbookViewId="0">
      <selection activeCell="V6" sqref="V6"/>
    </sheetView>
  </sheetViews>
  <sheetFormatPr defaultRowHeight="13.8"/>
  <cols>
    <col min="1" max="16" width="10.69921875" customWidth="1"/>
    <col min="17" max="17" width="15.3984375" customWidth="1"/>
    <col min="18" max="19" width="10.69921875" customWidth="1"/>
    <col min="20" max="20" width="12.796875" bestFit="1" customWidth="1"/>
    <col min="21" max="21" width="8.796875" customWidth="1"/>
    <col min="22" max="23" width="13.5" bestFit="1" customWidth="1"/>
    <col min="24" max="24" width="8.796875" customWidth="1"/>
    <col min="25" max="25" width="12.5" bestFit="1" customWidth="1"/>
    <col min="26" max="26" width="12.19921875" bestFit="1" customWidth="1"/>
    <col min="27" max="27" width="12.5" bestFit="1" customWidth="1"/>
    <col min="29" max="29" width="9.59765625" bestFit="1" customWidth="1"/>
    <col min="43" max="43" width="12.5" bestFit="1" customWidth="1"/>
  </cols>
  <sheetData>
    <row r="1" spans="1:53">
      <c r="O1" s="15" t="s">
        <v>149</v>
      </c>
      <c r="P1" s="15"/>
      <c r="AC1" s="15" t="s">
        <v>157</v>
      </c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Q1" s="15" t="s">
        <v>158</v>
      </c>
      <c r="AR1" s="15"/>
      <c r="AS1" s="15"/>
      <c r="AT1" s="15"/>
      <c r="AU1" s="15"/>
      <c r="AV1" s="15"/>
      <c r="AW1" s="15"/>
      <c r="AX1" s="15"/>
      <c r="AY1" s="15"/>
      <c r="AZ1" s="15"/>
      <c r="BA1" s="15"/>
    </row>
    <row r="2" spans="1:53" ht="15">
      <c r="A2" s="16" t="s">
        <v>0</v>
      </c>
      <c r="B2" s="16"/>
      <c r="C2" s="16"/>
      <c r="D2" s="16"/>
      <c r="E2" s="16"/>
      <c r="F2" s="16"/>
      <c r="G2" s="16"/>
      <c r="H2" s="17" t="s">
        <v>1</v>
      </c>
      <c r="I2" s="17"/>
      <c r="J2" s="17"/>
      <c r="K2" s="17"/>
      <c r="L2" s="17"/>
      <c r="M2" s="17"/>
      <c r="N2" s="17"/>
      <c r="O2">
        <v>0.5</v>
      </c>
      <c r="P2">
        <v>0.5</v>
      </c>
      <c r="Q2" t="s">
        <v>2</v>
      </c>
      <c r="R2">
        <v>500</v>
      </c>
      <c r="W2" t="s">
        <v>150</v>
      </c>
      <c r="X2">
        <v>0.94</v>
      </c>
      <c r="Y2" s="18" t="s">
        <v>155</v>
      </c>
      <c r="Z2" s="15"/>
      <c r="AA2" s="15"/>
      <c r="AD2" s="8" t="s">
        <v>156</v>
      </c>
      <c r="AE2" s="8">
        <v>1500</v>
      </c>
      <c r="AP2" s="15" t="s">
        <v>159</v>
      </c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</row>
    <row r="3" spans="1:53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  <c r="H3" s="2" t="s">
        <v>3</v>
      </c>
      <c r="I3" s="2" t="s">
        <v>4</v>
      </c>
      <c r="J3" s="2" t="s">
        <v>5</v>
      </c>
      <c r="K3" s="2" t="s">
        <v>6</v>
      </c>
      <c r="L3" s="2" t="s">
        <v>7</v>
      </c>
      <c r="M3" s="2" t="s">
        <v>8</v>
      </c>
      <c r="N3" s="2" t="s">
        <v>9</v>
      </c>
      <c r="O3" t="s">
        <v>10</v>
      </c>
      <c r="P3" t="s">
        <v>11</v>
      </c>
      <c r="Q3" t="s">
        <v>12</v>
      </c>
      <c r="R3" t="s">
        <v>13</v>
      </c>
      <c r="S3" t="s">
        <v>14</v>
      </c>
      <c r="T3" s="10" t="s">
        <v>15</v>
      </c>
      <c r="U3" s="11" t="s">
        <v>16</v>
      </c>
      <c r="V3" t="s">
        <v>17</v>
      </c>
      <c r="W3" t="s">
        <v>148</v>
      </c>
      <c r="X3" t="s">
        <v>149</v>
      </c>
      <c r="Y3" t="s">
        <v>151</v>
      </c>
      <c r="Z3" t="s">
        <v>152</v>
      </c>
      <c r="AA3" t="s">
        <v>153</v>
      </c>
      <c r="AC3" s="10"/>
      <c r="AD3" s="9">
        <v>0.9</v>
      </c>
      <c r="AE3" s="9">
        <v>0.91</v>
      </c>
      <c r="AF3" s="9">
        <v>0.92</v>
      </c>
      <c r="AG3" s="9">
        <v>0.93</v>
      </c>
      <c r="AH3" s="9">
        <v>0.94</v>
      </c>
      <c r="AI3" s="9">
        <v>0.95</v>
      </c>
      <c r="AJ3" s="9">
        <v>0.96</v>
      </c>
      <c r="AK3" s="9">
        <v>0.97</v>
      </c>
      <c r="AL3" s="9">
        <v>0.98</v>
      </c>
      <c r="AM3" s="9">
        <v>0.99</v>
      </c>
      <c r="AN3" s="9">
        <v>0.995</v>
      </c>
      <c r="AP3" s="12"/>
      <c r="AQ3" s="9">
        <v>0.9</v>
      </c>
      <c r="AR3" s="9">
        <v>0.91</v>
      </c>
      <c r="AS3" s="9">
        <v>0.92</v>
      </c>
      <c r="AT3" s="9">
        <v>0.93</v>
      </c>
      <c r="AU3" s="9">
        <v>0.94</v>
      </c>
      <c r="AV3" s="9">
        <v>0.95</v>
      </c>
      <c r="AW3" s="9">
        <v>0.96</v>
      </c>
      <c r="AX3" s="9">
        <v>0.97</v>
      </c>
      <c r="AY3" s="9">
        <v>0.98</v>
      </c>
      <c r="AZ3" s="9">
        <v>0.99</v>
      </c>
      <c r="BA3" s="9">
        <v>0.995</v>
      </c>
    </row>
    <row r="4" spans="1:53">
      <c r="A4" s="3" t="s">
        <v>18</v>
      </c>
      <c r="B4" s="1">
        <v>78.930000000000007</v>
      </c>
      <c r="C4" s="1">
        <v>80.370002999999997</v>
      </c>
      <c r="D4" s="1">
        <v>77.809997999999993</v>
      </c>
      <c r="E4" s="1">
        <v>79.300003000000004</v>
      </c>
      <c r="F4" s="1">
        <v>79.300003000000004</v>
      </c>
      <c r="G4" s="1">
        <v>53150500</v>
      </c>
      <c r="H4" s="4">
        <v>44880</v>
      </c>
      <c r="I4" s="2">
        <v>55.724997999999999</v>
      </c>
      <c r="J4" s="2">
        <v>65.650002000000001</v>
      </c>
      <c r="K4" s="2">
        <v>55.459999000000003</v>
      </c>
      <c r="L4" s="2">
        <v>62.310001</v>
      </c>
      <c r="M4" s="2">
        <v>62.310001</v>
      </c>
      <c r="N4" s="2">
        <v>42881100</v>
      </c>
      <c r="O4">
        <f>M4/(F4+M4)</f>
        <v>0.44001129326993027</v>
      </c>
      <c r="P4">
        <f>F4/(F4+M4)</f>
        <v>0.55998870673006973</v>
      </c>
      <c r="Q4">
        <f>$R$2*O4</f>
        <v>220.00564663496513</v>
      </c>
      <c r="R4">
        <f>$R$2*P4</f>
        <v>279.99435336503484</v>
      </c>
      <c r="S4">
        <f>Q4+R4</f>
        <v>500</v>
      </c>
      <c r="T4" s="10"/>
      <c r="U4" s="11"/>
      <c r="W4">
        <v>122</v>
      </c>
      <c r="X4">
        <f>(1-$X$2)*$X$2^W4</f>
        <v>3.1604533882571972E-5</v>
      </c>
      <c r="AC4" s="10">
        <v>1</v>
      </c>
      <c r="AD4">
        <f>MC($AC4,0,$T$128,$AE$2,AD$3)+MC($AC4,0,$U$128,$AE$2,AD$3)-MC($AC4,0,$V$128,$AE$2,AD$3)</f>
        <v>-1.7382400525334241E-3</v>
      </c>
      <c r="AE4">
        <f>MC($AC4,0,$T$128,$AE$2,AE$3)+MC($AC4,0,$U$128,$AE$2,AE$3)-MC($AC4,0,$V$128,$AE$2,AE$3)</f>
        <v>-1.9756957372831785E-3</v>
      </c>
      <c r="AF4">
        <f>MC($AC4,0,$T$128,$AE$2,AF$3)+MC($AC4,0,$U$128,$AE$2,AF$3)-MC($AC4,0,$V$128,$AE$2,AF$3)</f>
        <v>-1.7981164923575044E-3</v>
      </c>
      <c r="AG4">
        <f>MC($AC4,0,$T$128,$AE$2,AG$3)+MC($AC4,0,$U$128,$AE$2,AG$3)-MC($AC4,0,$V$128,$AE$2,AG$3)</f>
        <v>-2.2966564905435582E-3</v>
      </c>
      <c r="AH4">
        <f>MC($AC4,0,$T$128,$AE$2,AH$3)+MC($AC4,0,$U$128,$AE$2,AH$3)-MC($AC4,0,$V$128,$AE$2,AH$3)</f>
        <v>-2.3290277082790301E-3</v>
      </c>
      <c r="AI4">
        <f>MC($AC4,0,$T$128,$AE$2,AI$3)+MC($AC4,0,$U$128,$AE$2,AI$3)-MC($AC4,0,$V$128,$AE$2,AI$3)</f>
        <v>-2.8477636702106679E-3</v>
      </c>
      <c r="AJ4">
        <f>MC($AC4,0,$T$128,$AE$2,AJ$3)+MC($AC4,0,$U$128,$AE$2,AJ$3)-MC($AC4,0,$V$128,$AE$2,AJ$3)</f>
        <v>-2.1146422141298249E-3</v>
      </c>
      <c r="AK4">
        <f>MC($AC4,0,$T$128,$AE$2,AK$3)+MC($AC4,0,$U$128,$AE$2,AK$3)-MC($AC4,0,$V$128,$AE$2,AK$3)</f>
        <v>-2.8723427831303106E-3</v>
      </c>
      <c r="AL4">
        <f>MC($AC4,0,$T$128,$AE$2,AL$3)+MC($AC4,0,$U$128,$AE$2,AL$3)-MC($AC4,0,$V$128,$AE$2,AL$3)</f>
        <v>-3.1646917974590405E-3</v>
      </c>
      <c r="AM4">
        <f>MC($AC4,0,$T$128,$AE$2,AM$3)+MC($AC4,0,$U$128,$AE$2,AM$3)-MC($AC4,0,$V$128,$AE$2,AM$3)</f>
        <v>-3.7323515634817284E-3</v>
      </c>
      <c r="AN4">
        <f>MC($AC4,0,$T$128,$AE$2,AN$3)+MC($AC4,0,$U$128,$AE$2,AN$3)-MC($AC4,0,$V$128,$AE$2,AN$3)</f>
        <v>-3.4025295991289006E-3</v>
      </c>
      <c r="AP4" s="10">
        <v>1</v>
      </c>
      <c r="AQ4">
        <f>$T$128*SQRT($AP4)*_xlfn.NORM.INV(1-AQ$3,0,1)+$U$128*SQRT($AP4)*_xlfn.NORM.INV(1-AQ$3,0,1)-$V$128*SQRT($AP4)*_xlfn.NORM.INV(1-AQ$3,0,1)</f>
        <v>-2.6878076426855538E-2</v>
      </c>
      <c r="AR4">
        <f t="shared" ref="AR4:BA19" si="0">$T$128*SQRT($AP4)*_xlfn.NORM.INV(1-AR$3,0,1)+$U$128*SQRT($AP4)*_xlfn.NORM.INV(1-AR$3,0,1)-$V$128*SQRT($AP4)*_xlfn.NORM.INV(1-AR$3,0,1)</f>
        <v>-2.8119755173411892E-2</v>
      </c>
      <c r="AS4">
        <f t="shared" si="0"/>
        <v>-2.9468670476130873E-2</v>
      </c>
      <c r="AT4">
        <f t="shared" si="0"/>
        <v>-3.095187514254337E-2</v>
      </c>
      <c r="AU4">
        <f t="shared" si="0"/>
        <v>-3.2608382390194784E-2</v>
      </c>
      <c r="AV4">
        <f t="shared" si="0"/>
        <v>-3.4497637617417864E-2</v>
      </c>
      <c r="AW4">
        <f t="shared" si="0"/>
        <v>-3.6717269353536322E-2</v>
      </c>
      <c r="AX4">
        <f t="shared" si="0"/>
        <v>-3.9446024414591815E-2</v>
      </c>
      <c r="AY4">
        <f t="shared" si="0"/>
        <v>-4.3073428854246379E-2</v>
      </c>
      <c r="AZ4">
        <f t="shared" si="0"/>
        <v>-4.8790667215447683E-2</v>
      </c>
      <c r="BA4">
        <f t="shared" si="0"/>
        <v>-5.4023059816481422E-2</v>
      </c>
    </row>
    <row r="5" spans="1:53">
      <c r="A5" s="3" t="s">
        <v>19</v>
      </c>
      <c r="B5" s="1">
        <v>80.319999999999993</v>
      </c>
      <c r="C5" s="1">
        <v>80.449996999999996</v>
      </c>
      <c r="D5" s="1">
        <v>77.410004000000001</v>
      </c>
      <c r="E5" s="1">
        <v>78.160004000000001</v>
      </c>
      <c r="F5" s="1">
        <v>78.160004000000001</v>
      </c>
      <c r="G5" s="1">
        <v>26637300</v>
      </c>
      <c r="H5" s="4">
        <v>44881</v>
      </c>
      <c r="I5" s="2">
        <v>59.389999000000003</v>
      </c>
      <c r="J5" s="2">
        <v>61.16</v>
      </c>
      <c r="K5" s="2">
        <v>57.66</v>
      </c>
      <c r="L5" s="2">
        <v>58.759998000000003</v>
      </c>
      <c r="M5" s="2">
        <v>58.759998000000003</v>
      </c>
      <c r="N5" s="2">
        <v>10874300</v>
      </c>
      <c r="O5">
        <f t="shared" ref="O5:O35" si="1">M5/(F5+M5)</f>
        <v>0.42915569048852337</v>
      </c>
      <c r="P5">
        <f t="shared" ref="P4:P35" si="2">F5/(F5+M5)</f>
        <v>0.57084430951147658</v>
      </c>
      <c r="Q5">
        <f t="shared" ref="Q4:Q35" si="3">$R$2*O5</f>
        <v>214.57784524426168</v>
      </c>
      <c r="R5">
        <f t="shared" ref="R4:R35" si="4">$R$2*P5</f>
        <v>285.42215475573829</v>
      </c>
      <c r="S5">
        <f t="shared" ref="S5:S68" si="5">Q5+R5</f>
        <v>500</v>
      </c>
      <c r="T5" s="10">
        <f t="shared" ref="T5:T36" si="6">(F5-F4)/F4</f>
        <v>-1.4375774992089257E-2</v>
      </c>
      <c r="U5" s="11">
        <f t="shared" ref="U5:U36" si="7">(M5-M4)/M4</f>
        <v>-5.6973245755524808E-2</v>
      </c>
      <c r="V5">
        <f>O5*T5+P5*U5</f>
        <v>-3.8692298776977933E-2</v>
      </c>
      <c r="W5">
        <v>121</v>
      </c>
      <c r="X5">
        <f t="shared" ref="X5:X68" si="8">(1-$X$2)*$X$2^W5</f>
        <v>3.3621844555927636E-5</v>
      </c>
      <c r="Y5">
        <f>((SQRT($X5)*T5)-$T$127)^2</f>
        <v>1.4827058824700268E-6</v>
      </c>
      <c r="Z5">
        <f>((SQRT($X5)*U5)-$U$127)^2</f>
        <v>1.288054165042145E-5</v>
      </c>
      <c r="AA5">
        <f>((SQRT($X5)*V5)-$V$127)^2</f>
        <v>5.2844108407146028E-6</v>
      </c>
      <c r="AC5" s="10">
        <v>2</v>
      </c>
      <c r="AD5">
        <f>MC($AC5,0,$T$128,$AE$2,AD$3)+MC($AC5,0,$U$128,$AE$2,AD$3)-MC($AC5,0,$V$128,$AE$2,AD$3)</f>
        <v>-1.9722632462260137E-3</v>
      </c>
      <c r="AE5">
        <f>MC($AC5,0,$T$128,$AE$2,AE$3)+MC($AC5,0,$U$128,$AE$2,AE$3)-MC($AC5,0,$V$128,$AE$2,AE$3)</f>
        <v>-2.1141490377218908E-3</v>
      </c>
      <c r="AF5">
        <f>MC($AC5,0,$T$128,$AE$2,AF$3)+MC($AC5,0,$U$128,$AE$2,AF$3)-MC($AC5,0,$V$128,$AE$2,AF$3)</f>
        <v>-2.6067361443504744E-3</v>
      </c>
      <c r="AG5">
        <f>MC($AC5,0,$T$128,$AE$2,AG$3)+MC($AC5,0,$U$128,$AE$2,AG$3)-MC($AC5,0,$V$128,$AE$2,AG$3)</f>
        <v>-2.8884314649619824E-3</v>
      </c>
      <c r="AH5">
        <f>MC($AC5,0,$T$128,$AE$2,AH$3)+MC($AC5,0,$U$128,$AE$2,AH$3)-MC($AC5,0,$V$128,$AE$2,AH$3)</f>
        <v>-3.4579385302675458E-3</v>
      </c>
      <c r="AI5">
        <f>MC($AC5,0,$T$128,$AE$2,AI$3)+MC($AC5,0,$U$128,$AE$2,AI$3)-MC($AC5,0,$V$128,$AE$2,AI$3)</f>
        <v>-2.6333697353264629E-3</v>
      </c>
      <c r="AJ5" t="e">
        <f>MC($AC5,0,$T$128,$AE$2,AJ$3)+MC($AC5,0,$U$128,$AE$2,AJ$3)-MC($AC5,0,$V$128,$AE$2,AJ$3)</f>
        <v>#VALUE!</v>
      </c>
      <c r="AK5">
        <f>MC($AC5,0,$T$128,$AE$2,AK$3)+MC($AC5,0,$U$128,$AE$2,AK$3)-MC($AC5,0,$V$128,$AE$2,AK$3)</f>
        <v>-4.0866515693978034E-3</v>
      </c>
      <c r="AL5">
        <f>MC($AC5,0,$T$128,$AE$2,AL$3)+MC($AC5,0,$U$128,$AE$2,AL$3)-MC($AC5,0,$V$128,$AE$2,AL$3)</f>
        <v>-4.3322082153183228E-3</v>
      </c>
      <c r="AM5">
        <f>MC($AC5,0,$T$128,$AE$2,AM$3)+MC($AC5,0,$U$128,$AE$2,AM$3)-MC($AC5,0,$V$128,$AE$2,AM$3)</f>
        <v>-3.1870082254088494E-3</v>
      </c>
      <c r="AN5">
        <f>MC($AC5,0,$T$128,$AE$2,AN$3)+MC($AC5,0,$U$128,$AE$2,AN$3)-MC($AC5,0,$V$128,$AE$2,AN$3)</f>
        <v>-4.5105474898490261E-3</v>
      </c>
      <c r="AP5" s="10">
        <v>2</v>
      </c>
      <c r="AQ5">
        <f t="shared" ref="AQ5:BA36" si="9">$T$128*SQRT($AP5)*_xlfn.NORM.INV(1-AQ$3,0,1)+$U$128*SQRT($AP5)*_xlfn.NORM.INV(1-AQ$3,0,1)-$V$128*SQRT($AP5)*_xlfn.NORM.INV(1-AQ$3,0,1)</f>
        <v>-3.8011340213359668E-2</v>
      </c>
      <c r="AR5">
        <f t="shared" si="0"/>
        <v>-3.9767339136850113E-2</v>
      </c>
      <c r="AS5">
        <f t="shared" si="0"/>
        <v>-4.1674993452447878E-2</v>
      </c>
      <c r="AT5">
        <f t="shared" si="0"/>
        <v>-4.377256160746347E-2</v>
      </c>
      <c r="AU5">
        <f t="shared" si="0"/>
        <v>-4.6115216623261471E-2</v>
      </c>
      <c r="AV5">
        <f t="shared" si="0"/>
        <v>-4.8787026988384607E-2</v>
      </c>
      <c r="AW5">
        <f t="shared" si="0"/>
        <v>-5.1926060293077086E-2</v>
      </c>
      <c r="AX5">
        <f t="shared" si="0"/>
        <v>-5.5785102708815981E-2</v>
      </c>
      <c r="AY5">
        <f t="shared" si="0"/>
        <v>-6.0915027263587801E-2</v>
      </c>
      <c r="AZ5">
        <f t="shared" si="0"/>
        <v>-6.900042329331843E-2</v>
      </c>
      <c r="BA5">
        <f t="shared" si="0"/>
        <v>-7.6400143873360998E-2</v>
      </c>
    </row>
    <row r="6" spans="1:53">
      <c r="A6" s="3" t="s">
        <v>20</v>
      </c>
      <c r="B6" s="1">
        <v>76</v>
      </c>
      <c r="C6" s="1">
        <v>85.68</v>
      </c>
      <c r="D6" s="1">
        <v>75.760002</v>
      </c>
      <c r="E6" s="1">
        <v>84.260002</v>
      </c>
      <c r="F6" s="1">
        <v>84.260002</v>
      </c>
      <c r="G6" s="1">
        <v>62050600</v>
      </c>
      <c r="H6" s="4">
        <v>44882</v>
      </c>
      <c r="I6" s="2">
        <v>57</v>
      </c>
      <c r="J6" s="2">
        <v>60.970001000000003</v>
      </c>
      <c r="K6" s="2">
        <v>56.779998999999997</v>
      </c>
      <c r="L6" s="2">
        <v>59.93</v>
      </c>
      <c r="M6" s="2">
        <v>59.93</v>
      </c>
      <c r="N6" s="2">
        <v>9008500</v>
      </c>
      <c r="O6">
        <f t="shared" si="1"/>
        <v>0.41563214625657613</v>
      </c>
      <c r="P6">
        <f t="shared" si="2"/>
        <v>0.58436785374342393</v>
      </c>
      <c r="Q6">
        <f t="shared" si="3"/>
        <v>207.81607312828805</v>
      </c>
      <c r="R6">
        <f t="shared" si="4"/>
        <v>292.18392687171195</v>
      </c>
      <c r="S6">
        <f t="shared" si="5"/>
        <v>500</v>
      </c>
      <c r="T6" s="10">
        <f t="shared" si="6"/>
        <v>7.8045006241299564E-2</v>
      </c>
      <c r="U6" s="11">
        <f t="shared" si="7"/>
        <v>1.9911539139262677E-2</v>
      </c>
      <c r="V6" s="6">
        <f t="shared" ref="V6:V69" si="10">O6*T6+P6*U6</f>
        <v>4.4073676840218332E-2</v>
      </c>
      <c r="W6">
        <v>120</v>
      </c>
      <c r="X6">
        <f t="shared" si="8"/>
        <v>3.576791974034855E-5</v>
      </c>
      <c r="Y6">
        <f t="shared" ref="Y6:Y69" si="11">((SQRT(X6)*T6)-$T$127)^2</f>
        <v>4.45621550159154E-7</v>
      </c>
      <c r="Z6">
        <f t="shared" ref="Z6:Z69" si="12">((SQRT($X6)*U6)-$U$127)^2</f>
        <v>9.8565103876828433E-6</v>
      </c>
      <c r="AA6">
        <f t="shared" ref="AA6:AA69" si="13">((SQRT($X6)*V6)-$V$127)^2</f>
        <v>3.2791472308595208E-6</v>
      </c>
      <c r="AC6" s="10">
        <v>3</v>
      </c>
      <c r="AD6">
        <f>MC($AC6,0,$T$128,$AE$2,AD$3)+MC($AC6,0,$U$128,$AE$2,AD$3)-MC($AC6,0,$V$128,$AE$2,AD$3)</f>
        <v>-3.8022137282818225E-3</v>
      </c>
      <c r="AE6">
        <f>MC($AC6,0,$T$128,$AE$2,AE$3)+MC($AC6,0,$U$128,$AE$2,AE$3)-MC($AC6,0,$V$128,$AE$2,AE$3)</f>
        <v>-3.0808962121924299E-3</v>
      </c>
      <c r="AF6">
        <f>MC($AC6,0,$T$128,$AE$2,AF$3)+MC($AC6,0,$U$128,$AE$2,AF$3)-MC($AC6,0,$V$128,$AE$2,AF$3)</f>
        <v>-3.043652915804218E-3</v>
      </c>
      <c r="AG6">
        <f>MC($AC6,0,$T$128,$AE$2,AG$3)+MC($AC6,0,$U$128,$AE$2,AG$3)-MC($AC6,0,$V$128,$AE$2,AG$3)</f>
        <v>-3.2594036844928453E-3</v>
      </c>
      <c r="AH6">
        <f>MC($AC6,0,$T$128,$AE$2,AH$3)+MC($AC6,0,$U$128,$AE$2,AH$3)-MC($AC6,0,$V$128,$AE$2,AH$3)</f>
        <v>-4.2892950414317177E-3</v>
      </c>
      <c r="AI6">
        <f>MC($AC6,0,$T$128,$AE$2,AI$3)+MC($AC6,0,$U$128,$AE$2,AI$3)-MC($AC6,0,$V$128,$AE$2,AI$3)</f>
        <v>-4.4893552938762848E-3</v>
      </c>
      <c r="AJ6">
        <f>MC($AC6,0,$T$128,$AE$2,AJ$3)+MC($AC6,0,$U$128,$AE$2,AJ$3)-MC($AC6,0,$V$128,$AE$2,AJ$3)</f>
        <v>-4.3584542556953654E-3</v>
      </c>
      <c r="AK6">
        <f>MC($AC6,0,$T$128,$AE$2,AK$3)+MC($AC6,0,$U$128,$AE$2,AK$3)-MC($AC6,0,$V$128,$AE$2,AK$3)</f>
        <v>-4.6409718934865563E-3</v>
      </c>
      <c r="AL6">
        <f>MC($AC6,0,$T$128,$AE$2,AL$3)+MC($AC6,0,$U$128,$AE$2,AL$3)-MC($AC6,0,$V$128,$AE$2,AL$3)</f>
        <v>-4.6356331761912006E-3</v>
      </c>
      <c r="AM6">
        <f>MC($AC6,0,$T$128,$AE$2,AM$3)+MC($AC6,0,$U$128,$AE$2,AM$3)-MC($AC6,0,$V$128,$AE$2,AM$3)</f>
        <v>-4.4464389522727021E-3</v>
      </c>
      <c r="AN6">
        <f>MC($AC6,0,$T$128,$AE$2,AN$3)+MC($AC6,0,$U$128,$AE$2,AN$3)-MC($AC6,0,$V$128,$AE$2,AN$3)</f>
        <v>-5.6151731340745581E-3</v>
      </c>
      <c r="AP6" s="10">
        <v>3</v>
      </c>
      <c r="AQ6">
        <f t="shared" si="9"/>
        <v>-4.6554193981033151E-2</v>
      </c>
      <c r="AR6">
        <f t="shared" si="0"/>
        <v>-4.8704844656747182E-2</v>
      </c>
      <c r="AS6">
        <f t="shared" si="0"/>
        <v>-5.1041234496163601E-2</v>
      </c>
      <c r="AT6">
        <f t="shared" si="0"/>
        <v>-5.3610220336413328E-2</v>
      </c>
      <c r="AU6">
        <f t="shared" si="0"/>
        <v>-5.6479375052451625E-2</v>
      </c>
      <c r="AV6">
        <f t="shared" si="0"/>
        <v>-5.9751661094467085E-2</v>
      </c>
      <c r="AW6">
        <f t="shared" si="0"/>
        <v>-6.3596176035516566E-2</v>
      </c>
      <c r="AX6">
        <f t="shared" si="0"/>
        <v>-6.8322518442675423E-2</v>
      </c>
      <c r="AY6">
        <f t="shared" si="0"/>
        <v>-7.460536723175798E-2</v>
      </c>
      <c r="AZ6">
        <f t="shared" si="0"/>
        <v>-8.4507914552340496E-2</v>
      </c>
      <c r="BA6">
        <f t="shared" si="0"/>
        <v>-9.3570684382478397E-2</v>
      </c>
    </row>
    <row r="7" spans="1:53">
      <c r="A7" s="3" t="s">
        <v>21</v>
      </c>
      <c r="B7" s="1">
        <v>82.150002000000001</v>
      </c>
      <c r="C7" s="1">
        <v>82.519997000000004</v>
      </c>
      <c r="D7" s="1">
        <v>79.860000999999997</v>
      </c>
      <c r="E7" s="1">
        <v>80.480002999999996</v>
      </c>
      <c r="F7" s="1">
        <v>80.480002999999996</v>
      </c>
      <c r="G7" s="1">
        <v>29528300</v>
      </c>
      <c r="H7" s="4">
        <v>44883</v>
      </c>
      <c r="I7" s="2">
        <v>60.830002</v>
      </c>
      <c r="J7" s="2">
        <v>60.919998</v>
      </c>
      <c r="K7" s="2">
        <v>56.360000999999997</v>
      </c>
      <c r="L7" s="2">
        <v>56.939999</v>
      </c>
      <c r="M7" s="2">
        <v>56.939999</v>
      </c>
      <c r="N7" s="2">
        <v>4939000</v>
      </c>
      <c r="O7">
        <f t="shared" si="1"/>
        <v>0.41435015406272513</v>
      </c>
      <c r="P7">
        <f t="shared" si="2"/>
        <v>0.58564984593727476</v>
      </c>
      <c r="Q7">
        <f t="shared" si="3"/>
        <v>207.17507703136258</v>
      </c>
      <c r="R7">
        <f t="shared" si="4"/>
        <v>292.8249229686374</v>
      </c>
      <c r="S7">
        <f t="shared" si="5"/>
        <v>500</v>
      </c>
      <c r="T7" s="10">
        <f t="shared" si="6"/>
        <v>-4.4861131145000489E-2</v>
      </c>
      <c r="U7" s="11">
        <f t="shared" si="7"/>
        <v>-4.9891556816285661E-2</v>
      </c>
      <c r="V7">
        <f t="shared" si="10"/>
        <v>-4.7807199164387554E-2</v>
      </c>
      <c r="W7">
        <v>119</v>
      </c>
      <c r="X7">
        <f t="shared" si="8"/>
        <v>3.80509784471793E-5</v>
      </c>
      <c r="Y7">
        <f t="shared" si="11"/>
        <v>1.9910201552065232E-6</v>
      </c>
      <c r="Z7">
        <f>((SQRT($X7)*U7)-$U$127)^2</f>
        <v>1.2718851940111335E-5</v>
      </c>
      <c r="AA7">
        <f t="shared" si="13"/>
        <v>5.6137287118797435E-6</v>
      </c>
      <c r="AC7" s="10">
        <v>4</v>
      </c>
      <c r="AD7">
        <f>MC($AC7,0,$T$128,$AE$2,AD$3)+MC($AC7,0,$U$128,$AE$2,AD$3)-MC($AC7,0,$V$128,$AE$2,AD$3)</f>
        <v>-3.2507619299380064E-3</v>
      </c>
      <c r="AE7">
        <f>MC($AC7,0,$T$128,$AE$2,AE$3)+MC($AC7,0,$U$128,$AE$2,AE$3)-MC($AC7,0,$V$128,$AE$2,AE$3)</f>
        <v>-3.2634675458420581E-3</v>
      </c>
      <c r="AF7">
        <f>MC($AC7,0,$T$128,$AE$2,AF$3)+MC($AC7,0,$U$128,$AE$2,AF$3)-MC($AC7,0,$V$128,$AE$2,AF$3)</f>
        <v>-3.5621999997557108E-3</v>
      </c>
      <c r="AG7">
        <f>MC($AC7,0,$T$128,$AE$2,AG$3)+MC($AC7,0,$U$128,$AE$2,AG$3)-MC($AC7,0,$V$128,$AE$2,AG$3)</f>
        <v>-4.4854822703941366E-3</v>
      </c>
      <c r="AH7">
        <f>MC($AC7,0,$T$128,$AE$2,AH$3)+MC($AC7,0,$U$128,$AE$2,AH$3)-MC($AC7,0,$V$128,$AE$2,AH$3)</f>
        <v>-3.6054572506969418E-3</v>
      </c>
      <c r="AI7">
        <f>MC($AC7,0,$T$128,$AE$2,AI$3)+MC($AC7,0,$U$128,$AE$2,AI$3)-MC($AC7,0,$V$128,$AE$2,AI$3)</f>
        <v>-3.7379580787431088E-3</v>
      </c>
      <c r="AJ7">
        <f>MC($AC7,0,$T$128,$AE$2,AJ$3)+MC($AC7,0,$U$128,$AE$2,AJ$3)-MC($AC7,0,$V$128,$AE$2,AJ$3)</f>
        <v>-4.6595048167856756E-3</v>
      </c>
      <c r="AK7">
        <f>MC($AC7,0,$T$128,$AE$2,AK$3)+MC($AC7,0,$U$128,$AE$2,AK$3)-MC($AC7,0,$V$128,$AE$2,AK$3)</f>
        <v>-4.7799962917440819E-3</v>
      </c>
      <c r="AL7">
        <f>MC($AC7,0,$T$128,$AE$2,AL$3)+MC($AC7,0,$U$128,$AE$2,AL$3)-MC($AC7,0,$V$128,$AE$2,AL$3)</f>
        <v>-5.5615875174888085E-3</v>
      </c>
      <c r="AM7">
        <f>MC($AC7,0,$T$128,$AE$2,AM$3)+MC($AC7,0,$U$128,$AE$2,AM$3)-MC($AC7,0,$V$128,$AE$2,AM$3)</f>
        <v>-4.7388368405079095E-3</v>
      </c>
      <c r="AN7">
        <f>MC($AC7,0,$T$128,$AE$2,AN$3)+MC($AC7,0,$U$128,$AE$2,AN$3)-MC($AC7,0,$V$128,$AE$2,AN$3)</f>
        <v>-7.7210400545635327E-3</v>
      </c>
      <c r="AP7" s="10">
        <v>4</v>
      </c>
      <c r="AQ7">
        <f t="shared" si="9"/>
        <v>-5.3756152853711076E-2</v>
      </c>
      <c r="AR7">
        <f t="shared" si="0"/>
        <v>-5.6239510346823784E-2</v>
      </c>
      <c r="AS7">
        <f t="shared" si="0"/>
        <v>-5.8937340952261746E-2</v>
      </c>
      <c r="AT7">
        <f t="shared" si="0"/>
        <v>-6.1903750285086739E-2</v>
      </c>
      <c r="AU7">
        <f t="shared" si="0"/>
        <v>-6.5216764780389569E-2</v>
      </c>
      <c r="AV7">
        <f t="shared" si="0"/>
        <v>-6.8995275234835729E-2</v>
      </c>
      <c r="AW7">
        <f t="shared" si="0"/>
        <v>-7.3434538707072644E-2</v>
      </c>
      <c r="AX7">
        <f t="shared" si="0"/>
        <v>-7.8892048829183631E-2</v>
      </c>
      <c r="AY7">
        <f t="shared" si="0"/>
        <v>-8.6146857708492758E-2</v>
      </c>
      <c r="AZ7">
        <f t="shared" si="0"/>
        <v>-9.7581334430895367E-2</v>
      </c>
      <c r="BA7">
        <f t="shared" si="0"/>
        <v>-0.10804611963296284</v>
      </c>
    </row>
    <row r="8" spans="1:53">
      <c r="A8" s="3" t="s">
        <v>22</v>
      </c>
      <c r="B8" s="1">
        <v>78.690002000000007</v>
      </c>
      <c r="C8" s="1">
        <v>79.059997999999993</v>
      </c>
      <c r="D8" s="1">
        <v>76.470000999999996</v>
      </c>
      <c r="E8" s="1">
        <v>76.930000000000007</v>
      </c>
      <c r="F8" s="1">
        <v>76.930000000000007</v>
      </c>
      <c r="G8" s="1">
        <v>19005100</v>
      </c>
      <c r="H8" s="4">
        <v>44886</v>
      </c>
      <c r="I8" s="2">
        <v>56</v>
      </c>
      <c r="J8" s="2">
        <v>57.41</v>
      </c>
      <c r="K8" s="2">
        <v>53.419998</v>
      </c>
      <c r="L8" s="2">
        <v>54.09</v>
      </c>
      <c r="M8" s="2">
        <v>54.09</v>
      </c>
      <c r="N8" s="2">
        <v>5238800</v>
      </c>
      <c r="O8">
        <f t="shared" si="1"/>
        <v>0.41283773469699281</v>
      </c>
      <c r="P8">
        <f t="shared" si="2"/>
        <v>0.58716226530300719</v>
      </c>
      <c r="Q8">
        <f t="shared" si="3"/>
        <v>206.41886734849641</v>
      </c>
      <c r="R8">
        <f t="shared" si="4"/>
        <v>293.58113265150359</v>
      </c>
      <c r="S8">
        <f t="shared" si="5"/>
        <v>500</v>
      </c>
      <c r="T8" s="10">
        <f t="shared" si="6"/>
        <v>-4.4110373604235448E-2</v>
      </c>
      <c r="U8" s="11">
        <f t="shared" si="7"/>
        <v>-5.0052670355684357E-2</v>
      </c>
      <c r="V8">
        <f t="shared" si="10"/>
        <v>-4.7599466025918885E-2</v>
      </c>
      <c r="W8">
        <v>118</v>
      </c>
      <c r="X8">
        <f t="shared" si="8"/>
        <v>4.0479764305509896E-5</v>
      </c>
      <c r="Y8">
        <f t="shared" si="11"/>
        <v>2.0020939089542955E-6</v>
      </c>
      <c r="Z8">
        <f t="shared" si="12"/>
        <v>1.2795252106649691E-5</v>
      </c>
      <c r="AA8">
        <f t="shared" si="13"/>
        <v>5.6514380346815544E-6</v>
      </c>
      <c r="AC8" s="10">
        <v>5</v>
      </c>
      <c r="AD8">
        <f>MC($AC8,0,$T$128,$AE$2,AD$3)+MC($AC8,0,$U$128,$AE$2,AD$3)-MC($AC8,0,$V$128,$AE$2,AD$3)</f>
        <v>-3.9130514759060375E-3</v>
      </c>
      <c r="AE8">
        <f>MC($AC8,0,$T$128,$AE$2,AE$3)+MC($AC8,0,$U$128,$AE$2,AE$3)-MC($AC8,0,$V$128,$AE$2,AE$3)</f>
        <v>-3.842368997590162E-3</v>
      </c>
      <c r="AF8">
        <f>MC($AC8,0,$T$128,$AE$2,AF$3)+MC($AC8,0,$U$128,$AE$2,AF$3)-MC($AC8,0,$V$128,$AE$2,AF$3)</f>
        <v>-4.137862346275778E-3</v>
      </c>
      <c r="AG8">
        <f>MC($AC8,0,$T$128,$AE$2,AG$3)+MC($AC8,0,$U$128,$AE$2,AG$3)-MC($AC8,0,$V$128,$AE$2,AG$3)</f>
        <v>-3.8528569004137037E-3</v>
      </c>
      <c r="AH8">
        <f>MC($AC8,0,$T$128,$AE$2,AH$3)+MC($AC8,0,$U$128,$AE$2,AH$3)-MC($AC8,0,$V$128,$AE$2,AH$3)</f>
        <v>-4.5199456187581255E-3</v>
      </c>
      <c r="AI8">
        <f>MC($AC8,0,$T$128,$AE$2,AI$3)+MC($AC8,0,$U$128,$AE$2,AI$3)-MC($AC8,0,$V$128,$AE$2,AI$3)</f>
        <v>-5.0878585936642295E-3</v>
      </c>
      <c r="AJ8">
        <f>MC($AC8,0,$T$128,$AE$2,AJ$3)+MC($AC8,0,$U$128,$AE$2,AJ$3)-MC($AC8,0,$V$128,$AE$2,AJ$3)</f>
        <v>-4.6175191995774245E-3</v>
      </c>
      <c r="AK8">
        <f>MC($AC8,0,$T$128,$AE$2,AK$3)+MC($AC8,0,$U$128,$AE$2,AK$3)-MC($AC8,0,$V$128,$AE$2,AK$3)</f>
        <v>-6.4584741999207385E-3</v>
      </c>
      <c r="AL8">
        <f>MC($AC8,0,$T$128,$AE$2,AL$3)+MC($AC8,0,$U$128,$AE$2,AL$3)-MC($AC8,0,$V$128,$AE$2,AL$3)</f>
        <v>-6.1401577782969063E-3</v>
      </c>
      <c r="AM8">
        <f>MC($AC8,0,$T$128,$AE$2,AM$3)+MC($AC8,0,$U$128,$AE$2,AM$3)-MC($AC8,0,$V$128,$AE$2,AM$3)</f>
        <v>-5.7493182638836959E-3</v>
      </c>
      <c r="AN8">
        <f>MC($AC8,0,$T$128,$AE$2,AN$3)+MC($AC8,0,$U$128,$AE$2,AN$3)-MC($AC8,0,$V$128,$AE$2,AN$3)</f>
        <v>-6.5935783038837403E-3</v>
      </c>
      <c r="AP8" s="10">
        <v>5</v>
      </c>
      <c r="AQ8">
        <f t="shared" si="9"/>
        <v>-6.0101205994883611E-2</v>
      </c>
      <c r="AR8">
        <f t="shared" si="0"/>
        <v>-6.2877684078400331E-2</v>
      </c>
      <c r="AS8">
        <f t="shared" si="0"/>
        <v>-6.5893950391169687E-2</v>
      </c>
      <c r="AT8">
        <f t="shared" si="0"/>
        <v>-6.9210496849812952E-2</v>
      </c>
      <c r="AU8">
        <f t="shared" si="0"/>
        <v>-7.2914559660782585E-2</v>
      </c>
      <c r="AV8">
        <f t="shared" si="0"/>
        <v>-7.7139062775700179E-2</v>
      </c>
      <c r="AW8">
        <f t="shared" si="0"/>
        <v>-8.2102310222676944E-2</v>
      </c>
      <c r="AX8">
        <f t="shared" si="0"/>
        <v>-8.8203992033143663E-2</v>
      </c>
      <c r="AY8">
        <f t="shared" si="0"/>
        <v>-9.6315114942095714E-2</v>
      </c>
      <c r="AZ8">
        <f t="shared" si="0"/>
        <v>-0.10909924856131137</v>
      </c>
      <c r="BA8">
        <f t="shared" si="0"/>
        <v>-0.12079923410218979</v>
      </c>
    </row>
    <row r="9" spans="1:53">
      <c r="A9" s="3" t="s">
        <v>23</v>
      </c>
      <c r="B9" s="1">
        <v>75.440002000000007</v>
      </c>
      <c r="C9" s="1">
        <v>76.800003000000004</v>
      </c>
      <c r="D9" s="1">
        <v>74.580001999999993</v>
      </c>
      <c r="E9" s="1">
        <v>75.989998</v>
      </c>
      <c r="F9" s="1">
        <v>75.989998</v>
      </c>
      <c r="G9" s="1">
        <v>20694100</v>
      </c>
      <c r="H9" s="4">
        <v>44887</v>
      </c>
      <c r="I9" s="2">
        <v>53.43</v>
      </c>
      <c r="J9" s="2">
        <v>54.042000000000002</v>
      </c>
      <c r="K9" s="2">
        <v>51.759998000000003</v>
      </c>
      <c r="L9" s="2">
        <v>53.549999</v>
      </c>
      <c r="M9" s="2">
        <v>53.549999</v>
      </c>
      <c r="N9" s="2">
        <v>4146900</v>
      </c>
      <c r="O9">
        <f t="shared" si="1"/>
        <v>0.41338582862557888</v>
      </c>
      <c r="P9">
        <f t="shared" si="2"/>
        <v>0.58661417137442118</v>
      </c>
      <c r="Q9">
        <f t="shared" si="3"/>
        <v>206.69291431278944</v>
      </c>
      <c r="R9">
        <f t="shared" si="4"/>
        <v>293.30708568721059</v>
      </c>
      <c r="S9">
        <f t="shared" si="5"/>
        <v>500</v>
      </c>
      <c r="T9" s="10">
        <f t="shared" si="6"/>
        <v>-1.2218926296633391E-2</v>
      </c>
      <c r="U9" s="11">
        <f t="shared" si="7"/>
        <v>-9.9833795525975915E-3</v>
      </c>
      <c r="V9">
        <f t="shared" si="10"/>
        <v>-1.0907522895812045E-2</v>
      </c>
      <c r="W9">
        <v>117</v>
      </c>
      <c r="X9">
        <f t="shared" si="8"/>
        <v>4.3063579048414778E-5</v>
      </c>
      <c r="Y9">
        <f t="shared" si="11"/>
        <v>1.4749888475781705E-6</v>
      </c>
      <c r="Z9">
        <f t="shared" si="12"/>
        <v>1.1049675948169052E-5</v>
      </c>
      <c r="AA9">
        <f t="shared" si="13"/>
        <v>4.6053509679274101E-6</v>
      </c>
      <c r="AC9" s="10">
        <v>6</v>
      </c>
      <c r="AD9">
        <f>MC($AC9,0,$T$128,$AE$2,AD$3)+MC($AC9,0,$U$128,$AE$2,AD$3)-MC($AC9,0,$V$128,$AE$2,AD$3)</f>
        <v>-3.9141659246850757E-3</v>
      </c>
      <c r="AE9">
        <f>MC($AC9,0,$T$128,$AE$2,AE$3)+MC($AC9,0,$U$128,$AE$2,AE$3)-MC($AC9,0,$V$128,$AE$2,AE$3)</f>
        <v>-3.7424898347122593E-3</v>
      </c>
      <c r="AF9">
        <f>MC($AC9,0,$T$128,$AE$2,AF$3)+MC($AC9,0,$U$128,$AE$2,AF$3)-MC($AC9,0,$V$128,$AE$2,AF$3)</f>
        <v>-4.8625996082967138E-3</v>
      </c>
      <c r="AG9">
        <f>MC($AC9,0,$T$128,$AE$2,AG$3)+MC($AC9,0,$U$128,$AE$2,AG$3)-MC($AC9,0,$V$128,$AE$2,AG$3)</f>
        <v>-4.7699693287639455E-3</v>
      </c>
      <c r="AH9">
        <f>MC($AC9,0,$T$128,$AE$2,AH$3)+MC($AC9,0,$U$128,$AE$2,AH$3)-MC($AC9,0,$V$128,$AE$2,AH$3)</f>
        <v>-4.8630351026976992E-3</v>
      </c>
      <c r="AI9">
        <f>MC($AC9,0,$T$128,$AE$2,AI$3)+MC($AC9,0,$U$128,$AE$2,AI$3)-MC($AC9,0,$V$128,$AE$2,AI$3)</f>
        <v>-6.2789766904844946E-3</v>
      </c>
      <c r="AJ9">
        <f>MC($AC9,0,$T$128,$AE$2,AJ$3)+MC($AC9,0,$U$128,$AE$2,AJ$3)-MC($AC9,0,$V$128,$AE$2,AJ$3)</f>
        <v>-6.2159591527140012E-3</v>
      </c>
      <c r="AK9">
        <f>MC($AC9,0,$T$128,$AE$2,AK$3)+MC($AC9,0,$U$128,$AE$2,AK$3)-MC($AC9,0,$V$128,$AE$2,AK$3)</f>
        <v>-6.9088125955498736E-3</v>
      </c>
      <c r="AL9">
        <f>MC($AC9,0,$T$128,$AE$2,AL$3)+MC($AC9,0,$U$128,$AE$2,AL$3)-MC($AC9,0,$V$128,$AE$2,AL$3)</f>
        <v>-6.3692832617860962E-3</v>
      </c>
      <c r="AM9">
        <f>MC($AC9,0,$T$128,$AE$2,AM$3)+MC($AC9,0,$U$128,$AE$2,AM$3)-MC($AC9,0,$V$128,$AE$2,AM$3)</f>
        <v>-5.5849353026604653E-3</v>
      </c>
      <c r="AN9">
        <f>MC($AC9,0,$T$128,$AE$2,AN$3)+MC($AC9,0,$U$128,$AE$2,AN$3)-MC($AC9,0,$V$128,$AE$2,AN$3)</f>
        <v>-7.4510472864424138E-3</v>
      </c>
      <c r="AP9" s="10">
        <v>6</v>
      </c>
      <c r="AQ9">
        <f t="shared" si="9"/>
        <v>-6.5837572513324949E-2</v>
      </c>
      <c r="AR9">
        <f t="shared" si="0"/>
        <v>-6.8879051866846619E-2</v>
      </c>
      <c r="AS9">
        <f t="shared" si="0"/>
        <v>-7.2183206064740019E-2</v>
      </c>
      <c r="AT9">
        <f t="shared" si="0"/>
        <v>-7.5816300681565585E-2</v>
      </c>
      <c r="AU9">
        <f t="shared" si="0"/>
        <v>-7.9873898193533688E-2</v>
      </c>
      <c r="AV9">
        <f t="shared" si="0"/>
        <v>-8.450160949411617E-2</v>
      </c>
      <c r="AW9">
        <f t="shared" si="0"/>
        <v>-8.9938574664494342E-2</v>
      </c>
      <c r="AX9">
        <f t="shared" si="0"/>
        <v>-9.6622632197117475E-2</v>
      </c>
      <c r="AY9">
        <f t="shared" si="0"/>
        <v>-0.1055079221649774</v>
      </c>
      <c r="AZ9">
        <f t="shared" si="0"/>
        <v>-0.11951223888778656</v>
      </c>
      <c r="BA9">
        <f t="shared" si="0"/>
        <v>-0.13232893089423337</v>
      </c>
    </row>
    <row r="10" spans="1:53">
      <c r="A10" s="3" t="s">
        <v>24</v>
      </c>
      <c r="B10" s="1">
        <v>78.190002000000007</v>
      </c>
      <c r="C10" s="1">
        <v>78.845000999999996</v>
      </c>
      <c r="D10" s="1">
        <v>76.849997999999999</v>
      </c>
      <c r="E10" s="1">
        <v>78.5</v>
      </c>
      <c r="F10" s="1">
        <v>78.5</v>
      </c>
      <c r="G10" s="1">
        <v>19032700</v>
      </c>
      <c r="H10" s="4">
        <v>44888</v>
      </c>
      <c r="I10" s="2">
        <v>54.470001000000003</v>
      </c>
      <c r="J10" s="2">
        <v>56</v>
      </c>
      <c r="K10" s="2">
        <v>54.049999</v>
      </c>
      <c r="L10" s="2">
        <v>55.630001</v>
      </c>
      <c r="M10" s="2">
        <v>55.630001</v>
      </c>
      <c r="N10" s="2">
        <v>4059200</v>
      </c>
      <c r="O10">
        <f t="shared" si="1"/>
        <v>0.41474689171142259</v>
      </c>
      <c r="P10">
        <f t="shared" si="2"/>
        <v>0.58525310828857746</v>
      </c>
      <c r="Q10">
        <f t="shared" si="3"/>
        <v>207.37344585571131</v>
      </c>
      <c r="R10">
        <f t="shared" si="4"/>
        <v>292.62655414428872</v>
      </c>
      <c r="S10">
        <f t="shared" si="5"/>
        <v>500</v>
      </c>
      <c r="T10" s="10">
        <f t="shared" si="6"/>
        <v>3.3030689117796795E-2</v>
      </c>
      <c r="U10" s="11">
        <f t="shared" si="7"/>
        <v>3.8842241621703869E-2</v>
      </c>
      <c r="V10">
        <f t="shared" si="10"/>
        <v>3.6431918284690674E-2</v>
      </c>
      <c r="W10">
        <v>116</v>
      </c>
      <c r="X10">
        <f t="shared" si="8"/>
        <v>4.5812318136611477E-5</v>
      </c>
      <c r="Y10">
        <f t="shared" si="11"/>
        <v>8.2944655810287868E-7</v>
      </c>
      <c r="Z10">
        <f t="shared" si="12"/>
        <v>8.9741500783486328E-6</v>
      </c>
      <c r="AA10">
        <f t="shared" si="13"/>
        <v>3.3410033668945151E-6</v>
      </c>
      <c r="AC10" s="10">
        <v>7</v>
      </c>
      <c r="AD10">
        <f>MC($AC10,0,$T$128,$AE$2,AD$3)+MC($AC10,0,$U$128,$AE$2,AD$3)-MC($AC10,0,$V$128,$AE$2,AD$3)</f>
        <v>-4.5159976891733233E-3</v>
      </c>
      <c r="AE10">
        <f>MC($AC10,0,$T$128,$AE$2,AE$3)+MC($AC10,0,$U$128,$AE$2,AE$3)-MC($AC10,0,$V$128,$AE$2,AE$3)</f>
        <v>-4.6378822762027649E-3</v>
      </c>
      <c r="AF10">
        <f>MC($AC10,0,$T$128,$AE$2,AF$3)+MC($AC10,0,$U$128,$AE$2,AF$3)-MC($AC10,0,$V$128,$AE$2,AF$3)</f>
        <v>-4.687940605198504E-3</v>
      </c>
      <c r="AG10">
        <f>MC($AC10,0,$T$128,$AE$2,AG$3)+MC($AC10,0,$U$128,$AE$2,AG$3)-MC($AC10,0,$V$128,$AE$2,AG$3)</f>
        <v>-5.0915072439456921E-3</v>
      </c>
      <c r="AH10">
        <f>MC($AC10,0,$T$128,$AE$2,AH$3)+MC($AC10,0,$U$128,$AE$2,AH$3)-MC($AC10,0,$V$128,$AE$2,AH$3)</f>
        <v>-5.1385853129199965E-3</v>
      </c>
      <c r="AI10">
        <f>MC($AC10,0,$T$128,$AE$2,AI$3)+MC($AC10,0,$U$128,$AE$2,AI$3)-MC($AC10,0,$V$128,$AE$2,AI$3)</f>
        <v>-5.9411967274871635E-3</v>
      </c>
      <c r="AJ10">
        <f>MC($AC10,0,$T$128,$AE$2,AJ$3)+MC($AC10,0,$U$128,$AE$2,AJ$3)-MC($AC10,0,$V$128,$AE$2,AJ$3)</f>
        <v>-5.5877096914447311E-3</v>
      </c>
      <c r="AK10">
        <f>MC($AC10,0,$T$128,$AE$2,AK$3)+MC($AC10,0,$U$128,$AE$2,AK$3)-MC($AC10,0,$V$128,$AE$2,AK$3)</f>
        <v>-5.146104269016849E-3</v>
      </c>
      <c r="AL10">
        <f>MC($AC10,0,$T$128,$AE$2,AL$3)+MC($AC10,0,$U$128,$AE$2,AL$3)-MC($AC10,0,$V$128,$AE$2,AL$3)</f>
        <v>-6.7411400994819015E-3</v>
      </c>
      <c r="AM10">
        <f>MC($AC10,0,$T$128,$AE$2,AM$3)+MC($AC10,0,$U$128,$AE$2,AM$3)-MC($AC10,0,$V$128,$AE$2,AM$3)</f>
        <v>-8.5145007105975612E-3</v>
      </c>
      <c r="AN10">
        <f>MC($AC10,0,$T$128,$AE$2,AN$3)+MC($AC10,0,$U$128,$AE$2,AN$3)-MC($AC10,0,$V$128,$AE$2,AN$3)</f>
        <v>-9.9811411457462196E-3</v>
      </c>
      <c r="AP10" s="10">
        <v>7</v>
      </c>
      <c r="AQ10">
        <f t="shared" si="9"/>
        <v>-7.1112705945247295E-2</v>
      </c>
      <c r="AR10">
        <f t="shared" si="0"/>
        <v>-7.4397879116869792E-2</v>
      </c>
      <c r="AS10">
        <f t="shared" si="0"/>
        <v>-7.7966773547553658E-2</v>
      </c>
      <c r="AT10">
        <f t="shared" si="0"/>
        <v>-8.1890964238291619E-2</v>
      </c>
      <c r="AU10">
        <f t="shared" si="0"/>
        <v>-8.6273670460553342E-2</v>
      </c>
      <c r="AV10">
        <f t="shared" si="0"/>
        <v>-9.1272169954914467E-2</v>
      </c>
      <c r="AW10">
        <f t="shared" si="0"/>
        <v>-9.714476353083043E-2</v>
      </c>
      <c r="AX10">
        <f t="shared" si="0"/>
        <v>-0.10436437081119215</v>
      </c>
      <c r="AY10">
        <f t="shared" si="0"/>
        <v>-0.11396158086316971</v>
      </c>
      <c r="AZ10">
        <f t="shared" si="0"/>
        <v>-0.12908797175298686</v>
      </c>
      <c r="BA10">
        <f t="shared" si="0"/>
        <v>-0.14293158133717654</v>
      </c>
    </row>
    <row r="11" spans="1:53">
      <c r="A11" s="3" t="s">
        <v>25</v>
      </c>
      <c r="B11" s="1">
        <v>75.5</v>
      </c>
      <c r="C11" s="1">
        <v>76.050003000000004</v>
      </c>
      <c r="D11" s="1">
        <v>74.919998000000007</v>
      </c>
      <c r="E11" s="1">
        <v>75.5</v>
      </c>
      <c r="F11" s="1">
        <v>75.5</v>
      </c>
      <c r="G11" s="1">
        <v>13036900</v>
      </c>
      <c r="H11" s="4">
        <v>44890</v>
      </c>
      <c r="I11" s="2">
        <v>54.689999</v>
      </c>
      <c r="J11" s="2">
        <v>55.740001999999997</v>
      </c>
      <c r="K11" s="2">
        <v>53.645000000000003</v>
      </c>
      <c r="L11" s="2">
        <v>54.32</v>
      </c>
      <c r="M11" s="2">
        <v>54.32</v>
      </c>
      <c r="N11" s="2">
        <v>3034700</v>
      </c>
      <c r="O11">
        <f t="shared" si="1"/>
        <v>0.41842551224772767</v>
      </c>
      <c r="P11">
        <f t="shared" si="2"/>
        <v>0.58157448775227238</v>
      </c>
      <c r="Q11">
        <f t="shared" si="3"/>
        <v>209.21275612386384</v>
      </c>
      <c r="R11">
        <f t="shared" si="4"/>
        <v>290.78724387613619</v>
      </c>
      <c r="S11">
        <f t="shared" si="5"/>
        <v>500</v>
      </c>
      <c r="T11" s="10">
        <f t="shared" si="6"/>
        <v>-3.8216560509554139E-2</v>
      </c>
      <c r="U11" s="11">
        <f t="shared" si="7"/>
        <v>-2.3548462636195165E-2</v>
      </c>
      <c r="V11">
        <f t="shared" si="10"/>
        <v>-2.9685969002555202E-2</v>
      </c>
      <c r="W11">
        <v>115</v>
      </c>
      <c r="X11">
        <f t="shared" si="8"/>
        <v>4.8736508655969648E-5</v>
      </c>
      <c r="Y11">
        <f t="shared" si="11"/>
        <v>1.9630890684756806E-6</v>
      </c>
      <c r="Z11">
        <f t="shared" si="12"/>
        <v>1.1716839642377018E-5</v>
      </c>
      <c r="AA11">
        <f t="shared" si="13"/>
        <v>5.2060279994782283E-6</v>
      </c>
      <c r="AC11" s="10">
        <v>8</v>
      </c>
      <c r="AD11">
        <f>MC($AC11,0,$T$128,$AE$2,AD$3)+MC($AC11,0,$U$128,$AE$2,AD$3)-MC($AC11,0,$V$128,$AE$2,AD$3)</f>
        <v>-4.1218822338791039E-3</v>
      </c>
      <c r="AE11">
        <f>MC($AC11,0,$T$128,$AE$2,AE$3)+MC($AC11,0,$U$128,$AE$2,AE$3)-MC($AC11,0,$V$128,$AE$2,AE$3)</f>
        <v>-4.7642696534806461E-3</v>
      </c>
      <c r="AF11">
        <f>MC($AC11,0,$T$128,$AE$2,AF$3)+MC($AC11,0,$U$128,$AE$2,AF$3)-MC($AC11,0,$V$128,$AE$2,AF$3)</f>
        <v>-6.7298397140540533E-3</v>
      </c>
      <c r="AG11">
        <f>MC($AC11,0,$T$128,$AE$2,AG$3)+MC($AC11,0,$U$128,$AE$2,AG$3)-MC($AC11,0,$V$128,$AE$2,AG$3)</f>
        <v>-4.1920472660648134E-3</v>
      </c>
      <c r="AH11">
        <f>MC($AC11,0,$T$128,$AE$2,AH$3)+MC($AC11,0,$U$128,$AE$2,AH$3)-MC($AC11,0,$V$128,$AE$2,AH$3)</f>
        <v>-4.7964032188414496E-3</v>
      </c>
      <c r="AI11">
        <f>MC($AC11,0,$T$128,$AE$2,AI$3)+MC($AC11,0,$U$128,$AE$2,AI$3)-MC($AC11,0,$V$128,$AE$2,AI$3)</f>
        <v>-5.8544418693406985E-3</v>
      </c>
      <c r="AJ11">
        <f>MC($AC11,0,$T$128,$AE$2,AJ$3)+MC($AC11,0,$U$128,$AE$2,AJ$3)-MC($AC11,0,$V$128,$AE$2,AJ$3)</f>
        <v>-7.672100411914462E-3</v>
      </c>
      <c r="AK11">
        <f>MC($AC11,0,$T$128,$AE$2,AK$3)+MC($AC11,0,$U$128,$AE$2,AK$3)-MC($AC11,0,$V$128,$AE$2,AK$3)</f>
        <v>-7.2173546623623963E-3</v>
      </c>
      <c r="AL11">
        <f>MC($AC11,0,$T$128,$AE$2,AL$3)+MC($AC11,0,$U$128,$AE$2,AL$3)-MC($AC11,0,$V$128,$AE$2,AL$3)</f>
        <v>-9.0294810117224067E-3</v>
      </c>
      <c r="AM11">
        <f>MC($AC11,0,$T$128,$AE$2,AM$3)+MC($AC11,0,$U$128,$AE$2,AM$3)-MC($AC11,0,$V$128,$AE$2,AM$3)</f>
        <v>-1.182160888974404E-2</v>
      </c>
      <c r="AN11">
        <f>MC($AC11,0,$T$128,$AE$2,AN$3)+MC($AC11,0,$U$128,$AE$2,AN$3)-MC($AC11,0,$V$128,$AE$2,AN$3)</f>
        <v>-9.248930326578142E-3</v>
      </c>
      <c r="AP11" s="10">
        <v>8</v>
      </c>
      <c r="AQ11">
        <f t="shared" si="9"/>
        <v>-7.6022680426719336E-2</v>
      </c>
      <c r="AR11">
        <f t="shared" si="0"/>
        <v>-7.9534678273700227E-2</v>
      </c>
      <c r="AS11">
        <f t="shared" si="0"/>
        <v>-8.3349986904895756E-2</v>
      </c>
      <c r="AT11">
        <f t="shared" si="0"/>
        <v>-8.754512321492694E-2</v>
      </c>
      <c r="AU11">
        <f t="shared" si="0"/>
        <v>-9.2230433246522942E-2</v>
      </c>
      <c r="AV11">
        <f t="shared" si="0"/>
        <v>-9.7574053976769215E-2</v>
      </c>
      <c r="AW11">
        <f t="shared" si="0"/>
        <v>-0.10385212058615417</v>
      </c>
      <c r="AX11">
        <f t="shared" si="0"/>
        <v>-0.11157020541763196</v>
      </c>
      <c r="AY11">
        <f t="shared" si="0"/>
        <v>-0.1218300545271756</v>
      </c>
      <c r="AZ11">
        <f t="shared" si="0"/>
        <v>-0.13800084658663686</v>
      </c>
      <c r="BA11">
        <f t="shared" si="0"/>
        <v>-0.152800287746722</v>
      </c>
    </row>
    <row r="12" spans="1:53">
      <c r="A12" s="3" t="s">
        <v>26</v>
      </c>
      <c r="B12" s="1">
        <v>74.739998</v>
      </c>
      <c r="C12" s="1">
        <v>77.417000000000002</v>
      </c>
      <c r="D12" s="1">
        <v>74.680000000000007</v>
      </c>
      <c r="E12" s="1">
        <v>75.879997000000003</v>
      </c>
      <c r="F12" s="1">
        <v>75.879997000000003</v>
      </c>
      <c r="G12" s="1">
        <v>19107400</v>
      </c>
      <c r="H12" s="4">
        <v>44893</v>
      </c>
      <c r="I12" s="2">
        <v>54.32</v>
      </c>
      <c r="J12" s="2">
        <v>54.91</v>
      </c>
      <c r="K12" s="2">
        <v>53.41</v>
      </c>
      <c r="L12" s="2">
        <v>53.450001</v>
      </c>
      <c r="M12" s="2">
        <v>53.450001</v>
      </c>
      <c r="N12" s="2">
        <v>3583700</v>
      </c>
      <c r="O12">
        <f t="shared" si="1"/>
        <v>0.41328386164515368</v>
      </c>
      <c r="P12">
        <f t="shared" si="2"/>
        <v>0.58671613835484637</v>
      </c>
      <c r="Q12">
        <f t="shared" si="3"/>
        <v>206.64193082257685</v>
      </c>
      <c r="R12">
        <f t="shared" si="4"/>
        <v>293.3580691774232</v>
      </c>
      <c r="S12">
        <f t="shared" si="5"/>
        <v>500.00000000000006</v>
      </c>
      <c r="T12" s="10">
        <f t="shared" si="6"/>
        <v>5.0330728476821593E-3</v>
      </c>
      <c r="U12" s="11">
        <f t="shared" si="7"/>
        <v>-1.6016181885125182E-2</v>
      </c>
      <c r="V12">
        <f t="shared" si="10"/>
        <v>-7.3168646043980379E-3</v>
      </c>
      <c r="W12">
        <v>114</v>
      </c>
      <c r="X12">
        <f t="shared" si="8"/>
        <v>5.1847349634010275E-5</v>
      </c>
      <c r="Y12">
        <f t="shared" si="11"/>
        <v>1.2057498709934151E-6</v>
      </c>
      <c r="Z12">
        <f t="shared" si="12"/>
        <v>1.1383310466344723E-5</v>
      </c>
      <c r="AA12">
        <f t="shared" si="13"/>
        <v>4.5246183818234705E-6</v>
      </c>
      <c r="AC12" s="10">
        <v>9</v>
      </c>
      <c r="AD12">
        <f>MC($AC12,0,$T$128,$AE$2,AD$3)+MC($AC12,0,$U$128,$AE$2,AD$3)-MC($AC12,0,$V$128,$AE$2,AD$3)</f>
        <v>-4.4541240731359455E-3</v>
      </c>
      <c r="AE12">
        <f>MC($AC12,0,$T$128,$AE$2,AE$3)+MC($AC12,0,$U$128,$AE$2,AE$3)-MC($AC12,0,$V$128,$AE$2,AE$3)</f>
        <v>-4.7240139316069296E-3</v>
      </c>
      <c r="AF12">
        <f>MC($AC12,0,$T$128,$AE$2,AF$3)+MC($AC12,0,$U$128,$AE$2,AF$3)-MC($AC12,0,$V$128,$AE$2,AF$3)</f>
        <v>-5.8541486981165125E-3</v>
      </c>
      <c r="AG12">
        <f>MC($AC12,0,$T$128,$AE$2,AG$3)+MC($AC12,0,$U$128,$AE$2,AG$3)-MC($AC12,0,$V$128,$AE$2,AG$3)</f>
        <v>-6.5936839309714834E-3</v>
      </c>
      <c r="AH12">
        <f>MC($AC12,0,$T$128,$AE$2,AH$3)+MC($AC12,0,$U$128,$AE$2,AH$3)-MC($AC12,0,$V$128,$AE$2,AH$3)</f>
        <v>-6.7068369141618511E-3</v>
      </c>
      <c r="AI12">
        <f>MC($AC12,0,$T$128,$AE$2,AI$3)+MC($AC12,0,$U$128,$AE$2,AI$3)-MC($AC12,0,$V$128,$AE$2,AI$3)</f>
        <v>-6.8946240587526297E-3</v>
      </c>
      <c r="AJ12">
        <f>MC($AC12,0,$T$128,$AE$2,AJ$3)+MC($AC12,0,$U$128,$AE$2,AJ$3)-MC($AC12,0,$V$128,$AE$2,AJ$3)</f>
        <v>-6.9173713623251754E-3</v>
      </c>
      <c r="AK12">
        <f>MC($AC12,0,$T$128,$AE$2,AK$3)+MC($AC12,0,$U$128,$AE$2,AK$3)-MC($AC12,0,$V$128,$AE$2,AK$3)</f>
        <v>-6.2461894182912481E-3</v>
      </c>
      <c r="AL12">
        <f>MC($AC12,0,$T$128,$AE$2,AL$3)+MC($AC12,0,$U$128,$AE$2,AL$3)-MC($AC12,0,$V$128,$AE$2,AL$3)</f>
        <v>-1.0401755288594883E-2</v>
      </c>
      <c r="AM12">
        <f>MC($AC12,0,$T$128,$AE$2,AM$3)+MC($AC12,0,$U$128,$AE$2,AM$3)-MC($AC12,0,$V$128,$AE$2,AM$3)</f>
        <v>-8.6925068547092366E-3</v>
      </c>
      <c r="AN12">
        <f>MC($AC12,0,$T$128,$AE$2,AN$3)+MC($AC12,0,$U$128,$AE$2,AN$3)-MC($AC12,0,$V$128,$AE$2,AN$3)</f>
        <v>-9.9163021379655714E-3</v>
      </c>
      <c r="AP12" s="10">
        <v>9</v>
      </c>
      <c r="AQ12">
        <f t="shared" si="9"/>
        <v>-8.0634229280566544E-2</v>
      </c>
      <c r="AR12">
        <f t="shared" si="0"/>
        <v>-8.4359265520235649E-2</v>
      </c>
      <c r="AS12">
        <f t="shared" si="0"/>
        <v>-8.8406011428392606E-2</v>
      </c>
      <c r="AT12">
        <f t="shared" si="0"/>
        <v>-9.2855625427630095E-2</v>
      </c>
      <c r="AU12">
        <f t="shared" si="0"/>
        <v>-9.7825147170584326E-2</v>
      </c>
      <c r="AV12">
        <f t="shared" si="0"/>
        <v>-0.10349291285225359</v>
      </c>
      <c r="AW12">
        <f t="shared" si="0"/>
        <v>-0.11015180806060892</v>
      </c>
      <c r="AX12">
        <f t="shared" si="0"/>
        <v>-0.11833807324377543</v>
      </c>
      <c r="AY12">
        <f t="shared" si="0"/>
        <v>-0.1292202865627391</v>
      </c>
      <c r="AZ12">
        <f t="shared" si="0"/>
        <v>-0.14637200164634306</v>
      </c>
      <c r="BA12">
        <f t="shared" si="0"/>
        <v>-0.16206917944944438</v>
      </c>
    </row>
    <row r="13" spans="1:53">
      <c r="A13" s="3" t="s">
        <v>27</v>
      </c>
      <c r="B13" s="1">
        <v>80.239998</v>
      </c>
      <c r="C13" s="1">
        <v>80.889999000000003</v>
      </c>
      <c r="D13" s="1">
        <v>79.449996999999996</v>
      </c>
      <c r="E13" s="1">
        <v>79.860000999999997</v>
      </c>
      <c r="F13" s="1">
        <v>79.860000999999997</v>
      </c>
      <c r="G13" s="1">
        <v>24178100</v>
      </c>
      <c r="H13" s="4">
        <v>44894</v>
      </c>
      <c r="I13" s="2">
        <v>54.580002</v>
      </c>
      <c r="J13" s="2">
        <v>55.16</v>
      </c>
      <c r="K13" s="2">
        <v>52.810001</v>
      </c>
      <c r="L13" s="2">
        <v>54.259998000000003</v>
      </c>
      <c r="M13" s="2">
        <v>54.259998000000003</v>
      </c>
      <c r="N13" s="2">
        <v>6328600</v>
      </c>
      <c r="O13">
        <f t="shared" si="1"/>
        <v>0.40456306594514663</v>
      </c>
      <c r="P13">
        <f t="shared" si="2"/>
        <v>0.59543693405485332</v>
      </c>
      <c r="Q13">
        <f t="shared" si="3"/>
        <v>202.2815329725733</v>
      </c>
      <c r="R13">
        <f t="shared" si="4"/>
        <v>297.71846702742664</v>
      </c>
      <c r="S13">
        <f t="shared" si="5"/>
        <v>499.99999999999994</v>
      </c>
      <c r="T13" s="10">
        <f t="shared" si="6"/>
        <v>5.2451293586635139E-2</v>
      </c>
      <c r="U13" s="11">
        <f t="shared" si="7"/>
        <v>1.5154293448937498E-2</v>
      </c>
      <c r="V13">
        <f t="shared" si="10"/>
        <v>3.024328217520101E-2</v>
      </c>
      <c r="W13">
        <v>113</v>
      </c>
      <c r="X13">
        <f t="shared" si="8"/>
        <v>5.5156754929798164E-5</v>
      </c>
      <c r="Y13">
        <f t="shared" si="11"/>
        <v>5.5467338624325111E-7</v>
      </c>
      <c r="Z13">
        <f t="shared" si="12"/>
        <v>9.8975942121719279E-6</v>
      </c>
      <c r="AA13">
        <f t="shared" si="13"/>
        <v>3.4218351353969913E-6</v>
      </c>
      <c r="AC13" s="10">
        <v>10</v>
      </c>
      <c r="AD13">
        <f>MC($AC13,0,$T$128,$AE$2,AD$3)+MC($AC13,0,$U$128,$AE$2,AD$3)-MC($AC13,0,$V$128,$AE$2,AD$3)</f>
        <v>-5.8485223590474256E-3</v>
      </c>
      <c r="AE13">
        <f>MC($AC13,0,$T$128,$AE$2,AE$3)+MC($AC13,0,$U$128,$AE$2,AE$3)-MC($AC13,0,$V$128,$AE$2,AE$3)</f>
        <v>-4.3201327982225202E-3</v>
      </c>
      <c r="AF13">
        <f>MC($AC13,0,$T$128,$AE$2,AF$3)+MC($AC13,0,$U$128,$AE$2,AF$3)-MC($AC13,0,$V$128,$AE$2,AF$3)</f>
        <v>-4.8738129110326156E-3</v>
      </c>
      <c r="AG13">
        <f>MC($AC13,0,$T$128,$AE$2,AG$3)+MC($AC13,0,$U$128,$AE$2,AG$3)-MC($AC13,0,$V$128,$AE$2,AG$3)</f>
        <v>-5.3530035006741361E-3</v>
      </c>
      <c r="AH13">
        <f>MC($AC13,0,$T$128,$AE$2,AH$3)+MC($AC13,0,$U$128,$AE$2,AH$3)-MC($AC13,0,$V$128,$AE$2,AH$3)</f>
        <v>-6.4975816374692741E-3</v>
      </c>
      <c r="AI13">
        <f>MC($AC13,0,$T$128,$AE$2,AI$3)+MC($AC13,0,$U$128,$AE$2,AI$3)-MC($AC13,0,$V$128,$AE$2,AI$3)</f>
        <v>-5.6445322783940099E-3</v>
      </c>
      <c r="AJ13">
        <f>MC($AC13,0,$T$128,$AE$2,AJ$3)+MC($AC13,0,$U$128,$AE$2,AJ$3)-MC($AC13,0,$V$128,$AE$2,AJ$3)</f>
        <v>-8.6735417458689845E-3</v>
      </c>
      <c r="AK13">
        <f>MC($AC13,0,$T$128,$AE$2,AK$3)+MC($AC13,0,$U$128,$AE$2,AK$3)-MC($AC13,0,$V$128,$AE$2,AK$3)</f>
        <v>-7.2054697158505654E-3</v>
      </c>
      <c r="AL13">
        <f>MC($AC13,0,$T$128,$AE$2,AL$3)+MC($AC13,0,$U$128,$AE$2,AL$3)-MC($AC13,0,$V$128,$AE$2,AL$3)</f>
        <v>-8.8604463100163677E-3</v>
      </c>
      <c r="AM13">
        <f>MC($AC13,0,$T$128,$AE$2,AM$3)+MC($AC13,0,$U$128,$AE$2,AM$3)-MC($AC13,0,$V$128,$AE$2,AM$3)</f>
        <v>-1.1487398049819575E-2</v>
      </c>
      <c r="AN13">
        <f>MC($AC13,0,$T$128,$AE$2,AN$3)+MC($AC13,0,$U$128,$AE$2,AN$3)-MC($AC13,0,$V$128,$AE$2,AN$3)</f>
        <v>-1.0826598495542905E-2</v>
      </c>
      <c r="AP13" s="10">
        <v>10</v>
      </c>
      <c r="AQ13">
        <f t="shared" si="9"/>
        <v>-8.4995940632943606E-2</v>
      </c>
      <c r="AR13">
        <f t="shared" si="0"/>
        <v>-8.8922473594284623E-2</v>
      </c>
      <c r="AS13">
        <f t="shared" si="0"/>
        <v>-9.3188118321532148E-2</v>
      </c>
      <c r="AT13">
        <f t="shared" si="0"/>
        <v>-9.7878423303585871E-2</v>
      </c>
      <c r="AU13">
        <f t="shared" si="0"/>
        <v>-0.1031167591667409</v>
      </c>
      <c r="AV13">
        <f t="shared" si="0"/>
        <v>-0.10909110876614481</v>
      </c>
      <c r="AW13">
        <f t="shared" si="0"/>
        <v>-0.11611020061907301</v>
      </c>
      <c r="AX13">
        <f t="shared" si="0"/>
        <v>-0.12473928178872018</v>
      </c>
      <c r="AY13">
        <f t="shared" si="0"/>
        <v>-0.13621014181263535</v>
      </c>
      <c r="AZ13">
        <f t="shared" si="0"/>
        <v>-0.15428963696011994</v>
      </c>
      <c r="BA13">
        <f t="shared" si="0"/>
        <v>-0.17083591519159924</v>
      </c>
    </row>
    <row r="14" spans="1:53">
      <c r="A14" s="3" t="s">
        <v>28</v>
      </c>
      <c r="B14" s="1">
        <v>82.739998</v>
      </c>
      <c r="C14" s="1">
        <v>89.625</v>
      </c>
      <c r="D14" s="1">
        <v>82.25</v>
      </c>
      <c r="E14" s="1">
        <v>87.559997999999993</v>
      </c>
      <c r="F14" s="1">
        <v>87.559997999999993</v>
      </c>
      <c r="G14" s="1">
        <v>60169600</v>
      </c>
      <c r="H14" s="4">
        <v>44895</v>
      </c>
      <c r="I14" s="2">
        <v>55.380001</v>
      </c>
      <c r="J14" s="2">
        <v>58.560001</v>
      </c>
      <c r="K14" s="2">
        <v>54.68</v>
      </c>
      <c r="L14" s="2">
        <v>58.369999</v>
      </c>
      <c r="M14" s="2">
        <v>58.369999</v>
      </c>
      <c r="N14" s="2">
        <v>6730400</v>
      </c>
      <c r="O14">
        <f t="shared" si="1"/>
        <v>0.39998629616911463</v>
      </c>
      <c r="P14">
        <f t="shared" si="2"/>
        <v>0.60001370383088548</v>
      </c>
      <c r="Q14">
        <f t="shared" si="3"/>
        <v>199.9931480845573</v>
      </c>
      <c r="R14">
        <f t="shared" si="4"/>
        <v>300.00685191544272</v>
      </c>
      <c r="S14">
        <f t="shared" si="5"/>
        <v>500</v>
      </c>
      <c r="T14" s="10">
        <f t="shared" si="6"/>
        <v>9.6418694009282532E-2</v>
      </c>
      <c r="U14" s="11">
        <f t="shared" si="7"/>
        <v>7.5746427414169759E-2</v>
      </c>
      <c r="V14">
        <f t="shared" si="10"/>
        <v>8.4015050762969445E-2</v>
      </c>
      <c r="W14">
        <v>112</v>
      </c>
      <c r="X14">
        <f t="shared" si="8"/>
        <v>5.8677398861487405E-5</v>
      </c>
      <c r="Y14">
        <f t="shared" si="11"/>
        <v>1.5660112452908853E-7</v>
      </c>
      <c r="Z14">
        <f t="shared" si="12"/>
        <v>7.1736389637075379E-6</v>
      </c>
      <c r="AA14">
        <f t="shared" si="13"/>
        <v>2.0473738585364301E-6</v>
      </c>
      <c r="AC14" s="10">
        <v>11</v>
      </c>
      <c r="AD14">
        <f>MC($AC14,0,$T$128,$AE$2,AD$3)+MC($AC14,0,$U$128,$AE$2,AD$3)-MC($AC14,0,$V$128,$AE$2,AD$3)</f>
        <v>-4.126348570144156E-3</v>
      </c>
      <c r="AE14">
        <f>MC($AC14,0,$T$128,$AE$2,AE$3)+MC($AC14,0,$U$128,$AE$2,AE$3)-MC($AC14,0,$V$128,$AE$2,AE$3)</f>
        <v>-5.1371671060207458E-3</v>
      </c>
      <c r="AF14">
        <f>MC($AC14,0,$T$128,$AE$2,AF$3)+MC($AC14,0,$U$128,$AE$2,AF$3)-MC($AC14,0,$V$128,$AE$2,AF$3)</f>
        <v>-7.6294640699210436E-3</v>
      </c>
      <c r="AG14">
        <f>MC($AC14,0,$T$128,$AE$2,AG$3)+MC($AC14,0,$U$128,$AE$2,AG$3)-MC($AC14,0,$V$128,$AE$2,AG$3)</f>
        <v>-4.5485991390643576E-3</v>
      </c>
      <c r="AH14">
        <f>MC($AC14,0,$T$128,$AE$2,AH$3)+MC($AC14,0,$U$128,$AE$2,AH$3)-MC($AC14,0,$V$128,$AE$2,AH$3)</f>
        <v>-7.0209916927828075E-3</v>
      </c>
      <c r="AI14">
        <f>MC($AC14,0,$T$128,$AE$2,AI$3)+MC($AC14,0,$U$128,$AE$2,AI$3)-MC($AC14,0,$V$128,$AE$2,AI$3)</f>
        <v>-7.3055500349166191E-3</v>
      </c>
      <c r="AJ14">
        <f>MC($AC14,0,$T$128,$AE$2,AJ$3)+MC($AC14,0,$U$128,$AE$2,AJ$3)-MC($AC14,0,$V$128,$AE$2,AJ$3)</f>
        <v>-9.6461456062881812E-3</v>
      </c>
      <c r="AK14">
        <f>MC($AC14,0,$T$128,$AE$2,AK$3)+MC($AC14,0,$U$128,$AE$2,AK$3)-MC($AC14,0,$V$128,$AE$2,AK$3)</f>
        <v>-7.7152641468805072E-3</v>
      </c>
      <c r="AL14">
        <f>MC($AC14,0,$T$128,$AE$2,AL$3)+MC($AC14,0,$U$128,$AE$2,AL$3)-MC($AC14,0,$V$128,$AE$2,AL$3)</f>
        <v>-9.4907968467219384E-3</v>
      </c>
      <c r="AM14">
        <f>MC($AC14,0,$T$128,$AE$2,AM$3)+MC($AC14,0,$U$128,$AE$2,AM$3)-MC($AC14,0,$V$128,$AE$2,AM$3)</f>
        <v>-1.1067836135393749E-2</v>
      </c>
      <c r="AN14">
        <f>MC($AC14,0,$T$128,$AE$2,AN$3)+MC($AC14,0,$U$128,$AE$2,AN$3)-MC($AC14,0,$V$128,$AE$2,AN$3)</f>
        <v>-1.2741418702998386E-2</v>
      </c>
      <c r="AP14" s="10">
        <v>11</v>
      </c>
      <c r="AQ14">
        <f t="shared" si="9"/>
        <v>-8.9144494594376095E-2</v>
      </c>
      <c r="AR14">
        <f t="shared" si="0"/>
        <v>-9.3262677106862341E-2</v>
      </c>
      <c r="AS14">
        <f t="shared" si="0"/>
        <v>-9.7736523039949869E-2</v>
      </c>
      <c r="AT14">
        <f t="shared" si="0"/>
        <v>-0.10265575640574437</v>
      </c>
      <c r="AU14">
        <f t="shared" si="0"/>
        <v>-0.10814976940870841</v>
      </c>
      <c r="AV14">
        <f t="shared" si="0"/>
        <v>-0.11441572013062506</v>
      </c>
      <c r="AW14">
        <f t="shared" si="0"/>
        <v>-0.12177740577209506</v>
      </c>
      <c r="AX14">
        <f t="shared" si="0"/>
        <v>-0.13082766245439953</v>
      </c>
      <c r="AY14">
        <f t="shared" si="0"/>
        <v>-0.142858401943603</v>
      </c>
      <c r="AZ14">
        <f t="shared" si="0"/>
        <v>-0.1618203364247342</v>
      </c>
      <c r="BA14">
        <f t="shared" si="0"/>
        <v>-0.17917421943819495</v>
      </c>
    </row>
    <row r="15" spans="1:53">
      <c r="A15" s="3" t="s">
        <v>29</v>
      </c>
      <c r="B15" s="1">
        <v>84.349997999999999</v>
      </c>
      <c r="C15" s="1">
        <v>87.599997999999999</v>
      </c>
      <c r="D15" s="1">
        <v>84.260002</v>
      </c>
      <c r="E15" s="1">
        <v>85.940002000000007</v>
      </c>
      <c r="F15" s="1">
        <v>85.940002000000007</v>
      </c>
      <c r="G15" s="1">
        <v>20243000</v>
      </c>
      <c r="H15" s="4">
        <v>44896</v>
      </c>
      <c r="I15" s="2">
        <v>58</v>
      </c>
      <c r="J15" s="2">
        <v>61.759998000000003</v>
      </c>
      <c r="K15" s="2">
        <v>57.751998999999998</v>
      </c>
      <c r="L15" s="2">
        <v>61.150002000000001</v>
      </c>
      <c r="M15" s="2">
        <v>61.150002000000001</v>
      </c>
      <c r="N15" s="2">
        <v>7323700</v>
      </c>
      <c r="O15">
        <f t="shared" si="1"/>
        <v>0.41573186713626026</v>
      </c>
      <c r="P15">
        <f t="shared" si="2"/>
        <v>0.58426813286373969</v>
      </c>
      <c r="Q15">
        <f t="shared" si="3"/>
        <v>207.86593356813012</v>
      </c>
      <c r="R15">
        <f t="shared" si="4"/>
        <v>292.13406643186983</v>
      </c>
      <c r="S15">
        <f t="shared" si="5"/>
        <v>499.99999999999994</v>
      </c>
      <c r="T15" s="10">
        <f t="shared" si="6"/>
        <v>-1.8501553643251411E-2</v>
      </c>
      <c r="U15" s="11">
        <f t="shared" si="7"/>
        <v>4.7627257968601316E-2</v>
      </c>
      <c r="V15">
        <f t="shared" si="10"/>
        <v>2.0135403645703771E-2</v>
      </c>
      <c r="W15">
        <v>111</v>
      </c>
      <c r="X15">
        <f t="shared" si="8"/>
        <v>6.2422764746263202E-5</v>
      </c>
      <c r="Y15">
        <f t="shared" si="11"/>
        <v>1.639640138190736E-6</v>
      </c>
      <c r="Z15">
        <f t="shared" si="12"/>
        <v>8.3076399953220938E-6</v>
      </c>
      <c r="AA15">
        <f t="shared" si="13"/>
        <v>3.6685423415695533E-6</v>
      </c>
      <c r="AC15" s="10">
        <v>12</v>
      </c>
      <c r="AD15">
        <f>MC($AC15,0,$T$128,$AE$2,AD$3)+MC($AC15,0,$U$128,$AE$2,AD$3)-MC($AC15,0,$V$128,$AE$2,AD$3)</f>
        <v>-5.905642545010803E-3</v>
      </c>
      <c r="AE15">
        <f>MC($AC15,0,$T$128,$AE$2,AE$3)+MC($AC15,0,$U$128,$AE$2,AE$3)-MC($AC15,0,$V$128,$AE$2,AE$3)</f>
        <v>-6.1702726935715102E-3</v>
      </c>
      <c r="AF15">
        <f>MC($AC15,0,$T$128,$AE$2,AF$3)+MC($AC15,0,$U$128,$AE$2,AF$3)-MC($AC15,0,$V$128,$AE$2,AF$3)</f>
        <v>-7.8393340779907561E-3</v>
      </c>
      <c r="AG15">
        <f>MC($AC15,0,$T$128,$AE$2,AG$3)+MC($AC15,0,$U$128,$AE$2,AG$3)-MC($AC15,0,$V$128,$AE$2,AG$3)</f>
        <v>-8.229900247422206E-3</v>
      </c>
      <c r="AH15">
        <f>MC($AC15,0,$T$128,$AE$2,AH$3)+MC($AC15,0,$U$128,$AE$2,AH$3)-MC($AC15,0,$V$128,$AE$2,AH$3)</f>
        <v>-9.2158303574185751E-3</v>
      </c>
      <c r="AI15">
        <f>MC($AC15,0,$T$128,$AE$2,AI$3)+MC($AC15,0,$U$128,$AE$2,AI$3)-MC($AC15,0,$V$128,$AE$2,AI$3)</f>
        <v>-6.9406521069050875E-3</v>
      </c>
      <c r="AJ15">
        <f>MC($AC15,0,$T$128,$AE$2,AJ$3)+MC($AC15,0,$U$128,$AE$2,AJ$3)-MC($AC15,0,$V$128,$AE$2,AJ$3)</f>
        <v>-7.1227279907657426E-3</v>
      </c>
      <c r="AK15">
        <f>MC($AC15,0,$T$128,$AE$2,AK$3)+MC($AC15,0,$U$128,$AE$2,AK$3)-MC($AC15,0,$V$128,$AE$2,AK$3)</f>
        <v>-8.4506356268849725E-3</v>
      </c>
      <c r="AL15">
        <f>MC($AC15,0,$T$128,$AE$2,AL$3)+MC($AC15,0,$U$128,$AE$2,AL$3)-MC($AC15,0,$V$128,$AE$2,AL$3)</f>
        <v>-9.9670900413189045E-3</v>
      </c>
      <c r="AM15">
        <f>MC($AC15,0,$T$128,$AE$2,AM$3)+MC($AC15,0,$U$128,$AE$2,AM$3)-MC($AC15,0,$V$128,$AE$2,AM$3)</f>
        <v>-1.1406384047619067E-2</v>
      </c>
      <c r="AN15">
        <f>MC($AC15,0,$T$128,$AE$2,AN$3)+MC($AC15,0,$U$128,$AE$2,AN$3)-MC($AC15,0,$V$128,$AE$2,AN$3)</f>
        <v>-9.8849455463998481E-3</v>
      </c>
      <c r="AP15" s="10">
        <v>12</v>
      </c>
      <c r="AQ15">
        <f t="shared" si="9"/>
        <v>-9.3108387962066302E-2</v>
      </c>
      <c r="AR15">
        <f t="shared" si="0"/>
        <v>-9.7409689313494363E-2</v>
      </c>
      <c r="AS15">
        <f t="shared" si="0"/>
        <v>-0.1020824689923272</v>
      </c>
      <c r="AT15">
        <f t="shared" si="0"/>
        <v>-0.10722044067282666</v>
      </c>
      <c r="AU15">
        <f t="shared" si="0"/>
        <v>-0.11295875010490325</v>
      </c>
      <c r="AV15">
        <f t="shared" si="0"/>
        <v>-0.11950332218893417</v>
      </c>
      <c r="AW15">
        <f t="shared" si="0"/>
        <v>-0.12719235207103313</v>
      </c>
      <c r="AX15">
        <f t="shared" si="0"/>
        <v>-0.13664503688535085</v>
      </c>
      <c r="AY15">
        <f t="shared" si="0"/>
        <v>-0.14921073446351596</v>
      </c>
      <c r="AZ15">
        <f t="shared" si="0"/>
        <v>-0.16901582910468099</v>
      </c>
      <c r="BA15">
        <f t="shared" si="0"/>
        <v>-0.18714136876495679</v>
      </c>
    </row>
    <row r="16" spans="1:53">
      <c r="A16" s="3" t="s">
        <v>30</v>
      </c>
      <c r="B16" s="1">
        <v>86.050003000000004</v>
      </c>
      <c r="C16" s="1">
        <v>91.849997999999999</v>
      </c>
      <c r="D16" s="1">
        <v>86.050003000000004</v>
      </c>
      <c r="E16" s="1">
        <v>90.059997999999993</v>
      </c>
      <c r="F16" s="1">
        <v>90.059997999999993</v>
      </c>
      <c r="G16" s="1">
        <v>35042600</v>
      </c>
      <c r="H16" s="4">
        <v>44897</v>
      </c>
      <c r="I16" s="2">
        <v>59.299999</v>
      </c>
      <c r="J16" s="2">
        <v>63.07</v>
      </c>
      <c r="K16" s="2">
        <v>58.810001</v>
      </c>
      <c r="L16" s="2">
        <v>61.380001</v>
      </c>
      <c r="M16" s="2">
        <v>61.380001</v>
      </c>
      <c r="N16" s="2">
        <v>4338000</v>
      </c>
      <c r="O16">
        <f t="shared" si="1"/>
        <v>0.40530904256014949</v>
      </c>
      <c r="P16">
        <f t="shared" si="2"/>
        <v>0.59469095743985045</v>
      </c>
      <c r="Q16">
        <f t="shared" si="3"/>
        <v>202.65452128007473</v>
      </c>
      <c r="R16">
        <f t="shared" si="4"/>
        <v>297.34547871992521</v>
      </c>
      <c r="S16">
        <f t="shared" si="5"/>
        <v>499.99999999999994</v>
      </c>
      <c r="T16" s="10">
        <f t="shared" si="6"/>
        <v>4.7940375891543333E-2</v>
      </c>
      <c r="U16" s="11">
        <f t="shared" si="7"/>
        <v>3.761226369215808E-3</v>
      </c>
      <c r="V16">
        <f t="shared" si="10"/>
        <v>2.1667435163232062E-2</v>
      </c>
      <c r="W16">
        <v>110</v>
      </c>
      <c r="X16">
        <f t="shared" si="8"/>
        <v>6.6407196538577869E-5</v>
      </c>
      <c r="Y16">
        <f t="shared" si="11"/>
        <v>5.5299757248486265E-7</v>
      </c>
      <c r="Z16">
        <f t="shared" si="12"/>
        <v>1.0419603384382448E-5</v>
      </c>
      <c r="AA16">
        <f t="shared" si="13"/>
        <v>3.6018749524363181E-6</v>
      </c>
      <c r="AC16" s="10">
        <v>13</v>
      </c>
      <c r="AD16">
        <f>MC($AC16,0,$T$128,$AE$2,AD$3)+MC($AC16,0,$U$128,$AE$2,AD$3)-MC($AC16,0,$V$128,$AE$2,AD$3)</f>
        <v>-7.5440946480154203E-3</v>
      </c>
      <c r="AE16">
        <f>MC($AC16,0,$T$128,$AE$2,AE$3)+MC($AC16,0,$U$128,$AE$2,AE$3)-MC($AC16,0,$V$128,$AE$2,AE$3)</f>
        <v>-6.8671052401700905E-3</v>
      </c>
      <c r="AF16">
        <f>MC($AC16,0,$T$128,$AE$2,AF$3)+MC($AC16,0,$U$128,$AE$2,AF$3)-MC($AC16,0,$V$128,$AE$2,AF$3)</f>
        <v>-6.4444303420021498E-3</v>
      </c>
      <c r="AG16">
        <f>MC($AC16,0,$T$128,$AE$2,AG$3)+MC($AC16,0,$U$128,$AE$2,AG$3)-MC($AC16,0,$V$128,$AE$2,AG$3)</f>
        <v>-6.4795765148535356E-3</v>
      </c>
      <c r="AH16">
        <f>MC($AC16,0,$T$128,$AE$2,AH$3)+MC($AC16,0,$U$128,$AE$2,AH$3)-MC($AC16,0,$V$128,$AE$2,AH$3)</f>
        <v>-6.0133607656085442E-3</v>
      </c>
      <c r="AI16">
        <f>MC($AC16,0,$T$128,$AE$2,AI$3)+MC($AC16,0,$U$128,$AE$2,AI$3)-MC($AC16,0,$V$128,$AE$2,AI$3)</f>
        <v>-8.4166575800876942E-3</v>
      </c>
      <c r="AJ16">
        <f>MC($AC16,0,$T$128,$AE$2,AJ$3)+MC($AC16,0,$U$128,$AE$2,AJ$3)-MC($AC16,0,$V$128,$AE$2,AJ$3)</f>
        <v>-7.9099427341708939E-3</v>
      </c>
      <c r="AK16">
        <f>MC($AC16,0,$T$128,$AE$2,AK$3)+MC($AC16,0,$U$128,$AE$2,AK$3)-MC($AC16,0,$V$128,$AE$2,AK$3)</f>
        <v>-8.2497219624075857E-3</v>
      </c>
      <c r="AL16">
        <f>MC($AC16,0,$T$128,$AE$2,AL$3)+MC($AC16,0,$U$128,$AE$2,AL$3)-MC($AC16,0,$V$128,$AE$2,AL$3)</f>
        <v>-9.5372976988914449E-3</v>
      </c>
      <c r="AM16">
        <f>MC($AC16,0,$T$128,$AE$2,AM$3)+MC($AC16,0,$U$128,$AE$2,AM$3)-MC($AC16,0,$V$128,$AE$2,AM$3)</f>
        <v>-1.1408547864558471E-2</v>
      </c>
      <c r="AN16">
        <f>MC($AC16,0,$T$128,$AE$2,AN$3)+MC($AC16,0,$U$128,$AE$2,AN$3)-MC($AC16,0,$V$128,$AE$2,AN$3)</f>
        <v>-1.4082800868214118E-2</v>
      </c>
      <c r="AP16" s="10">
        <v>13</v>
      </c>
      <c r="AQ16">
        <f t="shared" si="9"/>
        <v>-9.6910282742867532E-2</v>
      </c>
      <c r="AR16">
        <f t="shared" si="0"/>
        <v>-0.10138721913123036</v>
      </c>
      <c r="AS16">
        <f t="shared" si="0"/>
        <v>-0.10625080242144164</v>
      </c>
      <c r="AT16">
        <f t="shared" si="0"/>
        <v>-0.11159857289819936</v>
      </c>
      <c r="AU16">
        <f t="shared" si="0"/>
        <v>-0.11757119471778421</v>
      </c>
      <c r="AV16">
        <f t="shared" si="0"/>
        <v>-0.12438300131197544</v>
      </c>
      <c r="AW16">
        <f t="shared" si="0"/>
        <v>-0.13238599734919765</v>
      </c>
      <c r="AX16">
        <f t="shared" si="0"/>
        <v>-0.14222466364001513</v>
      </c>
      <c r="AY16">
        <f t="shared" si="0"/>
        <v>-0.15530345634403536</v>
      </c>
      <c r="AZ16">
        <f t="shared" si="0"/>
        <v>-0.17591725240939637</v>
      </c>
      <c r="BA16">
        <f t="shared" si="0"/>
        <v>-0.19478291222578203</v>
      </c>
    </row>
    <row r="17" spans="1:53">
      <c r="A17" s="3" t="s">
        <v>31</v>
      </c>
      <c r="B17" s="1">
        <v>92.900002000000001</v>
      </c>
      <c r="C17" s="1">
        <v>92.900002000000001</v>
      </c>
      <c r="D17" s="1">
        <v>89.629997000000003</v>
      </c>
      <c r="E17" s="1">
        <v>90.519997000000004</v>
      </c>
      <c r="F17" s="1">
        <v>90.519997000000004</v>
      </c>
      <c r="G17" s="1">
        <v>30929800</v>
      </c>
      <c r="H17" s="4">
        <v>44900</v>
      </c>
      <c r="I17" s="2">
        <v>62</v>
      </c>
      <c r="J17" s="2">
        <v>63.400002000000001</v>
      </c>
      <c r="K17" s="2">
        <v>58.195</v>
      </c>
      <c r="L17" s="2">
        <v>59.02</v>
      </c>
      <c r="M17" s="2">
        <v>59.02</v>
      </c>
      <c r="N17" s="2">
        <v>6005200</v>
      </c>
      <c r="O17">
        <f t="shared" si="1"/>
        <v>0.39467701741360878</v>
      </c>
      <c r="P17">
        <f t="shared" si="2"/>
        <v>0.60532298258639128</v>
      </c>
      <c r="Q17">
        <f t="shared" si="3"/>
        <v>197.33850870680439</v>
      </c>
      <c r="R17">
        <f t="shared" si="4"/>
        <v>302.66149129319564</v>
      </c>
      <c r="S17">
        <f t="shared" si="5"/>
        <v>500</v>
      </c>
      <c r="T17" s="10">
        <f t="shared" si="6"/>
        <v>5.1076949835154395E-3</v>
      </c>
      <c r="U17" s="11">
        <f t="shared" si="7"/>
        <v>-3.8449021856483794E-2</v>
      </c>
      <c r="V17">
        <f t="shared" si="10"/>
        <v>-2.1258186765743793E-2</v>
      </c>
      <c r="W17">
        <v>109</v>
      </c>
      <c r="X17">
        <f t="shared" si="8"/>
        <v>7.0645953764444537E-5</v>
      </c>
      <c r="Y17">
        <f t="shared" si="11"/>
        <v>1.1911023474362231E-6</v>
      </c>
      <c r="Z17">
        <f t="shared" si="12"/>
        <v>1.2829004323960803E-5</v>
      </c>
      <c r="AA17">
        <f t="shared" si="13"/>
        <v>5.0764928509041693E-6</v>
      </c>
      <c r="AC17" s="10">
        <v>14</v>
      </c>
      <c r="AD17">
        <f>MC($AC17,0,$T$128,$AE$2,AD$3)+MC($AC17,0,$U$128,$AE$2,AD$3)-MC($AC17,0,$V$128,$AE$2,AD$3)</f>
        <v>-6.813701698082486E-3</v>
      </c>
      <c r="AE17">
        <f>MC($AC17,0,$T$128,$AE$2,AE$3)+MC($AC17,0,$U$128,$AE$2,AE$3)-MC($AC17,0,$V$128,$AE$2,AE$3)</f>
        <v>-5.2560053935415407E-3</v>
      </c>
      <c r="AF17">
        <f>MC($AC17,0,$T$128,$AE$2,AF$3)+MC($AC17,0,$U$128,$AE$2,AF$3)-MC($AC17,0,$V$128,$AE$2,AF$3)</f>
        <v>-6.274326992625312E-3</v>
      </c>
      <c r="AG17">
        <f>MC($AC17,0,$T$128,$AE$2,AG$3)+MC($AC17,0,$U$128,$AE$2,AG$3)-MC($AC17,0,$V$128,$AE$2,AG$3)</f>
        <v>-7.2501595753176051E-3</v>
      </c>
      <c r="AH17">
        <f>MC($AC17,0,$T$128,$AE$2,AH$3)+MC($AC17,0,$U$128,$AE$2,AH$3)-MC($AC17,0,$V$128,$AE$2,AH$3)</f>
        <v>-8.2620475496342216E-3</v>
      </c>
      <c r="AI17">
        <f>MC($AC17,0,$T$128,$AE$2,AI$3)+MC($AC17,0,$U$128,$AE$2,AI$3)-MC($AC17,0,$V$128,$AE$2,AI$3)</f>
        <v>-7.5512281688339122E-3</v>
      </c>
      <c r="AJ17">
        <f>MC($AC17,0,$T$128,$AE$2,AJ$3)+MC($AC17,0,$U$128,$AE$2,AJ$3)-MC($AC17,0,$V$128,$AE$2,AJ$3)</f>
        <v>-8.7393538698692375E-3</v>
      </c>
      <c r="AK17">
        <f>MC($AC17,0,$T$128,$AE$2,AK$3)+MC($AC17,0,$U$128,$AE$2,AK$3)-MC($AC17,0,$V$128,$AE$2,AK$3)</f>
        <v>-9.716485588970869E-3</v>
      </c>
      <c r="AL17">
        <f>MC($AC17,0,$T$128,$AE$2,AL$3)+MC($AC17,0,$U$128,$AE$2,AL$3)-MC($AC17,0,$V$128,$AE$2,AL$3)</f>
        <v>-1.0128209264376187E-2</v>
      </c>
      <c r="AM17">
        <f>MC($AC17,0,$T$128,$AE$2,AM$3)+MC($AC17,0,$U$128,$AE$2,AM$3)-MC($AC17,0,$V$128,$AE$2,AM$3)</f>
        <v>-1.0629777107142635E-2</v>
      </c>
      <c r="AN17">
        <f>MC($AC17,0,$T$128,$AE$2,AN$3)+MC($AC17,0,$U$128,$AE$2,AN$3)-MC($AC17,0,$V$128,$AE$2,AN$3)</f>
        <v>-1.1255572070398845E-2</v>
      </c>
      <c r="AP17" s="10">
        <v>14</v>
      </c>
      <c r="AQ17">
        <f t="shared" si="9"/>
        <v>-0.10056855320481856</v>
      </c>
      <c r="AR17">
        <f t="shared" si="0"/>
        <v>-0.10521448965887137</v>
      </c>
      <c r="AS17">
        <f t="shared" si="0"/>
        <v>-0.11026166856542224</v>
      </c>
      <c r="AT17">
        <f t="shared" si="0"/>
        <v>-0.11581131226160213</v>
      </c>
      <c r="AU17">
        <f t="shared" si="0"/>
        <v>-0.12200939484102158</v>
      </c>
      <c r="AV17">
        <f t="shared" si="0"/>
        <v>-0.12907834061746215</v>
      </c>
      <c r="AW17">
        <f t="shared" si="0"/>
        <v>-0.13738344209882764</v>
      </c>
      <c r="AX17">
        <f t="shared" si="0"/>
        <v>-0.14759350862972276</v>
      </c>
      <c r="AY17">
        <f t="shared" si="0"/>
        <v>-0.16116601324617286</v>
      </c>
      <c r="AZ17">
        <f t="shared" si="0"/>
        <v>-0.18255796039230898</v>
      </c>
      <c r="BA17">
        <f t="shared" si="0"/>
        <v>-0.20213578081846834</v>
      </c>
    </row>
    <row r="18" spans="1:53">
      <c r="A18" s="3" t="s">
        <v>32</v>
      </c>
      <c r="B18" s="1">
        <v>91.879997000000003</v>
      </c>
      <c r="C18" s="1">
        <v>92.57</v>
      </c>
      <c r="D18" s="1">
        <v>89.199996999999996</v>
      </c>
      <c r="E18" s="1">
        <v>91.449996999999996</v>
      </c>
      <c r="F18" s="1">
        <v>91.449996999999996</v>
      </c>
      <c r="G18" s="1">
        <v>26675700</v>
      </c>
      <c r="H18" s="4">
        <v>44901</v>
      </c>
      <c r="I18" s="2">
        <v>59.169998</v>
      </c>
      <c r="J18" s="2">
        <v>60.209999000000003</v>
      </c>
      <c r="K18" s="2">
        <v>58.200001</v>
      </c>
      <c r="L18" s="2">
        <v>59.759998000000003</v>
      </c>
      <c r="M18" s="2">
        <v>59.759998000000003</v>
      </c>
      <c r="N18" s="2">
        <v>3276600</v>
      </c>
      <c r="O18">
        <f t="shared" si="1"/>
        <v>0.39521195672283438</v>
      </c>
      <c r="P18">
        <f t="shared" si="2"/>
        <v>0.60478804327716562</v>
      </c>
      <c r="Q18">
        <f t="shared" si="3"/>
        <v>197.60597836141719</v>
      </c>
      <c r="R18">
        <f t="shared" si="4"/>
        <v>302.39402163858279</v>
      </c>
      <c r="S18">
        <f t="shared" si="5"/>
        <v>500</v>
      </c>
      <c r="T18" s="10">
        <f t="shared" si="6"/>
        <v>1.0273972943238084E-2</v>
      </c>
      <c r="U18" s="11">
        <f t="shared" si="7"/>
        <v>1.2538088783463231E-2</v>
      </c>
      <c r="V18">
        <f t="shared" si="10"/>
        <v>1.1643283132000687E-2</v>
      </c>
      <c r="W18">
        <v>108</v>
      </c>
      <c r="X18">
        <f t="shared" si="8"/>
        <v>7.5155269962175059E-5</v>
      </c>
      <c r="Y18">
        <f t="shared" si="11"/>
        <v>1.0925263393752054E-6</v>
      </c>
      <c r="Z18">
        <f t="shared" si="12"/>
        <v>9.9218456535395057E-6</v>
      </c>
      <c r="AA18">
        <f t="shared" si="13"/>
        <v>3.8946697489459572E-6</v>
      </c>
      <c r="AC18" s="10">
        <v>15</v>
      </c>
      <c r="AD18">
        <f>MC($AC18,0,$T$128,$AE$2,AD$3)+MC($AC18,0,$U$128,$AE$2,AD$3)-MC($AC18,0,$V$128,$AE$2,AD$3)</f>
        <v>-6.0947398866937341E-3</v>
      </c>
      <c r="AE18">
        <f>MC($AC18,0,$T$128,$AE$2,AE$3)+MC($AC18,0,$U$128,$AE$2,AE$3)-MC($AC18,0,$V$128,$AE$2,AE$3)</f>
        <v>-7.6274800665876441E-3</v>
      </c>
      <c r="AF18">
        <f>MC($AC18,0,$T$128,$AE$2,AF$3)+MC($AC18,0,$U$128,$AE$2,AF$3)-MC($AC18,0,$V$128,$AE$2,AF$3)</f>
        <v>-7.2670266280769891E-3</v>
      </c>
      <c r="AG18">
        <f>MC($AC18,0,$T$128,$AE$2,AG$3)+MC($AC18,0,$U$128,$AE$2,AG$3)-MC($AC18,0,$V$128,$AE$2,AG$3)</f>
        <v>-6.6660282160122541E-3</v>
      </c>
      <c r="AH18">
        <f>MC($AC18,0,$T$128,$AE$2,AH$3)+MC($AC18,0,$U$128,$AE$2,AH$3)-MC($AC18,0,$V$128,$AE$2,AH$3)</f>
        <v>-8.4604887778574334E-3</v>
      </c>
      <c r="AI18">
        <f>MC($AC18,0,$T$128,$AE$2,AI$3)+MC($AC18,0,$U$128,$AE$2,AI$3)-MC($AC18,0,$V$128,$AE$2,AI$3)</f>
        <v>-8.2260685829491642E-3</v>
      </c>
      <c r="AJ18">
        <f>MC($AC18,0,$T$128,$AE$2,AJ$3)+MC($AC18,0,$U$128,$AE$2,AJ$3)-MC($AC18,0,$V$128,$AE$2,AJ$3)</f>
        <v>-8.6570674691417437E-3</v>
      </c>
      <c r="AK18">
        <f>MC($AC18,0,$T$128,$AE$2,AK$3)+MC($AC18,0,$U$128,$AE$2,AK$3)-MC($AC18,0,$V$128,$AE$2,AK$3)</f>
        <v>-9.9146266677767603E-3</v>
      </c>
      <c r="AL18">
        <f>MC($AC18,0,$T$128,$AE$2,AL$3)+MC($AC18,0,$U$128,$AE$2,AL$3)-MC($AC18,0,$V$128,$AE$2,AL$3)</f>
        <v>-1.312121219794582E-2</v>
      </c>
      <c r="AM18">
        <f>MC($AC18,0,$T$128,$AE$2,AM$3)+MC($AC18,0,$U$128,$AE$2,AM$3)-MC($AC18,0,$V$128,$AE$2,AM$3)</f>
        <v>-1.1425212635182147E-2</v>
      </c>
      <c r="AN18">
        <f>MC($AC18,0,$T$128,$AE$2,AN$3)+MC($AC18,0,$U$128,$AE$2,AN$3)-MC($AC18,0,$V$128,$AE$2,AN$3)</f>
        <v>-1.3097307819442294E-2</v>
      </c>
      <c r="AP18" s="10">
        <v>15</v>
      </c>
      <c r="AQ18">
        <f t="shared" si="9"/>
        <v>-0.10409834237930166</v>
      </c>
      <c r="AR18">
        <f t="shared" si="0"/>
        <v>-0.10890734348605413</v>
      </c>
      <c r="AS18">
        <f t="shared" si="0"/>
        <v>-0.11413166998892904</v>
      </c>
      <c r="AT18">
        <f t="shared" si="0"/>
        <v>-0.1198760969609618</v>
      </c>
      <c r="AU18">
        <f t="shared" si="0"/>
        <v>-0.12629172194398763</v>
      </c>
      <c r="AV18">
        <f t="shared" si="0"/>
        <v>-0.13360877597575788</v>
      </c>
      <c r="AW18">
        <f t="shared" si="0"/>
        <v>-0.14220537272445816</v>
      </c>
      <c r="AX18">
        <f t="shared" si="0"/>
        <v>-0.15277379563180538</v>
      </c>
      <c r="AY18">
        <f t="shared" si="0"/>
        <v>-0.16682267261654621</v>
      </c>
      <c r="AZ18">
        <f t="shared" si="0"/>
        <v>-0.18896544157577716</v>
      </c>
      <c r="BA18">
        <f t="shared" si="0"/>
        <v>-0.20923041098039974</v>
      </c>
    </row>
    <row r="19" spans="1:53">
      <c r="A19" s="3" t="s">
        <v>33</v>
      </c>
      <c r="B19" s="1">
        <v>87.059997999999993</v>
      </c>
      <c r="C19" s="1">
        <v>89.260002</v>
      </c>
      <c r="D19" s="1">
        <v>86.620002999999997</v>
      </c>
      <c r="E19" s="1">
        <v>88.330001999999993</v>
      </c>
      <c r="F19" s="1">
        <v>88.330001999999993</v>
      </c>
      <c r="G19" s="1">
        <v>19507400</v>
      </c>
      <c r="H19" s="4">
        <v>44902</v>
      </c>
      <c r="I19" s="2">
        <v>57.970001000000003</v>
      </c>
      <c r="J19" s="2">
        <v>60</v>
      </c>
      <c r="K19" s="2">
        <v>57.360000999999997</v>
      </c>
      <c r="L19" s="2">
        <v>58.099997999999999</v>
      </c>
      <c r="M19" s="2">
        <v>58.099997999999999</v>
      </c>
      <c r="N19" s="2">
        <v>3334100</v>
      </c>
      <c r="O19">
        <f t="shared" si="1"/>
        <v>0.39677660315509117</v>
      </c>
      <c r="P19">
        <f t="shared" si="2"/>
        <v>0.60322339684490878</v>
      </c>
      <c r="Q19">
        <f t="shared" si="3"/>
        <v>198.38830157754558</v>
      </c>
      <c r="R19">
        <f t="shared" si="4"/>
        <v>301.61169842245437</v>
      </c>
      <c r="S19">
        <f t="shared" si="5"/>
        <v>499.99999999999994</v>
      </c>
      <c r="T19" s="10">
        <f t="shared" si="6"/>
        <v>-3.4116950271742524E-2</v>
      </c>
      <c r="U19" s="11">
        <f t="shared" si="7"/>
        <v>-2.7777778707422374E-2</v>
      </c>
      <c r="V19">
        <f t="shared" si="10"/>
        <v>-3.029301366753067E-2</v>
      </c>
      <c r="W19">
        <v>107</v>
      </c>
      <c r="X19">
        <f t="shared" si="8"/>
        <v>7.9952414853377721E-5</v>
      </c>
      <c r="Y19">
        <f t="shared" si="11"/>
        <v>2.0717791722881945E-6</v>
      </c>
      <c r="Z19">
        <f t="shared" si="12"/>
        <v>1.2298835852322853E-5</v>
      </c>
      <c r="AA19">
        <f t="shared" si="13"/>
        <v>5.5004238104687214E-6</v>
      </c>
      <c r="AC19" s="10">
        <v>16</v>
      </c>
      <c r="AD19">
        <f>MC($AC19,0,$T$128,$AE$2,AD$3)+MC($AC19,0,$U$128,$AE$2,AD$3)-MC($AC19,0,$V$128,$AE$2,AD$3)</f>
        <v>-6.0844920838309946E-3</v>
      </c>
      <c r="AE19">
        <f>MC($AC19,0,$T$128,$AE$2,AE$3)+MC($AC19,0,$U$128,$AE$2,AE$3)-MC($AC19,0,$V$128,$AE$2,AE$3)</f>
        <v>-7.8233429898832973E-3</v>
      </c>
      <c r="AF19">
        <f>MC($AC19,0,$T$128,$AE$2,AF$3)+MC($AC19,0,$U$128,$AE$2,AF$3)-MC($AC19,0,$V$128,$AE$2,AF$3)</f>
        <v>-8.2803636807076142E-3</v>
      </c>
      <c r="AG19">
        <f>MC($AC19,0,$T$128,$AE$2,AG$3)+MC($AC19,0,$U$128,$AE$2,AG$3)-MC($AC19,0,$V$128,$AE$2,AG$3)</f>
        <v>-7.0184311915844066E-3</v>
      </c>
      <c r="AH19">
        <f>MC($AC19,0,$T$128,$AE$2,AH$3)+MC($AC19,0,$U$128,$AE$2,AH$3)-MC($AC19,0,$V$128,$AE$2,AH$3)</f>
        <v>-6.9612688835938297E-3</v>
      </c>
      <c r="AI19">
        <f>MC($AC19,0,$T$128,$AE$2,AI$3)+MC($AC19,0,$U$128,$AE$2,AI$3)-MC($AC19,0,$V$128,$AE$2,AI$3)</f>
        <v>-9.3634472364956256E-3</v>
      </c>
      <c r="AJ19">
        <f>MC($AC19,0,$T$128,$AE$2,AJ$3)+MC($AC19,0,$U$128,$AE$2,AJ$3)-MC($AC19,0,$V$128,$AE$2,AJ$3)</f>
        <v>-9.2009638713728137E-3</v>
      </c>
      <c r="AK19">
        <f>MC($AC19,0,$T$128,$AE$2,AK$3)+MC($AC19,0,$U$128,$AE$2,AK$3)-MC($AC19,0,$V$128,$AE$2,AK$3)</f>
        <v>-1.0862664081042084E-2</v>
      </c>
      <c r="AL19">
        <f>MC($AC19,0,$T$128,$AE$2,AL$3)+MC($AC19,0,$U$128,$AE$2,AL$3)-MC($AC19,0,$V$128,$AE$2,AL$3)</f>
        <v>-7.2668960160626739E-3</v>
      </c>
      <c r="AM19">
        <f>MC($AC19,0,$T$128,$AE$2,AM$3)+MC($AC19,0,$U$128,$AE$2,AM$3)-MC($AC19,0,$V$128,$AE$2,AM$3)</f>
        <v>-1.2964574749870783E-2</v>
      </c>
      <c r="AN19">
        <f>MC($AC19,0,$T$128,$AE$2,AN$3)+MC($AC19,0,$U$128,$AE$2,AN$3)-MC($AC19,0,$V$128,$AE$2,AN$3)</f>
        <v>-1.615717429507102E-2</v>
      </c>
      <c r="AP19" s="10">
        <v>16</v>
      </c>
      <c r="AQ19">
        <f t="shared" si="9"/>
        <v>-0.10751230570742215</v>
      </c>
      <c r="AR19">
        <f t="shared" si="0"/>
        <v>-0.11247902069364757</v>
      </c>
      <c r="AS19">
        <f t="shared" si="0"/>
        <v>-0.11787468190452349</v>
      </c>
      <c r="AT19">
        <f t="shared" si="0"/>
        <v>-0.12380750057017348</v>
      </c>
      <c r="AU19">
        <f t="shared" si="0"/>
        <v>-0.13043352956077914</v>
      </c>
      <c r="AV19">
        <f t="shared" si="0"/>
        <v>-0.13799055046967146</v>
      </c>
      <c r="AW19">
        <f t="shared" si="0"/>
        <v>-0.14686907741414529</v>
      </c>
      <c r="AX19">
        <f t="shared" si="0"/>
        <v>-0.15778409765836726</v>
      </c>
      <c r="AY19">
        <f t="shared" si="0"/>
        <v>-0.17229371541698552</v>
      </c>
      <c r="AZ19">
        <f t="shared" si="0"/>
        <v>-0.19516266886179073</v>
      </c>
      <c r="BA19">
        <f t="shared" si="0"/>
        <v>-0.21609223926592569</v>
      </c>
    </row>
    <row r="20" spans="1:53">
      <c r="A20" s="3" t="s">
        <v>34</v>
      </c>
      <c r="B20" s="1">
        <v>91.970000999999996</v>
      </c>
      <c r="C20" s="1">
        <v>94.334998999999996</v>
      </c>
      <c r="D20" s="1">
        <v>91.080001999999993</v>
      </c>
      <c r="E20" s="1">
        <v>94.169998000000007</v>
      </c>
      <c r="F20" s="1">
        <v>94.169998000000007</v>
      </c>
      <c r="G20" s="1">
        <v>29241500</v>
      </c>
      <c r="H20" s="4">
        <v>44903</v>
      </c>
      <c r="I20" s="2">
        <v>59.139999000000003</v>
      </c>
      <c r="J20" s="2">
        <v>61.16</v>
      </c>
      <c r="K20" s="2">
        <v>57.928001000000002</v>
      </c>
      <c r="L20" s="2">
        <v>61.080002</v>
      </c>
      <c r="M20" s="2">
        <v>61.080002</v>
      </c>
      <c r="N20" s="2">
        <v>5027200</v>
      </c>
      <c r="O20">
        <f t="shared" si="1"/>
        <v>0.3934299645732689</v>
      </c>
      <c r="P20">
        <f t="shared" si="2"/>
        <v>0.60657003542673116</v>
      </c>
      <c r="Q20">
        <f t="shared" si="3"/>
        <v>196.71498228663444</v>
      </c>
      <c r="R20">
        <f t="shared" si="4"/>
        <v>303.28501771336556</v>
      </c>
      <c r="S20">
        <f t="shared" si="5"/>
        <v>500</v>
      </c>
      <c r="T20" s="10">
        <f t="shared" si="6"/>
        <v>6.6115655697596545E-2</v>
      </c>
      <c r="U20" s="11">
        <f t="shared" si="7"/>
        <v>5.1290948409326985E-2</v>
      </c>
      <c r="V20">
        <f t="shared" si="10"/>
        <v>5.7123432472559965E-2</v>
      </c>
      <c r="W20">
        <v>106</v>
      </c>
      <c r="X20">
        <f t="shared" si="8"/>
        <v>8.5055760482316732E-5</v>
      </c>
      <c r="Y20">
        <f t="shared" si="11"/>
        <v>2.7515373753329997E-7</v>
      </c>
      <c r="Z20">
        <f t="shared" si="12"/>
        <v>7.7593291827852306E-6</v>
      </c>
      <c r="AA20">
        <f t="shared" si="13"/>
        <v>2.3950816616958016E-6</v>
      </c>
      <c r="AC20" s="10">
        <v>17</v>
      </c>
      <c r="AD20">
        <f>MC($AC20,0,$T$128,$AE$2,AD$3)+MC($AC20,0,$U$128,$AE$2,AD$3)-MC($AC20,0,$V$128,$AE$2,AD$3)</f>
        <v>-7.7093817134441522E-3</v>
      </c>
      <c r="AE20">
        <f>MC($AC20,0,$T$128,$AE$2,AE$3)+MC($AC20,0,$U$128,$AE$2,AE$3)-MC($AC20,0,$V$128,$AE$2,AE$3)</f>
        <v>-7.8277360071048463E-3</v>
      </c>
      <c r="AF20">
        <f>MC($AC20,0,$T$128,$AE$2,AF$3)+MC($AC20,0,$U$128,$AE$2,AF$3)-MC($AC20,0,$V$128,$AE$2,AF$3)</f>
        <v>-8.2264545836010505E-3</v>
      </c>
      <c r="AG20">
        <f>MC($AC20,0,$T$128,$AE$2,AG$3)+MC($AC20,0,$U$128,$AE$2,AG$3)-MC($AC20,0,$V$128,$AE$2,AG$3)</f>
        <v>-7.4574144445489488E-3</v>
      </c>
      <c r="AH20">
        <f>MC($AC20,0,$T$128,$AE$2,AH$3)+MC($AC20,0,$U$128,$AE$2,AH$3)-MC($AC20,0,$V$128,$AE$2,AH$3)</f>
        <v>-8.7504501470763163E-3</v>
      </c>
      <c r="AI20">
        <f>MC($AC20,0,$T$128,$AE$2,AI$3)+MC($AC20,0,$U$128,$AE$2,AI$3)-MC($AC20,0,$V$128,$AE$2,AI$3)</f>
        <v>-9.1501206275874658E-3</v>
      </c>
      <c r="AJ20">
        <f>MC($AC20,0,$T$128,$AE$2,AJ$3)+MC($AC20,0,$U$128,$AE$2,AJ$3)-MC($AC20,0,$V$128,$AE$2,AJ$3)</f>
        <v>-1.0182227234475816E-2</v>
      </c>
      <c r="AK20">
        <f>MC($AC20,0,$T$128,$AE$2,AK$3)+MC($AC20,0,$U$128,$AE$2,AK$3)-MC($AC20,0,$V$128,$AE$2,AK$3)</f>
        <v>-1.13802164218193E-2</v>
      </c>
      <c r="AL20">
        <f>MC($AC20,0,$T$128,$AE$2,AL$3)+MC($AC20,0,$U$128,$AE$2,AL$3)-MC($AC20,0,$V$128,$AE$2,AL$3)</f>
        <v>-1.2531310985146371E-2</v>
      </c>
      <c r="AM20">
        <f>MC($AC20,0,$T$128,$AE$2,AM$3)+MC($AC20,0,$U$128,$AE$2,AM$3)-MC($AC20,0,$V$128,$AE$2,AM$3)</f>
        <v>-1.1375714304697526E-2</v>
      </c>
      <c r="AN20">
        <f>MC($AC20,0,$T$128,$AE$2,AN$3)+MC($AC20,0,$U$128,$AE$2,AN$3)-MC($AC20,0,$V$128,$AE$2,AN$3)</f>
        <v>-1.4624795402101265E-2</v>
      </c>
      <c r="AP20" s="10">
        <v>17</v>
      </c>
      <c r="AQ20">
        <f t="shared" si="9"/>
        <v>-0.11082114812134941</v>
      </c>
      <c r="AR20">
        <f t="shared" si="9"/>
        <v>-0.11594072074648587</v>
      </c>
      <c r="AS20">
        <f t="shared" si="9"/>
        <v>-0.12150244101960822</v>
      </c>
      <c r="AT20">
        <f t="shared" si="9"/>
        <v>-0.12761785052363595</v>
      </c>
      <c r="AU20">
        <f t="shared" si="9"/>
        <v>-0.13444780487530394</v>
      </c>
      <c r="AV20">
        <f t="shared" si="9"/>
        <v>-0.142237403730895</v>
      </c>
      <c r="AW20">
        <f t="shared" si="9"/>
        <v>-0.1513891798288845</v>
      </c>
      <c r="AX20">
        <f t="shared" si="9"/>
        <v>-0.16264012517205506</v>
      </c>
      <c r="AY20">
        <f t="shared" si="9"/>
        <v>-0.17759629682358519</v>
      </c>
      <c r="AZ20">
        <f t="shared" si="9"/>
        <v>-0.20116907447365151</v>
      </c>
      <c r="BA20">
        <f t="shared" si="9"/>
        <v>-0.22274278184241392</v>
      </c>
    </row>
    <row r="21" spans="1:53">
      <c r="A21" s="3" t="s">
        <v>35</v>
      </c>
      <c r="B21" s="1">
        <v>93.269997000000004</v>
      </c>
      <c r="C21" s="1">
        <v>93.75</v>
      </c>
      <c r="D21" s="1">
        <v>91.224997999999999</v>
      </c>
      <c r="E21" s="1">
        <v>91.339995999999999</v>
      </c>
      <c r="F21" s="1">
        <v>91.339995999999999</v>
      </c>
      <c r="G21" s="1">
        <v>15452100</v>
      </c>
      <c r="H21" s="4">
        <v>44904</v>
      </c>
      <c r="I21" s="2">
        <v>61.240001999999997</v>
      </c>
      <c r="J21" s="2">
        <v>63.150002000000001</v>
      </c>
      <c r="K21" s="2">
        <v>60.450001</v>
      </c>
      <c r="L21" s="2">
        <v>60.650002000000001</v>
      </c>
      <c r="M21" s="2">
        <v>60.650002000000001</v>
      </c>
      <c r="N21" s="2">
        <v>4340400</v>
      </c>
      <c r="O21">
        <f t="shared" si="1"/>
        <v>0.39903942889715671</v>
      </c>
      <c r="P21">
        <f t="shared" si="2"/>
        <v>0.60096057110284318</v>
      </c>
      <c r="Q21">
        <f t="shared" si="3"/>
        <v>199.51971444857836</v>
      </c>
      <c r="R21">
        <f t="shared" si="4"/>
        <v>300.48028555142162</v>
      </c>
      <c r="S21">
        <f t="shared" si="5"/>
        <v>500</v>
      </c>
      <c r="T21" s="10">
        <f t="shared" si="6"/>
        <v>-3.0052055432771774E-2</v>
      </c>
      <c r="U21" s="11">
        <f t="shared" si="7"/>
        <v>-7.0399473791765707E-3</v>
      </c>
      <c r="V21">
        <f t="shared" si="10"/>
        <v>-1.622268583460286E-2</v>
      </c>
      <c r="W21">
        <v>105</v>
      </c>
      <c r="X21">
        <f t="shared" si="8"/>
        <v>9.0484851576932691E-5</v>
      </c>
      <c r="Y21">
        <f t="shared" si="11"/>
        <v>2.016890963626444E-6</v>
      </c>
      <c r="Z21">
        <f t="shared" si="12"/>
        <v>1.1059335806281718E-5</v>
      </c>
      <c r="AA21">
        <f t="shared" si="13"/>
        <v>4.9673077751605346E-6</v>
      </c>
      <c r="AC21" s="10">
        <v>18</v>
      </c>
      <c r="AD21">
        <f>MC($AC21,0,$T$128,$AE$2,AD$3)+MC($AC21,0,$U$128,$AE$2,AD$3)-MC($AC21,0,$V$128,$AE$2,AD$3)</f>
        <v>-6.349705619320245E-3</v>
      </c>
      <c r="AE21">
        <f>MC($AC21,0,$T$128,$AE$2,AE$3)+MC($AC21,0,$U$128,$AE$2,AE$3)-MC($AC21,0,$V$128,$AE$2,AE$3)</f>
        <v>-6.8885542016647872E-3</v>
      </c>
      <c r="AF21">
        <f>MC($AC21,0,$T$128,$AE$2,AF$3)+MC($AC21,0,$U$128,$AE$2,AF$3)-MC($AC21,0,$V$128,$AE$2,AF$3)</f>
        <v>-8.4341964534191405E-3</v>
      </c>
      <c r="AG21">
        <f>MC($AC21,0,$T$128,$AE$2,AG$3)+MC($AC21,0,$U$128,$AE$2,AG$3)-MC($AC21,0,$V$128,$AE$2,AG$3)</f>
        <v>-7.7763232661147708E-3</v>
      </c>
      <c r="AH21">
        <f>MC($AC21,0,$T$128,$AE$2,AH$3)+MC($AC21,0,$U$128,$AE$2,AH$3)-MC($AC21,0,$V$128,$AE$2,AH$3)</f>
        <v>-7.077388087320724E-3</v>
      </c>
      <c r="AI21">
        <f>MC($AC21,0,$T$128,$AE$2,AI$3)+MC($AC21,0,$U$128,$AE$2,AI$3)-MC($AC21,0,$V$128,$AE$2,AI$3)</f>
        <v>-9.3918995544253203E-3</v>
      </c>
      <c r="AJ21">
        <f>MC($AC21,0,$T$128,$AE$2,AJ$3)+MC($AC21,0,$U$128,$AE$2,AJ$3)-MC($AC21,0,$V$128,$AE$2,AJ$3)</f>
        <v>-9.1545006006006346E-3</v>
      </c>
      <c r="AK21">
        <f>MC($AC21,0,$T$128,$AE$2,AK$3)+MC($AC21,0,$U$128,$AE$2,AK$3)-MC($AC21,0,$V$128,$AE$2,AK$3)</f>
        <v>-1.0021225208866502E-2</v>
      </c>
      <c r="AL21">
        <f>MC($AC21,0,$T$128,$AE$2,AL$3)+MC($AC21,0,$U$128,$AE$2,AL$3)-MC($AC21,0,$V$128,$AE$2,AL$3)</f>
        <v>-9.749722813682693E-3</v>
      </c>
      <c r="AM21">
        <f>MC($AC21,0,$T$128,$AE$2,AM$3)+MC($AC21,0,$U$128,$AE$2,AM$3)-MC($AC21,0,$V$128,$AE$2,AM$3)</f>
        <v>-1.0122718181992285E-2</v>
      </c>
      <c r="AN21">
        <f>MC($AC21,0,$T$128,$AE$2,AN$3)+MC($AC21,0,$U$128,$AE$2,AN$3)-MC($AC21,0,$V$128,$AE$2,AN$3)</f>
        <v>-1.4778566503538482E-2</v>
      </c>
      <c r="AP21" s="10">
        <v>18</v>
      </c>
      <c r="AQ21">
        <f t="shared" si="9"/>
        <v>-0.114034020640079</v>
      </c>
      <c r="AR21">
        <f t="shared" si="9"/>
        <v>-0.1193020174105503</v>
      </c>
      <c r="AS21">
        <f t="shared" si="9"/>
        <v>-0.12502498035734361</v>
      </c>
      <c r="AT21">
        <f t="shared" si="9"/>
        <v>-0.13131768482239048</v>
      </c>
      <c r="AU21">
        <f t="shared" si="9"/>
        <v>-0.13834564986978437</v>
      </c>
      <c r="AV21">
        <f t="shared" si="9"/>
        <v>-0.14636108096515388</v>
      </c>
      <c r="AW21">
        <f t="shared" si="9"/>
        <v>-0.15577818087923129</v>
      </c>
      <c r="AX21">
        <f t="shared" si="9"/>
        <v>-0.16735530812644789</v>
      </c>
      <c r="AY21">
        <f t="shared" si="9"/>
        <v>-0.18274508179076343</v>
      </c>
      <c r="AZ21">
        <f t="shared" si="9"/>
        <v>-0.20700126987995537</v>
      </c>
      <c r="BA21">
        <f t="shared" si="9"/>
        <v>-0.22920043162008297</v>
      </c>
    </row>
    <row r="22" spans="1:53">
      <c r="A22" s="3" t="s">
        <v>36</v>
      </c>
      <c r="B22" s="1">
        <v>90.089995999999999</v>
      </c>
      <c r="C22" s="1">
        <v>90.888999999999996</v>
      </c>
      <c r="D22" s="1">
        <v>87.75</v>
      </c>
      <c r="E22" s="1">
        <v>89.410004000000001</v>
      </c>
      <c r="F22" s="1">
        <v>89.410004000000001</v>
      </c>
      <c r="G22" s="1">
        <v>15190200</v>
      </c>
      <c r="H22" s="4">
        <v>44907</v>
      </c>
      <c r="I22" s="2">
        <v>60.650002000000001</v>
      </c>
      <c r="J22" s="2">
        <v>62.360000999999997</v>
      </c>
      <c r="K22" s="2">
        <v>60.009998000000003</v>
      </c>
      <c r="L22" s="2">
        <v>62.27</v>
      </c>
      <c r="M22" s="2">
        <v>62.27</v>
      </c>
      <c r="N22" s="2">
        <v>3070400</v>
      </c>
      <c r="O22">
        <f t="shared" si="1"/>
        <v>0.41053532672638909</v>
      </c>
      <c r="P22">
        <f t="shared" si="2"/>
        <v>0.58946467327361096</v>
      </c>
      <c r="Q22">
        <f t="shared" si="3"/>
        <v>205.26766336319454</v>
      </c>
      <c r="R22">
        <f t="shared" si="4"/>
        <v>294.73233663680548</v>
      </c>
      <c r="S22">
        <f t="shared" si="5"/>
        <v>500</v>
      </c>
      <c r="T22" s="10">
        <f t="shared" si="6"/>
        <v>-2.1129757877370595E-2</v>
      </c>
      <c r="U22" s="11">
        <f t="shared" si="7"/>
        <v>2.6710600932873876E-2</v>
      </c>
      <c r="V22">
        <f t="shared" si="10"/>
        <v>7.0704435980024766E-3</v>
      </c>
      <c r="W22">
        <v>104</v>
      </c>
      <c r="X22">
        <f t="shared" si="8"/>
        <v>9.6260480400992224E-5</v>
      </c>
      <c r="Y22">
        <f t="shared" si="11"/>
        <v>1.7999342872927971E-6</v>
      </c>
      <c r="Z22">
        <f t="shared" si="12"/>
        <v>8.9791759981869951E-6</v>
      </c>
      <c r="AA22">
        <f t="shared" si="13"/>
        <v>4.0202657668588287E-6</v>
      </c>
      <c r="AC22" s="10">
        <v>19</v>
      </c>
      <c r="AD22">
        <f>MC($AC22,0,$T$128,$AE$2,AD$3)+MC($AC22,0,$U$128,$AE$2,AD$3)-MC($AC22,0,$V$128,$AE$2,AD$3)</f>
        <v>-7.2373327779293728E-3</v>
      </c>
      <c r="AE22">
        <f>MC($AC22,0,$T$128,$AE$2,AE$3)+MC($AC22,0,$U$128,$AE$2,AE$3)-MC($AC22,0,$V$128,$AE$2,AE$3)</f>
        <v>-7.6501994692710351E-3</v>
      </c>
      <c r="AF22">
        <f>MC($AC22,0,$T$128,$AE$2,AF$3)+MC($AC22,0,$U$128,$AE$2,AF$3)-MC($AC22,0,$V$128,$AE$2,AF$3)</f>
        <v>-8.3616052236041849E-3</v>
      </c>
      <c r="AG22">
        <f>MC($AC22,0,$T$128,$AE$2,AG$3)+MC($AC22,0,$U$128,$AE$2,AG$3)-MC($AC22,0,$V$128,$AE$2,AG$3)</f>
        <v>-8.3097753720149381E-3</v>
      </c>
      <c r="AH22">
        <f>MC($AC22,0,$T$128,$AE$2,AH$3)+MC($AC22,0,$U$128,$AE$2,AH$3)-MC($AC22,0,$V$128,$AE$2,AH$3)</f>
        <v>-9.7199226233410929E-3</v>
      </c>
      <c r="AI22">
        <f>MC($AC22,0,$T$128,$AE$2,AI$3)+MC($AC22,0,$U$128,$AE$2,AI$3)-MC($AC22,0,$V$128,$AE$2,AI$3)</f>
        <v>-8.8484699273494449E-3</v>
      </c>
      <c r="AJ22">
        <f>MC($AC22,0,$T$128,$AE$2,AJ$3)+MC($AC22,0,$U$128,$AE$2,AJ$3)-MC($AC22,0,$V$128,$AE$2,AJ$3)</f>
        <v>-1.3612561749281715E-2</v>
      </c>
      <c r="AK22">
        <f>MC($AC22,0,$T$128,$AE$2,AK$3)+MC($AC22,0,$U$128,$AE$2,AK$3)-MC($AC22,0,$V$128,$AE$2,AK$3)</f>
        <v>-1.0684433711048991E-2</v>
      </c>
      <c r="AL22">
        <f>MC($AC22,0,$T$128,$AE$2,AL$3)+MC($AC22,0,$U$128,$AE$2,AL$3)-MC($AC22,0,$V$128,$AE$2,AL$3)</f>
        <v>-1.2284945453646223E-2</v>
      </c>
      <c r="AM22">
        <f>MC($AC22,0,$T$128,$AE$2,AM$3)+MC($AC22,0,$U$128,$AE$2,AM$3)-MC($AC22,0,$V$128,$AE$2,AM$3)</f>
        <v>-9.1758847711567171E-3</v>
      </c>
      <c r="AN22">
        <f>MC($AC22,0,$T$128,$AE$2,AN$3)+MC($AC22,0,$U$128,$AE$2,AN$3)-MC($AC22,0,$V$128,$AE$2,AN$3)</f>
        <v>-1.3387588811847317E-2</v>
      </c>
      <c r="AP22" s="10">
        <v>19</v>
      </c>
      <c r="AQ22">
        <f t="shared" si="9"/>
        <v>-0.11715881894142605</v>
      </c>
      <c r="AR22">
        <f t="shared" si="9"/>
        <v>-0.12257117111800747</v>
      </c>
      <c r="AS22">
        <f t="shared" si="9"/>
        <v>-0.12845095660595507</v>
      </c>
      <c r="AT22">
        <f t="shared" si="9"/>
        <v>-0.13491609585943515</v>
      </c>
      <c r="AU22">
        <f t="shared" si="9"/>
        <v>-0.14213664355119032</v>
      </c>
      <c r="AV22">
        <f t="shared" si="9"/>
        <v>-0.15037171616521178</v>
      </c>
      <c r="AW22">
        <f t="shared" si="9"/>
        <v>-0.16004686659482781</v>
      </c>
      <c r="AX22">
        <f t="shared" si="9"/>
        <v>-0.17194123414764395</v>
      </c>
      <c r="AY22">
        <f t="shared" si="9"/>
        <v>-0.18775272352744893</v>
      </c>
      <c r="AZ22">
        <f t="shared" si="9"/>
        <v>-0.21267358778005951</v>
      </c>
      <c r="BA22">
        <f t="shared" si="9"/>
        <v>-0.23548105836089561</v>
      </c>
    </row>
    <row r="23" spans="1:53">
      <c r="A23" s="3" t="s">
        <v>37</v>
      </c>
      <c r="B23" s="1">
        <v>93.449996999999996</v>
      </c>
      <c r="C23" s="1">
        <v>94.980002999999996</v>
      </c>
      <c r="D23" s="1">
        <v>90.300003000000004</v>
      </c>
      <c r="E23" s="1">
        <v>91.410004000000001</v>
      </c>
      <c r="F23" s="1">
        <v>91.410004000000001</v>
      </c>
      <c r="G23" s="1">
        <v>21150600</v>
      </c>
      <c r="H23" s="4">
        <v>44908</v>
      </c>
      <c r="I23" s="2">
        <v>66.5</v>
      </c>
      <c r="J23" s="2">
        <v>68.769997000000004</v>
      </c>
      <c r="K23" s="2">
        <v>62.529998999999997</v>
      </c>
      <c r="L23" s="2">
        <v>63.52</v>
      </c>
      <c r="M23" s="2">
        <v>63.52</v>
      </c>
      <c r="N23" s="2">
        <v>5844400</v>
      </c>
      <c r="O23">
        <f t="shared" si="1"/>
        <v>0.40999159852858458</v>
      </c>
      <c r="P23">
        <f t="shared" si="2"/>
        <v>0.59000840147141542</v>
      </c>
      <c r="Q23">
        <f t="shared" si="3"/>
        <v>204.99579926429229</v>
      </c>
      <c r="R23">
        <f t="shared" si="4"/>
        <v>295.00420073570768</v>
      </c>
      <c r="S23">
        <f t="shared" si="5"/>
        <v>500</v>
      </c>
      <c r="T23" s="10">
        <f t="shared" si="6"/>
        <v>2.2368861542607692E-2</v>
      </c>
      <c r="U23" s="11">
        <f t="shared" si="7"/>
        <v>2.0073871848402119E-2</v>
      </c>
      <c r="V23">
        <f t="shared" si="10"/>
        <v>2.1014798341736092E-2</v>
      </c>
      <c r="W23">
        <v>103</v>
      </c>
      <c r="X23">
        <f t="shared" si="8"/>
        <v>1.0240476638403427E-4</v>
      </c>
      <c r="Y23">
        <f t="shared" si="11"/>
        <v>8.2436391481181614E-7</v>
      </c>
      <c r="Z23">
        <f t="shared" si="12"/>
        <v>9.3357959637030089E-6</v>
      </c>
      <c r="AA23">
        <f t="shared" si="13"/>
        <v>3.4661879842308292E-6</v>
      </c>
      <c r="AC23" s="10">
        <v>20</v>
      </c>
      <c r="AD23">
        <f>MC($AC23,0,$T$128,$AE$2,AD$3)+MC($AC23,0,$U$128,$AE$2,AD$3)-MC($AC23,0,$V$128,$AE$2,AD$3)</f>
        <v>-9.8956237226854871E-3</v>
      </c>
      <c r="AE23">
        <f>MC($AC23,0,$T$128,$AE$2,AE$3)+MC($AC23,0,$U$128,$AE$2,AE$3)-MC($AC23,0,$V$128,$AE$2,AE$3)</f>
        <v>-6.9421302302392629E-3</v>
      </c>
      <c r="AF23">
        <f>MC($AC23,0,$T$128,$AE$2,AF$3)+MC($AC23,0,$U$128,$AE$2,AF$3)-MC($AC23,0,$V$128,$AE$2,AF$3)</f>
        <v>-8.9869298275364606E-3</v>
      </c>
      <c r="AG23">
        <f>MC($AC23,0,$T$128,$AE$2,AG$3)+MC($AC23,0,$U$128,$AE$2,AG$3)-MC($AC23,0,$V$128,$AE$2,AG$3)</f>
        <v>-8.1483281477843228E-3</v>
      </c>
      <c r="AH23">
        <f>MC($AC23,0,$T$128,$AE$2,AH$3)+MC($AC23,0,$U$128,$AE$2,AH$3)-MC($AC23,0,$V$128,$AE$2,AH$3)</f>
        <v>-9.4745785153560469E-3</v>
      </c>
      <c r="AI23">
        <f>MC($AC23,0,$T$128,$AE$2,AI$3)+MC($AC23,0,$U$128,$AE$2,AI$3)-MC($AC23,0,$V$128,$AE$2,AI$3)</f>
        <v>-1.0428428654396971E-2</v>
      </c>
      <c r="AJ23">
        <f>MC($AC23,0,$T$128,$AE$2,AJ$3)+MC($AC23,0,$U$128,$AE$2,AJ$3)-MC($AC23,0,$V$128,$AE$2,AJ$3)</f>
        <v>-9.012954260408268E-3</v>
      </c>
      <c r="AK23">
        <f>MC($AC23,0,$T$128,$AE$2,AK$3)+MC($AC23,0,$U$128,$AE$2,AK$3)-MC($AC23,0,$V$128,$AE$2,AK$3)</f>
        <v>-9.9196670618879601E-3</v>
      </c>
      <c r="AL23">
        <f>MC($AC23,0,$T$128,$AE$2,AL$3)+MC($AC23,0,$U$128,$AE$2,AL$3)-MC($AC23,0,$V$128,$AE$2,AL$3)</f>
        <v>-9.5370051405436751E-3</v>
      </c>
      <c r="AM23">
        <f>MC($AC23,0,$T$128,$AE$2,AM$3)+MC($AC23,0,$U$128,$AE$2,AM$3)-MC($AC23,0,$V$128,$AE$2,AM$3)</f>
        <v>-1.6144764684617563E-2</v>
      </c>
      <c r="AN23">
        <f>MC($AC23,0,$T$128,$AE$2,AN$3)+MC($AC23,0,$U$128,$AE$2,AN$3)-MC($AC23,0,$V$128,$AE$2,AN$3)</f>
        <v>-1.6262274345057781E-2</v>
      </c>
      <c r="AP23" s="10">
        <v>20</v>
      </c>
      <c r="AQ23">
        <f t="shared" si="9"/>
        <v>-0.12020241198976722</v>
      </c>
      <c r="AR23">
        <f t="shared" si="9"/>
        <v>-0.12575536815680066</v>
      </c>
      <c r="AS23">
        <f t="shared" si="9"/>
        <v>-0.13178790078233937</v>
      </c>
      <c r="AT23">
        <f t="shared" si="9"/>
        <v>-0.1384209936996259</v>
      </c>
      <c r="AU23">
        <f t="shared" si="9"/>
        <v>-0.14582911932156517</v>
      </c>
      <c r="AV23">
        <f t="shared" si="9"/>
        <v>-0.15427812555140036</v>
      </c>
      <c r="AW23">
        <f t="shared" si="9"/>
        <v>-0.16420462044535389</v>
      </c>
      <c r="AX23">
        <f t="shared" si="9"/>
        <v>-0.17640798406628733</v>
      </c>
      <c r="AY23">
        <f t="shared" si="9"/>
        <v>-0.19263022988419143</v>
      </c>
      <c r="AZ23">
        <f t="shared" si="9"/>
        <v>-0.21819849712262274</v>
      </c>
      <c r="BA23">
        <f t="shared" si="9"/>
        <v>-0.24159846820437958</v>
      </c>
    </row>
    <row r="24" spans="1:53">
      <c r="A24" s="3" t="s">
        <v>38</v>
      </c>
      <c r="B24" s="1">
        <v>91.059997999999993</v>
      </c>
      <c r="C24" s="1">
        <v>91.264999000000003</v>
      </c>
      <c r="D24" s="1">
        <v>89.5</v>
      </c>
      <c r="E24" s="1">
        <v>90.910004000000001</v>
      </c>
      <c r="F24" s="1">
        <v>90.910004000000001</v>
      </c>
      <c r="G24" s="1">
        <v>15575500</v>
      </c>
      <c r="H24" s="4">
        <v>44909</v>
      </c>
      <c r="I24" s="2">
        <v>64.139999000000003</v>
      </c>
      <c r="J24" s="2">
        <v>66.099997999999999</v>
      </c>
      <c r="K24" s="2">
        <v>63.299999</v>
      </c>
      <c r="L24" s="2">
        <v>64.980002999999996</v>
      </c>
      <c r="M24" s="2">
        <v>64.980002999999996</v>
      </c>
      <c r="N24" s="2">
        <v>3785200</v>
      </c>
      <c r="O24">
        <f t="shared" si="1"/>
        <v>0.41683238233480868</v>
      </c>
      <c r="P24">
        <f t="shared" si="2"/>
        <v>0.58316761766519132</v>
      </c>
      <c r="Q24">
        <f t="shared" si="3"/>
        <v>208.41619116740435</v>
      </c>
      <c r="R24">
        <f t="shared" si="4"/>
        <v>291.58380883259565</v>
      </c>
      <c r="S24">
        <f t="shared" si="5"/>
        <v>500</v>
      </c>
      <c r="T24" s="10">
        <f t="shared" si="6"/>
        <v>-5.4698608261739053E-3</v>
      </c>
      <c r="U24" s="11">
        <f t="shared" si="7"/>
        <v>2.2984933879093093E-2</v>
      </c>
      <c r="V24">
        <f t="shared" si="10"/>
        <v>1.1124054013248751E-2</v>
      </c>
      <c r="W24">
        <v>102</v>
      </c>
      <c r="X24">
        <f t="shared" si="8"/>
        <v>1.0894124083407902E-4</v>
      </c>
      <c r="Y24">
        <f t="shared" si="11"/>
        <v>1.4194309720655705E-6</v>
      </c>
      <c r="Z24">
        <f t="shared" si="12"/>
        <v>9.1124678371281922E-6</v>
      </c>
      <c r="AA24">
        <f t="shared" si="13"/>
        <v>3.8350276100500737E-6</v>
      </c>
      <c r="AC24" s="10">
        <v>21</v>
      </c>
      <c r="AD24">
        <f>MC($AC24,0,$T$128,$AE$2,AD$3)+MC($AC24,0,$U$128,$AE$2,AD$3)-MC($AC24,0,$V$128,$AE$2,AD$3)</f>
        <v>-8.1808235173157495E-3</v>
      </c>
      <c r="AE24">
        <f>MC($AC24,0,$T$128,$AE$2,AE$3)+MC($AC24,0,$U$128,$AE$2,AE$3)-MC($AC24,0,$V$128,$AE$2,AE$3)</f>
        <v>-6.5874209088785385E-3</v>
      </c>
      <c r="AF24">
        <f>MC($AC24,0,$T$128,$AE$2,AF$3)+MC($AC24,0,$U$128,$AE$2,AF$3)-MC($AC24,0,$V$128,$AE$2,AF$3)</f>
        <v>-8.5513042212184143E-3</v>
      </c>
      <c r="AG24">
        <f>MC($AC24,0,$T$128,$AE$2,AG$3)+MC($AC24,0,$U$128,$AE$2,AG$3)-MC($AC24,0,$V$128,$AE$2,AG$3)</f>
        <v>-8.1147409896704659E-3</v>
      </c>
      <c r="AH24">
        <f>MC($AC24,0,$T$128,$AE$2,AH$3)+MC($AC24,0,$U$128,$AE$2,AH$3)-MC($AC24,0,$V$128,$AE$2,AH$3)</f>
        <v>-8.8837452100645198E-3</v>
      </c>
      <c r="AI24">
        <f>MC($AC24,0,$T$128,$AE$2,AI$3)+MC($AC24,0,$U$128,$AE$2,AI$3)-MC($AC24,0,$V$128,$AE$2,AI$3)</f>
        <v>-1.0724647144424226E-2</v>
      </c>
      <c r="AJ24">
        <f>MC($AC24,0,$T$128,$AE$2,AJ$3)+MC($AC24,0,$U$128,$AE$2,AJ$3)-MC($AC24,0,$V$128,$AE$2,AJ$3)</f>
        <v>-9.7880732214374877E-3</v>
      </c>
      <c r="AK24">
        <f>MC($AC24,0,$T$128,$AE$2,AK$3)+MC($AC24,0,$U$128,$AE$2,AK$3)-MC($AC24,0,$V$128,$AE$2,AK$3)</f>
        <v>-1.1091219457570078E-2</v>
      </c>
      <c r="AL24">
        <f>MC($AC24,0,$T$128,$AE$2,AL$3)+MC($AC24,0,$U$128,$AE$2,AL$3)-MC($AC24,0,$V$128,$AE$2,AL$3)</f>
        <v>-1.3811197476863768E-2</v>
      </c>
      <c r="AM24">
        <f>MC($AC24,0,$T$128,$AE$2,AM$3)+MC($AC24,0,$U$128,$AE$2,AM$3)-MC($AC24,0,$V$128,$AE$2,AM$3)</f>
        <v>-1.8669546207406684E-2</v>
      </c>
      <c r="AN24">
        <f>MC($AC24,0,$T$128,$AE$2,AN$3)+MC($AC24,0,$U$128,$AE$2,AN$3)-MC($AC24,0,$V$128,$AE$2,AN$3)</f>
        <v>-1.6307767929966355E-2</v>
      </c>
      <c r="AP24" s="10">
        <v>21</v>
      </c>
      <c r="AQ24">
        <f t="shared" si="9"/>
        <v>-0.12317081976087357</v>
      </c>
      <c r="AR24">
        <f t="shared" si="9"/>
        <v>-0.12886090660578597</v>
      </c>
      <c r="AS24">
        <f t="shared" si="9"/>
        <v>-0.13504241308657999</v>
      </c>
      <c r="AT24">
        <f t="shared" si="9"/>
        <v>-0.14183931074152695</v>
      </c>
      <c r="AU24">
        <f t="shared" si="9"/>
        <v>-0.14943038059313252</v>
      </c>
      <c r="AV24">
        <f t="shared" si="9"/>
        <v>-0.15808803567897328</v>
      </c>
      <c r="AW24">
        <f t="shared" si="9"/>
        <v>-0.16825966612466242</v>
      </c>
      <c r="AX24">
        <f t="shared" si="9"/>
        <v>-0.18076439274494305</v>
      </c>
      <c r="AY24">
        <f t="shared" si="9"/>
        <v>-0.19738724816587899</v>
      </c>
      <c r="AZ24">
        <f t="shared" si="9"/>
        <v>-0.22358692572218919</v>
      </c>
      <c r="BA24">
        <f t="shared" si="9"/>
        <v>-0.24756476088215329</v>
      </c>
    </row>
    <row r="25" spans="1:53">
      <c r="A25" s="3" t="s">
        <v>39</v>
      </c>
      <c r="B25" s="1">
        <v>93.089995999999999</v>
      </c>
      <c r="C25" s="1">
        <v>94.080001999999993</v>
      </c>
      <c r="D25" s="1">
        <v>86.050003000000004</v>
      </c>
      <c r="E25" s="1">
        <v>86.209998999999996</v>
      </c>
      <c r="F25" s="1">
        <v>86.209998999999996</v>
      </c>
      <c r="G25" s="1">
        <v>30419400</v>
      </c>
      <c r="H25" s="4">
        <v>44910</v>
      </c>
      <c r="I25" s="2">
        <v>62.439999</v>
      </c>
      <c r="J25" s="2">
        <v>64.379997000000003</v>
      </c>
      <c r="K25" s="2">
        <v>60.91</v>
      </c>
      <c r="L25" s="2">
        <v>61.049999</v>
      </c>
      <c r="M25" s="2">
        <v>61.049999</v>
      </c>
      <c r="N25" s="2">
        <v>4184800</v>
      </c>
      <c r="O25">
        <f t="shared" si="1"/>
        <v>0.4145728631613862</v>
      </c>
      <c r="P25">
        <f t="shared" si="2"/>
        <v>0.5854271368386138</v>
      </c>
      <c r="Q25">
        <f t="shared" si="3"/>
        <v>207.28643158069309</v>
      </c>
      <c r="R25">
        <f t="shared" si="4"/>
        <v>292.71356841930691</v>
      </c>
      <c r="S25">
        <f t="shared" si="5"/>
        <v>500</v>
      </c>
      <c r="T25" s="10">
        <f t="shared" si="6"/>
        <v>-5.1699535729863175E-2</v>
      </c>
      <c r="U25" s="11">
        <f t="shared" si="7"/>
        <v>-6.0480206502914392E-2</v>
      </c>
      <c r="V25">
        <f t="shared" si="10"/>
        <v>-5.6839978680053041E-2</v>
      </c>
      <c r="W25">
        <v>101</v>
      </c>
      <c r="X25">
        <f t="shared" si="8"/>
        <v>1.1589493705753087E-4</v>
      </c>
      <c r="Y25">
        <f t="shared" si="11"/>
        <v>2.8590614445156658E-6</v>
      </c>
      <c r="Z25">
        <f t="shared" si="12"/>
        <v>1.5285661917101839E-5</v>
      </c>
      <c r="AA25">
        <f t="shared" si="13"/>
        <v>7.216411248149255E-6</v>
      </c>
      <c r="AC25" s="10">
        <v>22</v>
      </c>
      <c r="AD25">
        <f>MC($AC25,0,$T$128,$AE$2,AD$3)+MC($AC25,0,$U$128,$AE$2,AD$3)-MC($AC25,0,$V$128,$AE$2,AD$3)</f>
        <v>-8.7136684069888393E-3</v>
      </c>
      <c r="AE25">
        <f>MC($AC25,0,$T$128,$AE$2,AE$3)+MC($AC25,0,$U$128,$AE$2,AE$3)-MC($AC25,0,$V$128,$AE$2,AE$3)</f>
        <v>-8.3810383966087532E-3</v>
      </c>
      <c r="AF25">
        <f>MC($AC25,0,$T$128,$AE$2,AF$3)+MC($AC25,0,$U$128,$AE$2,AF$3)-MC($AC25,0,$V$128,$AE$2,AF$3)</f>
        <v>-9.5485506834114275E-3</v>
      </c>
      <c r="AG25">
        <f>MC($AC25,0,$T$128,$AE$2,AG$3)+MC($AC25,0,$U$128,$AE$2,AG$3)-MC($AC25,0,$V$128,$AE$2,AG$3)</f>
        <v>-8.8186770562801442E-3</v>
      </c>
      <c r="AH25">
        <f>MC($AC25,0,$T$128,$AE$2,AH$3)+MC($AC25,0,$U$128,$AE$2,AH$3)-MC($AC25,0,$V$128,$AE$2,AH$3)</f>
        <v>-1.0174705765592318E-2</v>
      </c>
      <c r="AI25">
        <f>MC($AC25,0,$T$128,$AE$2,AI$3)+MC($AC25,0,$U$128,$AE$2,AI$3)-MC($AC25,0,$V$128,$AE$2,AI$3)</f>
        <v>-1.0901919398685456E-2</v>
      </c>
      <c r="AJ25">
        <f>MC($AC25,0,$T$128,$AE$2,AJ$3)+MC($AC25,0,$U$128,$AE$2,AJ$3)-MC($AC25,0,$V$128,$AE$2,AJ$3)</f>
        <v>-9.0508796492116961E-3</v>
      </c>
      <c r="AK25">
        <f>MC($AC25,0,$T$128,$AE$2,AK$3)+MC($AC25,0,$U$128,$AE$2,AK$3)-MC($AC25,0,$V$128,$AE$2,AK$3)</f>
        <v>-1.0492830253782337E-2</v>
      </c>
      <c r="AL25">
        <f>MC($AC25,0,$T$128,$AE$2,AL$3)+MC($AC25,0,$U$128,$AE$2,AL$3)-MC($AC25,0,$V$128,$AE$2,AL$3)</f>
        <v>-1.384549179765826E-2</v>
      </c>
      <c r="AM25">
        <f>MC($AC25,0,$T$128,$AE$2,AM$3)+MC($AC25,0,$U$128,$AE$2,AM$3)-MC($AC25,0,$V$128,$AE$2,AM$3)</f>
        <v>-1.6135103943009321E-2</v>
      </c>
      <c r="AN25">
        <f>MC($AC25,0,$T$128,$AE$2,AN$3)+MC($AC25,0,$U$128,$AE$2,AN$3)-MC($AC25,0,$V$128,$AE$2,AN$3)</f>
        <v>-1.46384362349401E-2</v>
      </c>
      <c r="AP25" s="10">
        <v>22</v>
      </c>
      <c r="AQ25">
        <f t="shared" si="9"/>
        <v>-0.12606935326626179</v>
      </c>
      <c r="AR25">
        <f t="shared" si="9"/>
        <v>-0.13189334282774756</v>
      </c>
      <c r="AS25">
        <f t="shared" si="9"/>
        <v>-0.13822031642228766</v>
      </c>
      <c r="AT25">
        <f t="shared" si="9"/>
        <v>-0.14517716296467242</v>
      </c>
      <c r="AU25">
        <f t="shared" si="9"/>
        <v>-0.15294687066531837</v>
      </c>
      <c r="AV25">
        <f t="shared" si="9"/>
        <v>-0.16180826315741431</v>
      </c>
      <c r="AW25">
        <f t="shared" si="9"/>
        <v>-0.17221925883350847</v>
      </c>
      <c r="AX25">
        <f t="shared" si="9"/>
        <v>-0.18501825457658116</v>
      </c>
      <c r="AY25">
        <f t="shared" si="9"/>
        <v>-0.20203228952759034</v>
      </c>
      <c r="AZ25">
        <f t="shared" si="9"/>
        <v>-0.22884851443963616</v>
      </c>
      <c r="BA25">
        <f t="shared" si="9"/>
        <v>-0.25339061115710826</v>
      </c>
    </row>
    <row r="26" spans="1:53">
      <c r="A26" s="3" t="s">
        <v>40</v>
      </c>
      <c r="B26" s="1">
        <v>88.800003000000004</v>
      </c>
      <c r="C26" s="1">
        <v>90.57</v>
      </c>
      <c r="D26" s="1">
        <v>86.610000999999997</v>
      </c>
      <c r="E26" s="1">
        <v>86.790001000000004</v>
      </c>
      <c r="F26" s="1">
        <v>86.790001000000004</v>
      </c>
      <c r="G26" s="1">
        <v>25084600</v>
      </c>
      <c r="H26" s="4">
        <v>44911</v>
      </c>
      <c r="I26" s="2">
        <v>60</v>
      </c>
      <c r="J26" s="2">
        <v>60.110000999999997</v>
      </c>
      <c r="K26" s="2">
        <v>53.009998000000003</v>
      </c>
      <c r="L26" s="2">
        <v>53.689999</v>
      </c>
      <c r="M26" s="2">
        <v>53.689999</v>
      </c>
      <c r="N26" s="2">
        <v>10190900</v>
      </c>
      <c r="O26">
        <f t="shared" si="1"/>
        <v>0.38218962841685644</v>
      </c>
      <c r="P26">
        <f t="shared" si="2"/>
        <v>0.61781037158314345</v>
      </c>
      <c r="Q26">
        <f t="shared" si="3"/>
        <v>191.09481420842823</v>
      </c>
      <c r="R26">
        <f t="shared" si="4"/>
        <v>308.90518579157174</v>
      </c>
      <c r="S26">
        <f t="shared" si="5"/>
        <v>500</v>
      </c>
      <c r="T26" s="10">
        <f t="shared" si="6"/>
        <v>6.7277810779235421E-3</v>
      </c>
      <c r="U26" s="11">
        <f t="shared" si="7"/>
        <v>-0.12055692253164492</v>
      </c>
      <c r="V26">
        <f t="shared" si="10"/>
        <v>-7.1910028955954219E-2</v>
      </c>
      <c r="W26">
        <v>100</v>
      </c>
      <c r="X26">
        <f t="shared" si="8"/>
        <v>1.2329248623141583E-4</v>
      </c>
      <c r="Y26">
        <f t="shared" si="11"/>
        <v>1.1227601144557842E-6</v>
      </c>
      <c r="Z26">
        <f t="shared" si="12"/>
        <v>2.1134442886188682E-5</v>
      </c>
      <c r="AA26">
        <f t="shared" si="13"/>
        <v>8.2535448899059741E-6</v>
      </c>
      <c r="AC26" s="10">
        <v>23</v>
      </c>
      <c r="AD26">
        <f>MC($AC26,0,$T$128,$AE$2,AD$3)+MC($AC26,0,$U$128,$AE$2,AD$3)-MC($AC26,0,$V$128,$AE$2,AD$3)</f>
        <v>-7.9404551472921359E-3</v>
      </c>
      <c r="AE26">
        <f>MC($AC26,0,$T$128,$AE$2,AE$3)+MC($AC26,0,$U$128,$AE$2,AE$3)-MC($AC26,0,$V$128,$AE$2,AE$3)</f>
        <v>-8.662581174922801E-3</v>
      </c>
      <c r="AF26">
        <f>MC($AC26,0,$T$128,$AE$2,AF$3)+MC($AC26,0,$U$128,$AE$2,AF$3)-MC($AC26,0,$V$128,$AE$2,AF$3)</f>
        <v>-7.8675889770070118E-3</v>
      </c>
      <c r="AG26">
        <f>MC($AC26,0,$T$128,$AE$2,AG$3)+MC($AC26,0,$U$128,$AE$2,AG$3)-MC($AC26,0,$V$128,$AE$2,AG$3)</f>
        <v>-1.0503164032211076E-2</v>
      </c>
      <c r="AH26">
        <f>MC($AC26,0,$T$128,$AE$2,AH$3)+MC($AC26,0,$U$128,$AE$2,AH$3)-MC($AC26,0,$V$128,$AE$2,AH$3)</f>
        <v>-9.832946532158493E-3</v>
      </c>
      <c r="AI26">
        <f>MC($AC26,0,$T$128,$AE$2,AI$3)+MC($AC26,0,$U$128,$AE$2,AI$3)-MC($AC26,0,$V$128,$AE$2,AI$3)</f>
        <v>-1.18511701029409E-2</v>
      </c>
      <c r="AJ26">
        <f>MC($AC26,0,$T$128,$AE$2,AJ$3)+MC($AC26,0,$U$128,$AE$2,AJ$3)-MC($AC26,0,$V$128,$AE$2,AJ$3)</f>
        <v>-1.0836394418492823E-2</v>
      </c>
      <c r="AK26">
        <f>MC($AC26,0,$T$128,$AE$2,AK$3)+MC($AC26,0,$U$128,$AE$2,AK$3)-MC($AC26,0,$V$128,$AE$2,AK$3)</f>
        <v>-1.0629046790165519E-2</v>
      </c>
      <c r="AL26">
        <f>MC($AC26,0,$T$128,$AE$2,AL$3)+MC($AC26,0,$U$128,$AE$2,AL$3)-MC($AC26,0,$V$128,$AE$2,AL$3)</f>
        <v>-1.3884799238756296E-2</v>
      </c>
      <c r="AM26">
        <f>MC($AC26,0,$T$128,$AE$2,AM$3)+MC($AC26,0,$U$128,$AE$2,AM$3)-MC($AC26,0,$V$128,$AE$2,AM$3)</f>
        <v>-1.4082884925321393E-2</v>
      </c>
      <c r="AN26">
        <f>MC($AC26,0,$T$128,$AE$2,AN$3)+MC($AC26,0,$U$128,$AE$2,AN$3)-MC($AC26,0,$V$128,$AE$2,AN$3)</f>
        <v>-2.0931790126323513E-2</v>
      </c>
      <c r="AP26" s="10">
        <v>23</v>
      </c>
      <c r="AQ26">
        <f t="shared" si="9"/>
        <v>-0.12890272621392224</v>
      </c>
      <c r="AR26">
        <f t="shared" si="9"/>
        <v>-0.13485760828848464</v>
      </c>
      <c r="AS26">
        <f t="shared" si="9"/>
        <v>-0.1413267788195432</v>
      </c>
      <c r="AT26">
        <f t="shared" si="9"/>
        <v>-0.14843997851424884</v>
      </c>
      <c r="AU26">
        <f t="shared" si="9"/>
        <v>-0.15638430819113147</v>
      </c>
      <c r="AV26">
        <f t="shared" si="9"/>
        <v>-0.16544485796543129</v>
      </c>
      <c r="AW26">
        <f t="shared" si="9"/>
        <v>-0.17608983781565352</v>
      </c>
      <c r="AX26">
        <f t="shared" si="9"/>
        <v>-0.18917648735686254</v>
      </c>
      <c r="AY26">
        <f t="shared" si="9"/>
        <v>-0.20657290791636229</v>
      </c>
      <c r="AZ26">
        <f t="shared" si="9"/>
        <v>-0.23399181987530437</v>
      </c>
      <c r="BA26">
        <f t="shared" si="9"/>
        <v>-0.25908549325369024</v>
      </c>
    </row>
    <row r="27" spans="1:53">
      <c r="A27" s="3" t="s">
        <v>41</v>
      </c>
      <c r="B27" s="1">
        <v>89.75</v>
      </c>
      <c r="C27" s="1">
        <v>89.779999000000004</v>
      </c>
      <c r="D27" s="1">
        <v>86.500998999999993</v>
      </c>
      <c r="E27" s="1">
        <v>87.160004000000001</v>
      </c>
      <c r="F27" s="1">
        <v>87.160004000000001</v>
      </c>
      <c r="G27" s="1">
        <v>20737000</v>
      </c>
      <c r="H27" s="4">
        <v>44914</v>
      </c>
      <c r="I27" s="2">
        <v>53.799999</v>
      </c>
      <c r="J27" s="2">
        <v>54.98</v>
      </c>
      <c r="K27" s="2">
        <v>52.07</v>
      </c>
      <c r="L27" s="2">
        <v>53.02</v>
      </c>
      <c r="M27" s="2">
        <v>53.02</v>
      </c>
      <c r="N27" s="2">
        <v>6299900</v>
      </c>
      <c r="O27">
        <f t="shared" si="1"/>
        <v>0.37822798178832984</v>
      </c>
      <c r="P27">
        <f t="shared" si="2"/>
        <v>0.62177201821167016</v>
      </c>
      <c r="Q27">
        <f t="shared" si="3"/>
        <v>189.11399089416491</v>
      </c>
      <c r="R27">
        <f t="shared" si="4"/>
        <v>310.88600910583506</v>
      </c>
      <c r="S27">
        <f t="shared" si="5"/>
        <v>500</v>
      </c>
      <c r="T27" s="10">
        <f t="shared" si="6"/>
        <v>4.2631984760548277E-3</v>
      </c>
      <c r="U27" s="11">
        <f t="shared" si="7"/>
        <v>-1.247902798433647E-2</v>
      </c>
      <c r="V27">
        <f t="shared" si="10"/>
        <v>-6.1466494595794965E-3</v>
      </c>
      <c r="W27">
        <v>99</v>
      </c>
      <c r="X27">
        <f t="shared" si="8"/>
        <v>1.3116221939512321E-4</v>
      </c>
      <c r="Y27">
        <f t="shared" si="11"/>
        <v>1.1782719929751575E-6</v>
      </c>
      <c r="Z27">
        <f t="shared" si="12"/>
        <v>1.1570262915888284E-5</v>
      </c>
      <c r="AA27">
        <f t="shared" si="13"/>
        <v>4.6002744596101683E-6</v>
      </c>
      <c r="AC27" s="10">
        <v>24</v>
      </c>
      <c r="AD27">
        <f>MC($AC27,0,$T$128,$AE$2,AD$3)+MC($AC27,0,$U$128,$AE$2,AD$3)-MC($AC27,0,$V$128,$AE$2,AD$3)</f>
        <v>-7.6071969969524478E-3</v>
      </c>
      <c r="AE27">
        <f>MC($AC27,0,$T$128,$AE$2,AE$3)+MC($AC27,0,$U$128,$AE$2,AE$3)-MC($AC27,0,$V$128,$AE$2,AE$3)</f>
        <v>-7.6845871044004532E-3</v>
      </c>
      <c r="AF27">
        <f>MC($AC27,0,$T$128,$AE$2,AF$3)+MC($AC27,0,$U$128,$AE$2,AF$3)-MC($AC27,0,$V$128,$AE$2,AF$3)</f>
        <v>-8.1694381192127796E-3</v>
      </c>
      <c r="AG27">
        <f>MC($AC27,0,$T$128,$AE$2,AG$3)+MC($AC27,0,$U$128,$AE$2,AG$3)-MC($AC27,0,$V$128,$AE$2,AG$3)</f>
        <v>-8.4764076276850897E-3</v>
      </c>
      <c r="AH27">
        <f>MC($AC27,0,$T$128,$AE$2,AH$3)+MC($AC27,0,$U$128,$AE$2,AH$3)-MC($AC27,0,$V$128,$AE$2,AH$3)</f>
        <v>-1.1105389443928804E-2</v>
      </c>
      <c r="AI27">
        <f>MC($AC27,0,$T$128,$AE$2,AI$3)+MC($AC27,0,$U$128,$AE$2,AI$3)-MC($AC27,0,$V$128,$AE$2,AI$3)</f>
        <v>-8.9968151001600383E-3</v>
      </c>
      <c r="AJ27">
        <f>MC($AC27,0,$T$128,$AE$2,AJ$3)+MC($AC27,0,$U$128,$AE$2,AJ$3)-MC($AC27,0,$V$128,$AE$2,AJ$3)</f>
        <v>-1.237366471375867E-2</v>
      </c>
      <c r="AK27">
        <f>MC($AC27,0,$T$128,$AE$2,AK$3)+MC($AC27,0,$U$128,$AE$2,AK$3)-MC($AC27,0,$V$128,$AE$2,AK$3)</f>
        <v>-1.3219902128101646E-2</v>
      </c>
      <c r="AL27">
        <f>MC($AC27,0,$T$128,$AE$2,AL$3)+MC($AC27,0,$U$128,$AE$2,AL$3)-MC($AC27,0,$V$128,$AE$2,AL$3)</f>
        <v>-1.2829982100482917E-2</v>
      </c>
      <c r="AM27">
        <f>MC($AC27,0,$T$128,$AE$2,AM$3)+MC($AC27,0,$U$128,$AE$2,AM$3)-MC($AC27,0,$V$128,$AE$2,AM$3)</f>
        <v>-1.6061980580906798E-2</v>
      </c>
      <c r="AN27">
        <f>MC($AC27,0,$T$128,$AE$2,AN$3)+MC($AC27,0,$U$128,$AE$2,AN$3)-MC($AC27,0,$V$128,$AE$2,AN$3)</f>
        <v>-1.4677374648177421E-2</v>
      </c>
      <c r="AP27" s="10">
        <v>24</v>
      </c>
      <c r="AQ27">
        <f t="shared" si="9"/>
        <v>-0.1316751450266499</v>
      </c>
      <c r="AR27">
        <f t="shared" si="9"/>
        <v>-0.13775810373369324</v>
      </c>
      <c r="AS27">
        <f t="shared" si="9"/>
        <v>-0.14436641212948004</v>
      </c>
      <c r="AT27">
        <f t="shared" si="9"/>
        <v>-0.15163260136313117</v>
      </c>
      <c r="AU27">
        <f t="shared" si="9"/>
        <v>-0.15974779638706738</v>
      </c>
      <c r="AV27">
        <f t="shared" si="9"/>
        <v>-0.16900321898823234</v>
      </c>
      <c r="AW27">
        <f t="shared" si="9"/>
        <v>-0.17987714932898868</v>
      </c>
      <c r="AX27">
        <f t="shared" si="9"/>
        <v>-0.19324526439423495</v>
      </c>
      <c r="AY27">
        <f t="shared" si="9"/>
        <v>-0.21101584432995479</v>
      </c>
      <c r="AZ27">
        <f t="shared" si="9"/>
        <v>-0.23902447777557312</v>
      </c>
      <c r="BA27">
        <f t="shared" si="9"/>
        <v>-0.26465786178846673</v>
      </c>
    </row>
    <row r="28" spans="1:53">
      <c r="A28" s="3" t="s">
        <v>42</v>
      </c>
      <c r="B28" s="1">
        <v>85.040001000000004</v>
      </c>
      <c r="C28" s="1">
        <v>87.199996999999996</v>
      </c>
      <c r="D28" s="1">
        <v>85.040001000000004</v>
      </c>
      <c r="E28" s="1">
        <v>85.919998000000007</v>
      </c>
      <c r="F28" s="1">
        <v>85.919998000000007</v>
      </c>
      <c r="G28" s="1">
        <v>15315400</v>
      </c>
      <c r="H28" s="4">
        <v>44915</v>
      </c>
      <c r="I28" s="2">
        <v>52.360000999999997</v>
      </c>
      <c r="J28" s="2">
        <v>53.360000999999997</v>
      </c>
      <c r="K28" s="2">
        <v>50.220001000000003</v>
      </c>
      <c r="L28" s="2">
        <v>51.02</v>
      </c>
      <c r="M28" s="2">
        <v>51.02</v>
      </c>
      <c r="N28" s="2">
        <v>4802500</v>
      </c>
      <c r="O28">
        <f t="shared" si="1"/>
        <v>0.37257193475349693</v>
      </c>
      <c r="P28">
        <f t="shared" si="2"/>
        <v>0.62742806524650307</v>
      </c>
      <c r="Q28">
        <f t="shared" si="3"/>
        <v>186.28596737674846</v>
      </c>
      <c r="R28">
        <f t="shared" si="4"/>
        <v>313.71403262325151</v>
      </c>
      <c r="S28">
        <f t="shared" si="5"/>
        <v>500</v>
      </c>
      <c r="T28" s="10">
        <f t="shared" si="6"/>
        <v>-1.4226777685783424E-2</v>
      </c>
      <c r="U28" s="11">
        <f t="shared" si="7"/>
        <v>-3.7721614485099961E-2</v>
      </c>
      <c r="V28">
        <f t="shared" si="10"/>
        <v>-2.8968097682060944E-2</v>
      </c>
      <c r="W28">
        <v>98</v>
      </c>
      <c r="X28">
        <f t="shared" si="8"/>
        <v>1.3953427595225873E-4</v>
      </c>
      <c r="Y28">
        <f t="shared" si="11"/>
        <v>1.696142607099526E-6</v>
      </c>
      <c r="Z28">
        <f t="shared" si="12"/>
        <v>1.3720924825601794E-5</v>
      </c>
      <c r="AA28">
        <f t="shared" si="13"/>
        <v>5.8400254109513388E-6</v>
      </c>
      <c r="AC28" s="10">
        <v>25</v>
      </c>
      <c r="AD28">
        <f>MC($AC28,0,$T$128,$AE$2,AD$3)+MC($AC28,0,$U$128,$AE$2,AD$3)-MC($AC28,0,$V$128,$AE$2,AD$3)</f>
        <v>-7.2879983907512269E-3</v>
      </c>
      <c r="AE28">
        <f>MC($AC28,0,$T$128,$AE$2,AE$3)+MC($AC28,0,$U$128,$AE$2,AE$3)-MC($AC28,0,$V$128,$AE$2,AE$3)</f>
        <v>-8.0762648676424575E-3</v>
      </c>
      <c r="AF28">
        <f>MC($AC28,0,$T$128,$AE$2,AF$3)+MC($AC28,0,$U$128,$AE$2,AF$3)-MC($AC28,0,$V$128,$AE$2,AF$3)</f>
        <v>-8.4185152657518802E-3</v>
      </c>
      <c r="AG28">
        <f>MC($AC28,0,$T$128,$AE$2,AG$3)+MC($AC28,0,$U$128,$AE$2,AG$3)-MC($AC28,0,$V$128,$AE$2,AG$3)</f>
        <v>-1.10212421495548E-2</v>
      </c>
      <c r="AH28">
        <f>MC($AC28,0,$T$128,$AE$2,AH$3)+MC($AC28,0,$U$128,$AE$2,AH$3)-MC($AC28,0,$V$128,$AE$2,AH$3)</f>
        <v>-1.1769058363186868E-2</v>
      </c>
      <c r="AI28">
        <f>MC($AC28,0,$T$128,$AE$2,AI$3)+MC($AC28,0,$U$128,$AE$2,AI$3)-MC($AC28,0,$V$128,$AE$2,AI$3)</f>
        <v>-1.0728164996877343E-2</v>
      </c>
      <c r="AJ28">
        <f>MC($AC28,0,$T$128,$AE$2,AJ$3)+MC($AC28,0,$U$128,$AE$2,AJ$3)-MC($AC28,0,$V$128,$AE$2,AJ$3)</f>
        <v>-1.0795817899334148E-2</v>
      </c>
      <c r="AK28">
        <f>MC($AC28,0,$T$128,$AE$2,AK$3)+MC($AC28,0,$U$128,$AE$2,AK$3)-MC($AC28,0,$V$128,$AE$2,AK$3)</f>
        <v>-1.1931396382621307E-2</v>
      </c>
      <c r="AL28">
        <f>MC($AC28,0,$T$128,$AE$2,AL$3)+MC($AC28,0,$U$128,$AE$2,AL$3)-MC($AC28,0,$V$128,$AE$2,AL$3)</f>
        <v>-1.0992276029644588E-2</v>
      </c>
      <c r="AM28">
        <f>MC($AC28,0,$T$128,$AE$2,AM$3)+MC($AC28,0,$U$128,$AE$2,AM$3)-MC($AC28,0,$V$128,$AE$2,AM$3)</f>
        <v>-1.3288266493907352E-2</v>
      </c>
      <c r="AN28">
        <f>MC($AC28,0,$T$128,$AE$2,AN$3)+MC($AC28,0,$U$128,$AE$2,AN$3)-MC($AC28,0,$V$128,$AE$2,AN$3)</f>
        <v>-2.054086203944494E-2</v>
      </c>
      <c r="AP28" s="10">
        <v>25</v>
      </c>
      <c r="AQ28">
        <f t="shared" si="9"/>
        <v>-0.13439038213427767</v>
      </c>
      <c r="AR28">
        <f t="shared" si="9"/>
        <v>-0.14059877586705949</v>
      </c>
      <c r="AS28">
        <f t="shared" si="9"/>
        <v>-0.14734335238065444</v>
      </c>
      <c r="AT28">
        <f t="shared" si="9"/>
        <v>-0.15475937571271681</v>
      </c>
      <c r="AU28">
        <f t="shared" si="9"/>
        <v>-0.16304191195097395</v>
      </c>
      <c r="AV28">
        <f t="shared" si="9"/>
        <v>-0.17248818808708932</v>
      </c>
      <c r="AW28">
        <f t="shared" si="9"/>
        <v>-0.18358634676768165</v>
      </c>
      <c r="AX28">
        <f t="shared" si="9"/>
        <v>-0.19723012207295915</v>
      </c>
      <c r="AY28">
        <f t="shared" si="9"/>
        <v>-0.21536714427123183</v>
      </c>
      <c r="AZ28">
        <f t="shared" si="9"/>
        <v>-0.24395333607723846</v>
      </c>
      <c r="BA28">
        <f t="shared" si="9"/>
        <v>-0.27011529908240717</v>
      </c>
    </row>
    <row r="29" spans="1:53">
      <c r="A29" s="3" t="s">
        <v>43</v>
      </c>
      <c r="B29" s="1">
        <v>86.010002</v>
      </c>
      <c r="C29" s="1">
        <v>88.387000999999998</v>
      </c>
      <c r="D29" s="1">
        <v>85.459998999999996</v>
      </c>
      <c r="E29" s="1">
        <v>87.809997999999993</v>
      </c>
      <c r="F29" s="1">
        <v>87.809997999999993</v>
      </c>
      <c r="G29" s="1">
        <v>18212900</v>
      </c>
      <c r="H29" s="4">
        <v>44916</v>
      </c>
      <c r="I29" s="2">
        <v>50.900002000000001</v>
      </c>
      <c r="J29" s="2">
        <v>53.110000999999997</v>
      </c>
      <c r="K29" s="2">
        <v>49.669998</v>
      </c>
      <c r="L29" s="2">
        <v>52.439999</v>
      </c>
      <c r="M29" s="2">
        <v>52.439999</v>
      </c>
      <c r="N29" s="2">
        <v>4779800</v>
      </c>
      <c r="O29">
        <f t="shared" si="1"/>
        <v>0.37390374418332428</v>
      </c>
      <c r="P29">
        <f t="shared" si="2"/>
        <v>0.62609625581667561</v>
      </c>
      <c r="Q29">
        <f t="shared" si="3"/>
        <v>186.95187209166215</v>
      </c>
      <c r="R29">
        <f t="shared" si="4"/>
        <v>313.04812790833779</v>
      </c>
      <c r="S29">
        <f t="shared" si="5"/>
        <v>499.99999999999994</v>
      </c>
      <c r="T29" s="10">
        <f t="shared" si="6"/>
        <v>2.1997207215949728E-2</v>
      </c>
      <c r="U29" s="11">
        <f t="shared" si="7"/>
        <v>2.7832203057624402E-2</v>
      </c>
      <c r="V29">
        <f t="shared" si="10"/>
        <v>2.5650476265128112E-2</v>
      </c>
      <c r="W29">
        <v>97</v>
      </c>
      <c r="X29">
        <f t="shared" si="8"/>
        <v>1.4844071909814763E-4</v>
      </c>
      <c r="Y29">
        <f t="shared" si="11"/>
        <v>7.5047810243913484E-7</v>
      </c>
      <c r="Z29">
        <f t="shared" si="12"/>
        <v>8.5234474435491813E-6</v>
      </c>
      <c r="AA29">
        <f t="shared" si="13"/>
        <v>3.1043412707720507E-6</v>
      </c>
      <c r="AC29" s="10">
        <v>26</v>
      </c>
      <c r="AD29">
        <f>MC($AC29,0,$T$128,$AE$2,AD$3)+MC($AC29,0,$U$128,$AE$2,AD$3)-MC($AC29,0,$V$128,$AE$2,AD$3)</f>
        <v>-8.1192278264237139E-3</v>
      </c>
      <c r="AE29">
        <f>MC($AC29,0,$T$128,$AE$2,AE$3)+MC($AC29,0,$U$128,$AE$2,AE$3)-MC($AC29,0,$V$128,$AE$2,AE$3)</f>
        <v>-8.8680532223202047E-3</v>
      </c>
      <c r="AF29">
        <f>MC($AC29,0,$T$128,$AE$2,AF$3)+MC($AC29,0,$U$128,$AE$2,AF$3)-MC($AC29,0,$V$128,$AE$2,AF$3)</f>
        <v>-1.0052674327724054E-2</v>
      </c>
      <c r="AG29">
        <f>MC($AC29,0,$T$128,$AE$2,AG$3)+MC($AC29,0,$U$128,$AE$2,AG$3)-MC($AC29,0,$V$128,$AE$2,AG$3)</f>
        <v>-1.0125468358315182E-2</v>
      </c>
      <c r="AH29">
        <f>MC($AC29,0,$T$128,$AE$2,AH$3)+MC($AC29,0,$U$128,$AE$2,AH$3)-MC($AC29,0,$V$128,$AE$2,AH$3)</f>
        <v>-1.1197506022477599E-2</v>
      </c>
      <c r="AI29">
        <f>MC($AC29,0,$T$128,$AE$2,AI$3)+MC($AC29,0,$U$128,$AE$2,AI$3)-MC($AC29,0,$V$128,$AE$2,AI$3)</f>
        <v>-1.0969541564959107E-2</v>
      </c>
      <c r="AJ29">
        <f>MC($AC29,0,$T$128,$AE$2,AJ$3)+MC($AC29,0,$U$128,$AE$2,AJ$3)-MC($AC29,0,$V$128,$AE$2,AJ$3)</f>
        <v>-1.1870000213963339E-2</v>
      </c>
      <c r="AK29">
        <f>MC($AC29,0,$T$128,$AE$2,AK$3)+MC($AC29,0,$U$128,$AE$2,AK$3)-MC($AC29,0,$V$128,$AE$2,AK$3)</f>
        <v>-1.2310363706883987E-2</v>
      </c>
      <c r="AL29">
        <f>MC($AC29,0,$T$128,$AE$2,AL$3)+MC($AC29,0,$U$128,$AE$2,AL$3)-MC($AC29,0,$V$128,$AE$2,AL$3)</f>
        <v>-1.5007632690738459E-2</v>
      </c>
      <c r="AM29">
        <f>MC($AC29,0,$T$128,$AE$2,AM$3)+MC($AC29,0,$U$128,$AE$2,AM$3)-MC($AC29,0,$V$128,$AE$2,AM$3)</f>
        <v>-1.4311712514858632E-2</v>
      </c>
      <c r="AN29">
        <f>MC($AC29,0,$T$128,$AE$2,AN$3)+MC($AC29,0,$U$128,$AE$2,AN$3)-MC($AC29,0,$V$128,$AE$2,AN$3)</f>
        <v>-1.8467956159262222E-2</v>
      </c>
      <c r="AP29" s="10">
        <v>26</v>
      </c>
      <c r="AQ29">
        <f t="shared" si="9"/>
        <v>-0.13705183618837463</v>
      </c>
      <c r="AR29">
        <f t="shared" si="9"/>
        <v>-0.14338318034667896</v>
      </c>
      <c r="AS29">
        <f t="shared" si="9"/>
        <v>-0.1502613257974269</v>
      </c>
      <c r="AT29">
        <f t="shared" si="9"/>
        <v>-0.15782421533411611</v>
      </c>
      <c r="AU29">
        <f t="shared" si="9"/>
        <v>-0.16627077811429858</v>
      </c>
      <c r="AV29">
        <f t="shared" si="9"/>
        <v>-0.17590412738406624</v>
      </c>
      <c r="AW29">
        <f t="shared" si="9"/>
        <v>-0.18722207291952409</v>
      </c>
      <c r="AX29">
        <f t="shared" si="9"/>
        <v>-0.20113604822366116</v>
      </c>
      <c r="AY29">
        <f t="shared" si="9"/>
        <v>-0.21963225424515276</v>
      </c>
      <c r="AZ29">
        <f t="shared" si="9"/>
        <v>-0.2487845642127795</v>
      </c>
      <c r="BA29">
        <f t="shared" si="9"/>
        <v>-0.27546463618822914</v>
      </c>
    </row>
    <row r="30" spans="1:53">
      <c r="A30" s="3" t="s">
        <v>44</v>
      </c>
      <c r="B30" s="1">
        <v>89.080001999999993</v>
      </c>
      <c r="C30" s="1">
        <v>89.690002000000007</v>
      </c>
      <c r="D30" s="1">
        <v>86.669998000000007</v>
      </c>
      <c r="E30" s="1">
        <v>87.970000999999996</v>
      </c>
      <c r="F30" s="1">
        <v>87.970000999999996</v>
      </c>
      <c r="G30" s="1">
        <v>16004800</v>
      </c>
      <c r="H30" s="4">
        <v>44917</v>
      </c>
      <c r="I30" s="2">
        <v>52.709999000000003</v>
      </c>
      <c r="J30" s="2">
        <v>53.487000000000002</v>
      </c>
      <c r="K30" s="2">
        <v>48.439999</v>
      </c>
      <c r="L30" s="2">
        <v>50.23</v>
      </c>
      <c r="M30" s="2">
        <v>50.23</v>
      </c>
      <c r="N30" s="2">
        <v>4393500</v>
      </c>
      <c r="O30">
        <f t="shared" si="1"/>
        <v>0.36345875279696999</v>
      </c>
      <c r="P30">
        <f t="shared" si="2"/>
        <v>0.63654124720303007</v>
      </c>
      <c r="Q30">
        <f t="shared" si="3"/>
        <v>181.72937639848499</v>
      </c>
      <c r="R30">
        <f t="shared" si="4"/>
        <v>318.27062360151501</v>
      </c>
      <c r="S30">
        <f t="shared" si="5"/>
        <v>500</v>
      </c>
      <c r="T30" s="10">
        <f t="shared" si="6"/>
        <v>1.8221501383020558E-3</v>
      </c>
      <c r="U30" s="11">
        <f t="shared" si="7"/>
        <v>-4.2143383717455893E-2</v>
      </c>
      <c r="V30">
        <f t="shared" si="10"/>
        <v>-2.6163725616189151E-2</v>
      </c>
      <c r="W30">
        <v>96</v>
      </c>
      <c r="X30">
        <f t="shared" si="8"/>
        <v>1.5791565861505066E-4</v>
      </c>
      <c r="Y30">
        <f t="shared" si="11"/>
        <v>1.235230318512853E-6</v>
      </c>
      <c r="Z30">
        <f t="shared" si="12"/>
        <v>1.4350339685874686E-5</v>
      </c>
      <c r="AA30">
        <f t="shared" si="13"/>
        <v>5.7754424337605118E-6</v>
      </c>
      <c r="AC30" s="10">
        <v>27</v>
      </c>
      <c r="AD30">
        <f>MC($AC30,0,$T$128,$AE$2,AD$3)+MC($AC30,0,$U$128,$AE$2,AD$3)-MC($AC30,0,$V$128,$AE$2,AD$3)</f>
        <v>-1.0010693205236176E-2</v>
      </c>
      <c r="AE30">
        <f>MC($AC30,0,$T$128,$AE$2,AE$3)+MC($AC30,0,$U$128,$AE$2,AE$3)-MC($AC30,0,$V$128,$AE$2,AE$3)</f>
        <v>-9.336114350595226E-3</v>
      </c>
      <c r="AF30">
        <f>MC($AC30,0,$T$128,$AE$2,AF$3)+MC($AC30,0,$U$128,$AE$2,AF$3)-MC($AC30,0,$V$128,$AE$2,AF$3)</f>
        <v>-8.791716786914483E-3</v>
      </c>
      <c r="AG30">
        <f>MC($AC30,0,$T$128,$AE$2,AG$3)+MC($AC30,0,$U$128,$AE$2,AG$3)-MC($AC30,0,$V$128,$AE$2,AG$3)</f>
        <v>-1.04225191277727E-2</v>
      </c>
      <c r="AH30">
        <f>MC($AC30,0,$T$128,$AE$2,AH$3)+MC($AC30,0,$U$128,$AE$2,AH$3)-MC($AC30,0,$V$128,$AE$2,AH$3)</f>
        <v>-1.1960055896746091E-2</v>
      </c>
      <c r="AI30">
        <f>MC($AC30,0,$T$128,$AE$2,AI$3)+MC($AC30,0,$U$128,$AE$2,AI$3)-MC($AC30,0,$V$128,$AE$2,AI$3)</f>
        <v>-1.276006425870313E-2</v>
      </c>
      <c r="AJ30">
        <f>MC($AC30,0,$T$128,$AE$2,AJ$3)+MC($AC30,0,$U$128,$AE$2,AJ$3)-MC($AC30,0,$V$128,$AE$2,AJ$3)</f>
        <v>-1.2276470399285699E-2</v>
      </c>
      <c r="AK30">
        <f>MC($AC30,0,$T$128,$AE$2,AK$3)+MC($AC30,0,$U$128,$AE$2,AK$3)-MC($AC30,0,$V$128,$AE$2,AK$3)</f>
        <v>-1.4718293232308888E-2</v>
      </c>
      <c r="AL30">
        <f>MC($AC30,0,$T$128,$AE$2,AL$3)+MC($AC30,0,$U$128,$AE$2,AL$3)-MC($AC30,0,$V$128,$AE$2,AL$3)</f>
        <v>-1.4060013222562784E-2</v>
      </c>
      <c r="AM30">
        <f>MC($AC30,0,$T$128,$AE$2,AM$3)+MC($AC30,0,$U$128,$AE$2,AM$3)-MC($AC30,0,$V$128,$AE$2,AM$3)</f>
        <v>-1.5266835457326655E-2</v>
      </c>
      <c r="AN30">
        <f>MC($AC30,0,$T$128,$AE$2,AN$3)+MC($AC30,0,$U$128,$AE$2,AN$3)-MC($AC30,0,$V$128,$AE$2,AN$3)</f>
        <v>-1.6221310815003553E-2</v>
      </c>
      <c r="AP30" s="10">
        <v>27</v>
      </c>
      <c r="AQ30">
        <f t="shared" si="9"/>
        <v>-0.13966258194309933</v>
      </c>
      <c r="AR30">
        <f t="shared" si="9"/>
        <v>-0.14611453397024149</v>
      </c>
      <c r="AS30">
        <f t="shared" si="9"/>
        <v>-0.1531237034884908</v>
      </c>
      <c r="AT30">
        <f t="shared" si="9"/>
        <v>-0.16083066100923982</v>
      </c>
      <c r="AU30">
        <f t="shared" si="9"/>
        <v>-0.1694381251573549</v>
      </c>
      <c r="AV30">
        <f t="shared" si="9"/>
        <v>-0.17925498328340117</v>
      </c>
      <c r="AW30">
        <f t="shared" si="9"/>
        <v>-0.19078852810654973</v>
      </c>
      <c r="AX30">
        <f t="shared" si="9"/>
        <v>-0.20496755532802613</v>
      </c>
      <c r="AY30">
        <f t="shared" si="9"/>
        <v>-0.22381610169527399</v>
      </c>
      <c r="AZ30">
        <f t="shared" si="9"/>
        <v>-0.25352374365702157</v>
      </c>
      <c r="BA30">
        <f t="shared" si="9"/>
        <v>-0.2807120531474353</v>
      </c>
    </row>
    <row r="31" spans="1:53">
      <c r="A31" s="3" t="s">
        <v>45</v>
      </c>
      <c r="B31" s="1">
        <v>87.849997999999999</v>
      </c>
      <c r="C31" s="1">
        <v>88.650002000000001</v>
      </c>
      <c r="D31" s="1">
        <v>85.519997000000004</v>
      </c>
      <c r="E31" s="1">
        <v>85.650002000000001</v>
      </c>
      <c r="F31" s="1">
        <v>85.650002000000001</v>
      </c>
      <c r="G31" s="1">
        <v>17949300</v>
      </c>
      <c r="H31" s="4">
        <v>44918</v>
      </c>
      <c r="I31" s="2">
        <v>50</v>
      </c>
      <c r="J31" s="2">
        <v>50.290000999999997</v>
      </c>
      <c r="K31" s="2">
        <v>48.029998999999997</v>
      </c>
      <c r="L31" s="2">
        <v>49.919998</v>
      </c>
      <c r="M31" s="2">
        <v>49.919998</v>
      </c>
      <c r="N31" s="2">
        <v>3498100</v>
      </c>
      <c r="O31">
        <f t="shared" si="1"/>
        <v>0.36822304344619017</v>
      </c>
      <c r="P31">
        <f t="shared" si="2"/>
        <v>0.63177695655380983</v>
      </c>
      <c r="Q31">
        <f t="shared" si="3"/>
        <v>184.11152172309508</v>
      </c>
      <c r="R31">
        <f t="shared" si="4"/>
        <v>315.88847827690489</v>
      </c>
      <c r="S31">
        <f t="shared" si="5"/>
        <v>500</v>
      </c>
      <c r="T31" s="10">
        <f t="shared" si="6"/>
        <v>-2.6372615364639997E-2</v>
      </c>
      <c r="U31" s="11">
        <f t="shared" si="7"/>
        <v>-6.1716504081225807E-3</v>
      </c>
      <c r="V31">
        <f t="shared" si="10"/>
        <v>-1.3610111204961259E-2</v>
      </c>
      <c r="W31">
        <v>95</v>
      </c>
      <c r="X31">
        <f t="shared" si="8"/>
        <v>1.6799538150537305E-4</v>
      </c>
      <c r="Y31">
        <f t="shared" si="11"/>
        <v>2.178961494544965E-6</v>
      </c>
      <c r="Z31">
        <f t="shared" si="12"/>
        <v>1.1146144059530721E-5</v>
      </c>
      <c r="AA31">
        <f t="shared" si="13"/>
        <v>5.0662566493868254E-6</v>
      </c>
      <c r="AC31" s="10">
        <v>28</v>
      </c>
      <c r="AD31">
        <f>MC($AC31,0,$T$128,$AE$2,AD$3)+MC($AC31,0,$U$128,$AE$2,AD$3)-MC($AC31,0,$V$128,$AE$2,AD$3)</f>
        <v>-1.0351058340281494E-2</v>
      </c>
      <c r="AE31">
        <f>MC($AC31,0,$T$128,$AE$2,AE$3)+MC($AC31,0,$U$128,$AE$2,AE$3)-MC($AC31,0,$V$128,$AE$2,AE$3)</f>
        <v>-9.4288948616698676E-3</v>
      </c>
      <c r="AF31">
        <f>MC($AC31,0,$T$128,$AE$2,AF$3)+MC($AC31,0,$U$128,$AE$2,AF$3)-MC($AC31,0,$V$128,$AE$2,AF$3)</f>
        <v>-1.0985928202080109E-2</v>
      </c>
      <c r="AG31">
        <f>MC($AC31,0,$T$128,$AE$2,AG$3)+MC($AC31,0,$U$128,$AE$2,AG$3)-MC($AC31,0,$V$128,$AE$2,AG$3)</f>
        <v>-1.0757766351202402E-2</v>
      </c>
      <c r="AH31">
        <f>MC($AC31,0,$T$128,$AE$2,AH$3)+MC($AC31,0,$U$128,$AE$2,AH$3)-MC($AC31,0,$V$128,$AE$2,AH$3)</f>
        <v>-1.113814179769701E-2</v>
      </c>
      <c r="AI31">
        <f>MC($AC31,0,$T$128,$AE$2,AI$3)+MC($AC31,0,$U$128,$AE$2,AI$3)-MC($AC31,0,$V$128,$AE$2,AI$3)</f>
        <v>-1.0792793874623507E-2</v>
      </c>
      <c r="AJ31">
        <f>MC($AC31,0,$T$128,$AE$2,AJ$3)+MC($AC31,0,$U$128,$AE$2,AJ$3)-MC($AC31,0,$V$128,$AE$2,AJ$3)</f>
        <v>-1.504915618653202E-2</v>
      </c>
      <c r="AK31">
        <f>MC($AC31,0,$T$128,$AE$2,AK$3)+MC($AC31,0,$U$128,$AE$2,AK$3)-MC($AC31,0,$V$128,$AE$2,AK$3)</f>
        <v>-1.367369262753293E-2</v>
      </c>
      <c r="AL31">
        <f>MC($AC31,0,$T$128,$AE$2,AL$3)+MC($AC31,0,$U$128,$AE$2,AL$3)-MC($AC31,0,$V$128,$AE$2,AL$3)</f>
        <v>-1.6614812016960467E-2</v>
      </c>
      <c r="AM31">
        <f>MC($AC31,0,$T$128,$AE$2,AM$3)+MC($AC31,0,$U$128,$AE$2,AM$3)-MC($AC31,0,$V$128,$AE$2,AM$3)</f>
        <v>-1.6709344461107722E-2</v>
      </c>
      <c r="AN31">
        <f>MC($AC31,0,$T$128,$AE$2,AN$3)+MC($AC31,0,$U$128,$AE$2,AN$3)-MC($AC31,0,$V$128,$AE$2,AN$3)</f>
        <v>-1.7373741576724777E-2</v>
      </c>
      <c r="AP31" s="10">
        <v>28</v>
      </c>
      <c r="AQ31">
        <f t="shared" si="9"/>
        <v>-0.14222541189049459</v>
      </c>
      <c r="AR31">
        <f t="shared" si="9"/>
        <v>-0.14879575823373958</v>
      </c>
      <c r="AS31">
        <f t="shared" si="9"/>
        <v>-0.15593354709510732</v>
      </c>
      <c r="AT31">
        <f t="shared" si="9"/>
        <v>-0.16378192847658324</v>
      </c>
      <c r="AU31">
        <f t="shared" si="9"/>
        <v>-0.17254734092110668</v>
      </c>
      <c r="AV31">
        <f t="shared" si="9"/>
        <v>-0.18254433990982893</v>
      </c>
      <c r="AW31">
        <f t="shared" si="9"/>
        <v>-0.19428952706166086</v>
      </c>
      <c r="AX31">
        <f t="shared" si="9"/>
        <v>-0.20872874162238431</v>
      </c>
      <c r="AY31">
        <f t="shared" si="9"/>
        <v>-0.22792316172633942</v>
      </c>
      <c r="AZ31">
        <f t="shared" si="9"/>
        <v>-0.25817594350597373</v>
      </c>
      <c r="BA31">
        <f t="shared" si="9"/>
        <v>-0.28586316267435308</v>
      </c>
    </row>
    <row r="32" spans="1:53">
      <c r="A32" s="3" t="s">
        <v>46</v>
      </c>
      <c r="B32" s="1">
        <v>86.550003000000004</v>
      </c>
      <c r="C32" s="1">
        <v>90.689003</v>
      </c>
      <c r="D32" s="1">
        <v>86.209998999999996</v>
      </c>
      <c r="E32" s="1">
        <v>89.860000999999997</v>
      </c>
      <c r="F32" s="1">
        <v>89.860000999999997</v>
      </c>
      <c r="G32" s="1">
        <v>22959900</v>
      </c>
      <c r="H32" s="4">
        <v>44922</v>
      </c>
      <c r="I32" s="2">
        <v>48.52</v>
      </c>
      <c r="J32" s="2">
        <v>50.419998</v>
      </c>
      <c r="K32" s="2">
        <v>47.576000000000001</v>
      </c>
      <c r="L32" s="2">
        <v>50.25</v>
      </c>
      <c r="M32" s="2">
        <v>50.25</v>
      </c>
      <c r="N32" s="2">
        <v>2937400</v>
      </c>
      <c r="O32">
        <f t="shared" si="1"/>
        <v>0.35864677497218772</v>
      </c>
      <c r="P32">
        <f t="shared" si="2"/>
        <v>0.64135322502781222</v>
      </c>
      <c r="Q32">
        <f t="shared" si="3"/>
        <v>179.32338748609385</v>
      </c>
      <c r="R32">
        <f t="shared" si="4"/>
        <v>320.67661251390609</v>
      </c>
      <c r="S32">
        <f t="shared" si="5"/>
        <v>499.99999999999994</v>
      </c>
      <c r="T32" s="10">
        <f t="shared" si="6"/>
        <v>4.9153518992328761E-2</v>
      </c>
      <c r="U32" s="11">
        <f t="shared" si="7"/>
        <v>6.610617252027942E-3</v>
      </c>
      <c r="V32">
        <f t="shared" si="10"/>
        <v>2.1868491759145504E-2</v>
      </c>
      <c r="W32">
        <v>94</v>
      </c>
      <c r="X32">
        <f t="shared" si="8"/>
        <v>1.7871849096316283E-4</v>
      </c>
      <c r="Y32">
        <f t="shared" si="11"/>
        <v>2.2771523546409285E-7</v>
      </c>
      <c r="Z32">
        <f t="shared" si="12"/>
        <v>1.0050276149362921E-5</v>
      </c>
      <c r="AA32">
        <f t="shared" si="13"/>
        <v>3.1758075450602349E-6</v>
      </c>
      <c r="AC32" s="10">
        <v>29</v>
      </c>
      <c r="AD32">
        <f>MC($AC32,0,$T$128,$AE$2,AD$3)+MC($AC32,0,$U$128,$AE$2,AD$3)-MC($AC32,0,$V$128,$AE$2,AD$3)</f>
        <v>-8.4467970400898817E-3</v>
      </c>
      <c r="AE32">
        <f>MC($AC32,0,$T$128,$AE$2,AE$3)+MC($AC32,0,$U$128,$AE$2,AE$3)-MC($AC32,0,$V$128,$AE$2,AE$3)</f>
        <v>-8.7153770321539703E-3</v>
      </c>
      <c r="AF32">
        <f>MC($AC32,0,$T$128,$AE$2,AF$3)+MC($AC32,0,$U$128,$AE$2,AF$3)-MC($AC32,0,$V$128,$AE$2,AF$3)</f>
        <v>-7.5156004033594126E-3</v>
      </c>
      <c r="AG32">
        <f>MC($AC32,0,$T$128,$AE$2,AG$3)+MC($AC32,0,$U$128,$AE$2,AG$3)-MC($AC32,0,$V$128,$AE$2,AG$3)</f>
        <v>-9.0068909655709462E-3</v>
      </c>
      <c r="AH32">
        <f>MC($AC32,0,$T$128,$AE$2,AH$3)+MC($AC32,0,$U$128,$AE$2,AH$3)-MC($AC32,0,$V$128,$AE$2,AH$3)</f>
        <v>-1.1833153198886226E-2</v>
      </c>
      <c r="AI32">
        <f>MC($AC32,0,$T$128,$AE$2,AI$3)+MC($AC32,0,$U$128,$AE$2,AI$3)-MC($AC32,0,$V$128,$AE$2,AI$3)</f>
        <v>-1.0593120364628783E-2</v>
      </c>
      <c r="AJ32">
        <f>MC($AC32,0,$T$128,$AE$2,AJ$3)+MC($AC32,0,$U$128,$AE$2,AJ$3)-MC($AC32,0,$V$128,$AE$2,AJ$3)</f>
        <v>-1.238075295969665E-2</v>
      </c>
      <c r="AK32">
        <f>MC($AC32,0,$T$128,$AE$2,AK$3)+MC($AC32,0,$U$128,$AE$2,AK$3)-MC($AC32,0,$V$128,$AE$2,AK$3)</f>
        <v>-1.4044392716553222E-2</v>
      </c>
      <c r="AL32">
        <f>MC($AC32,0,$T$128,$AE$2,AL$3)+MC($AC32,0,$U$128,$AE$2,AL$3)-MC($AC32,0,$V$128,$AE$2,AL$3)</f>
        <v>-1.5128778334899451E-2</v>
      </c>
      <c r="AM32">
        <f>MC($AC32,0,$T$128,$AE$2,AM$3)+MC($AC32,0,$U$128,$AE$2,AM$3)-MC($AC32,0,$V$128,$AE$2,AM$3)</f>
        <v>-2.1147500087036919E-2</v>
      </c>
      <c r="AN32">
        <f>MC($AC32,0,$T$128,$AE$2,AN$3)+MC($AC32,0,$U$128,$AE$2,AN$3)-MC($AC32,0,$V$128,$AE$2,AN$3)</f>
        <v>-1.3926247967084304E-2</v>
      </c>
      <c r="AP32" s="10">
        <v>29</v>
      </c>
      <c r="AQ32">
        <f t="shared" si="9"/>
        <v>-0.1447428712573739</v>
      </c>
      <c r="AR32">
        <f t="shared" si="9"/>
        <v>-0.15142951594509602</v>
      </c>
      <c r="AS32">
        <f t="shared" si="9"/>
        <v>-0.15869364716110351</v>
      </c>
      <c r="AT32">
        <f t="shared" si="9"/>
        <v>-0.16668094873244582</v>
      </c>
      <c r="AU32">
        <f t="shared" si="9"/>
        <v>-0.17560151326526141</v>
      </c>
      <c r="AV32">
        <f t="shared" si="9"/>
        <v>-0.185775464026598</v>
      </c>
      <c r="AW32">
        <f t="shared" si="9"/>
        <v>-0.19772854673674206</v>
      </c>
      <c r="AX32">
        <f t="shared" si="9"/>
        <v>-0.21242334245882821</v>
      </c>
      <c r="AY32">
        <f t="shared" si="9"/>
        <v>-0.23195751318849933</v>
      </c>
      <c r="AZ32">
        <f t="shared" si="9"/>
        <v>-0.26274578400523996</v>
      </c>
      <c r="BA32">
        <f t="shared" si="9"/>
        <v>-0.29092308049743776</v>
      </c>
    </row>
    <row r="33" spans="1:53">
      <c r="A33" s="3" t="s">
        <v>47</v>
      </c>
      <c r="B33" s="1">
        <v>88.980002999999996</v>
      </c>
      <c r="C33" s="1">
        <v>90.150002000000001</v>
      </c>
      <c r="D33" s="1">
        <v>86.464995999999999</v>
      </c>
      <c r="E33" s="1">
        <v>87.199996999999996</v>
      </c>
      <c r="F33" s="1">
        <v>87.199996999999996</v>
      </c>
      <c r="G33" s="1">
        <v>16268800</v>
      </c>
      <c r="H33" s="4">
        <v>44923</v>
      </c>
      <c r="I33" s="2">
        <v>50.060001</v>
      </c>
      <c r="J33" s="2">
        <v>50.689999</v>
      </c>
      <c r="K33" s="2">
        <v>48.27</v>
      </c>
      <c r="L33" s="2">
        <v>48.919998</v>
      </c>
      <c r="M33" s="2">
        <v>48.919998</v>
      </c>
      <c r="N33" s="2">
        <v>2948300</v>
      </c>
      <c r="O33">
        <f t="shared" si="1"/>
        <v>0.35938877311889411</v>
      </c>
      <c r="P33">
        <f t="shared" si="2"/>
        <v>0.64061122688110594</v>
      </c>
      <c r="Q33">
        <f t="shared" si="3"/>
        <v>179.69438655944705</v>
      </c>
      <c r="R33">
        <f t="shared" si="4"/>
        <v>320.30561344055297</v>
      </c>
      <c r="S33">
        <f t="shared" si="5"/>
        <v>500</v>
      </c>
      <c r="T33" s="10">
        <f t="shared" si="6"/>
        <v>-2.9601646677034878E-2</v>
      </c>
      <c r="U33" s="11">
        <f t="shared" si="7"/>
        <v>-2.646770149253732E-2</v>
      </c>
      <c r="V33">
        <f t="shared" si="10"/>
        <v>-2.7594006207415762E-2</v>
      </c>
      <c r="W33">
        <v>93</v>
      </c>
      <c r="X33">
        <f t="shared" si="8"/>
        <v>1.9012605421613062E-4</v>
      </c>
      <c r="Y33">
        <f t="shared" si="11"/>
        <v>2.3792229188927934E-6</v>
      </c>
      <c r="Z33">
        <f t="shared" si="12"/>
        <v>1.3130075453082746E-5</v>
      </c>
      <c r="AA33">
        <f t="shared" si="13"/>
        <v>6.0265986054086103E-6</v>
      </c>
      <c r="AC33" s="10">
        <v>30</v>
      </c>
      <c r="AD33">
        <f>MC($AC33,0,$T$128,$AE$2,AD$3)+MC($AC33,0,$U$128,$AE$2,AD$3)-MC($AC33,0,$V$128,$AE$2,AD$3)</f>
        <v>-1.0716543959655489E-2</v>
      </c>
      <c r="AE33">
        <f>MC($AC33,0,$T$128,$AE$2,AE$3)+MC($AC33,0,$U$128,$AE$2,AE$3)-MC($AC33,0,$V$128,$AE$2,AE$3)</f>
        <v>-9.548085191487532E-3</v>
      </c>
      <c r="AF33">
        <f>MC($AC33,0,$T$128,$AE$2,AF$3)+MC($AC33,0,$U$128,$AE$2,AF$3)-MC($AC33,0,$V$128,$AE$2,AF$3)</f>
        <v>-1.1331144311775621E-2</v>
      </c>
      <c r="AG33">
        <f>MC($AC33,0,$T$128,$AE$2,AG$3)+MC($AC33,0,$U$128,$AE$2,AG$3)-MC($AC33,0,$V$128,$AE$2,AG$3)</f>
        <v>-1.107032932996499E-2</v>
      </c>
      <c r="AH33">
        <f>MC($AC33,0,$T$128,$AE$2,AH$3)+MC($AC33,0,$U$128,$AE$2,AH$3)-MC($AC33,0,$V$128,$AE$2,AH$3)</f>
        <v>-1.0977440136881844E-2</v>
      </c>
      <c r="AI33">
        <f>MC($AC33,0,$T$128,$AE$2,AI$3)+MC($AC33,0,$U$128,$AE$2,AI$3)-MC($AC33,0,$V$128,$AE$2,AI$3)</f>
        <v>-1.4465171322545212E-2</v>
      </c>
      <c r="AJ33">
        <f>MC($AC33,0,$T$128,$AE$2,AJ$3)+MC($AC33,0,$U$128,$AE$2,AJ$3)-MC($AC33,0,$V$128,$AE$2,AJ$3)</f>
        <v>-1.2442383417874625E-2</v>
      </c>
      <c r="AK33">
        <f>MC($AC33,0,$T$128,$AE$2,AK$3)+MC($AC33,0,$U$128,$AE$2,AK$3)-MC($AC33,0,$V$128,$AE$2,AK$3)</f>
        <v>-1.3535011720650525E-2</v>
      </c>
      <c r="AL33">
        <f>MC($AC33,0,$T$128,$AE$2,AL$3)+MC($AC33,0,$U$128,$AE$2,AL$3)-MC($AC33,0,$V$128,$AE$2,AL$3)</f>
        <v>-1.6097726062865636E-2</v>
      </c>
      <c r="AM33">
        <f>MC($AC33,0,$T$128,$AE$2,AM$3)+MC($AC33,0,$U$128,$AE$2,AM$3)-MC($AC33,0,$V$128,$AE$2,AM$3)</f>
        <v>-1.4145836578168369E-2</v>
      </c>
      <c r="AN33">
        <f>MC($AC33,0,$T$128,$AE$2,AN$3)+MC($AC33,0,$U$128,$AE$2,AN$3)-MC($AC33,0,$V$128,$AE$2,AN$3)</f>
        <v>-1.996153547391466E-2</v>
      </c>
      <c r="AP33" s="10">
        <v>30</v>
      </c>
      <c r="AQ33">
        <f t="shared" si="9"/>
        <v>-0.14721728761336639</v>
      </c>
      <c r="AR33">
        <f t="shared" si="9"/>
        <v>-0.15401824220000293</v>
      </c>
      <c r="AS33">
        <f t="shared" si="9"/>
        <v>-0.16140655559463385</v>
      </c>
      <c r="AT33">
        <f t="shared" si="9"/>
        <v>-0.16953040212654424</v>
      </c>
      <c r="AU33">
        <f t="shared" si="9"/>
        <v>-0.17860346598863908</v>
      </c>
      <c r="AV33">
        <f t="shared" si="9"/>
        <v>-0.18895134303698535</v>
      </c>
      <c r="AW33">
        <f t="shared" si="9"/>
        <v>-0.20110876674924982</v>
      </c>
      <c r="AX33">
        <f t="shared" si="9"/>
        <v>-0.21605477375771454</v>
      </c>
      <c r="AY33">
        <f t="shared" si="9"/>
        <v>-0.23592288612564649</v>
      </c>
      <c r="AZ33">
        <f t="shared" si="9"/>
        <v>-0.26723749029628474</v>
      </c>
      <c r="BA33">
        <f t="shared" si="9"/>
        <v>-0.29589648486937781</v>
      </c>
    </row>
    <row r="34" spans="1:53">
      <c r="A34" s="3" t="s">
        <v>48</v>
      </c>
      <c r="B34" s="1">
        <v>87.625</v>
      </c>
      <c r="C34" s="1">
        <v>89.519997000000004</v>
      </c>
      <c r="D34" s="1">
        <v>87.059997999999993</v>
      </c>
      <c r="E34" s="1">
        <v>89.129997000000003</v>
      </c>
      <c r="F34" s="1">
        <v>89.129997000000003</v>
      </c>
      <c r="G34" s="1">
        <v>12535400</v>
      </c>
      <c r="H34" s="4">
        <v>44924</v>
      </c>
      <c r="I34" s="2">
        <v>48.75</v>
      </c>
      <c r="J34" s="2">
        <v>53.16</v>
      </c>
      <c r="K34" s="2">
        <v>47.75</v>
      </c>
      <c r="L34" s="2">
        <v>52.810001</v>
      </c>
      <c r="M34" s="2">
        <v>52.810001</v>
      </c>
      <c r="N34" s="2">
        <v>6249700</v>
      </c>
      <c r="O34">
        <f t="shared" si="1"/>
        <v>0.37205862860446143</v>
      </c>
      <c r="P34">
        <f t="shared" si="2"/>
        <v>0.62794137139553852</v>
      </c>
      <c r="Q34">
        <f t="shared" si="3"/>
        <v>186.02931430223072</v>
      </c>
      <c r="R34">
        <f t="shared" si="4"/>
        <v>313.97068569776928</v>
      </c>
      <c r="S34">
        <f t="shared" si="5"/>
        <v>500</v>
      </c>
      <c r="T34" s="10">
        <f t="shared" si="6"/>
        <v>2.2133028284393255E-2</v>
      </c>
      <c r="U34" s="11">
        <f t="shared" si="7"/>
        <v>7.9517644297532469E-2</v>
      </c>
      <c r="V34">
        <f t="shared" si="10"/>
        <v>5.8167202760690276E-2</v>
      </c>
      <c r="W34">
        <v>92</v>
      </c>
      <c r="X34">
        <f t="shared" si="8"/>
        <v>2.0226175980439434E-4</v>
      </c>
      <c r="Y34">
        <f t="shared" si="11"/>
        <v>6.7163586411219441E-7</v>
      </c>
      <c r="Z34">
        <f t="shared" si="12"/>
        <v>4.527113343717149E-6</v>
      </c>
      <c r="AA34">
        <f t="shared" si="13"/>
        <v>1.5554657523976272E-6</v>
      </c>
      <c r="AC34" s="10">
        <v>31</v>
      </c>
      <c r="AD34">
        <f>MC($AC34,0,$T$128,$AE$2,AD$3)+MC($AC34,0,$U$128,$AE$2,AD$3)-MC($AC34,0,$V$128,$AE$2,AD$3)</f>
        <v>-1.2945475259357853E-2</v>
      </c>
      <c r="AE34">
        <f>MC($AC34,0,$T$128,$AE$2,AE$3)+MC($AC34,0,$U$128,$AE$2,AE$3)-MC($AC34,0,$V$128,$AE$2,AE$3)</f>
        <v>-8.5644475846746726E-3</v>
      </c>
      <c r="AF34">
        <f>MC($AC34,0,$T$128,$AE$2,AF$3)+MC($AC34,0,$U$128,$AE$2,AF$3)-MC($AC34,0,$V$128,$AE$2,AF$3)</f>
        <v>-8.6372466876862841E-3</v>
      </c>
      <c r="AG34">
        <f>MC($AC34,0,$T$128,$AE$2,AG$3)+MC($AC34,0,$U$128,$AE$2,AG$3)-MC($AC34,0,$V$128,$AE$2,AG$3)</f>
        <v>-1.2172923426231996E-2</v>
      </c>
      <c r="AH34">
        <f>MC($AC34,0,$T$128,$AE$2,AH$3)+MC($AC34,0,$U$128,$AE$2,AH$3)-MC($AC34,0,$V$128,$AE$2,AH$3)</f>
        <v>-1.0412338174284441E-2</v>
      </c>
      <c r="AI34">
        <f>MC($AC34,0,$T$128,$AE$2,AI$3)+MC($AC34,0,$U$128,$AE$2,AI$3)-MC($AC34,0,$V$128,$AE$2,AI$3)</f>
        <v>-1.4511383058768867E-2</v>
      </c>
      <c r="AJ34">
        <f>MC($AC34,0,$T$128,$AE$2,AJ$3)+MC($AC34,0,$U$128,$AE$2,AJ$3)-MC($AC34,0,$V$128,$AE$2,AJ$3)</f>
        <v>-1.4835247913591809E-2</v>
      </c>
      <c r="AK34">
        <f>MC($AC34,0,$T$128,$AE$2,AK$3)+MC($AC34,0,$U$128,$AE$2,AK$3)-MC($AC34,0,$V$128,$AE$2,AK$3)</f>
        <v>-1.6482496828920112E-2</v>
      </c>
      <c r="AL34">
        <f>MC($AC34,0,$T$128,$AE$2,AL$3)+MC($AC34,0,$U$128,$AE$2,AL$3)-MC($AC34,0,$V$128,$AE$2,AL$3)</f>
        <v>-1.8137305571611861E-2</v>
      </c>
      <c r="AM34">
        <f>MC($AC34,0,$T$128,$AE$2,AM$3)+MC($AC34,0,$U$128,$AE$2,AM$3)-MC($AC34,0,$V$128,$AE$2,AM$3)</f>
        <v>-1.773017146745115E-2</v>
      </c>
      <c r="AN34">
        <f>MC($AC34,0,$T$128,$AE$2,AN$3)+MC($AC34,0,$U$128,$AE$2,AN$3)-MC($AC34,0,$V$128,$AE$2,AN$3)</f>
        <v>-2.0368549992267893E-2</v>
      </c>
      <c r="AP34" s="10">
        <v>31</v>
      </c>
      <c r="AQ34">
        <f t="shared" si="9"/>
        <v>-0.1496507960708679</v>
      </c>
      <c r="AR34">
        <f t="shared" si="9"/>
        <v>-0.15656417074602785</v>
      </c>
      <c r="AS34">
        <f t="shared" si="9"/>
        <v>-0.16407461329698259</v>
      </c>
      <c r="AT34">
        <f t="shared" si="9"/>
        <v>-0.17233274738141741</v>
      </c>
      <c r="AU34">
        <f t="shared" si="9"/>
        <v>-0.18155578940166056</v>
      </c>
      <c r="AV34">
        <f t="shared" si="9"/>
        <v>-0.19207471732808357</v>
      </c>
      <c r="AW34">
        <f t="shared" si="9"/>
        <v>-0.20443310380705049</v>
      </c>
      <c r="AX34">
        <f t="shared" si="9"/>
        <v>-0.21962616899088727</v>
      </c>
      <c r="AY34">
        <f t="shared" si="9"/>
        <v>-0.23982270215956736</v>
      </c>
      <c r="AZ34">
        <f t="shared" si="9"/>
        <v>-0.27165493816086861</v>
      </c>
      <c r="BA34">
        <f t="shared" si="9"/>
        <v>-0.30078766721723993</v>
      </c>
    </row>
    <row r="35" spans="1:53">
      <c r="A35" s="3" t="s">
        <v>49</v>
      </c>
      <c r="B35" s="1">
        <v>87.449996999999996</v>
      </c>
      <c r="C35" s="1">
        <v>89.410004000000001</v>
      </c>
      <c r="D35" s="1">
        <v>87.410004000000001</v>
      </c>
      <c r="E35" s="1">
        <v>88.089995999999999</v>
      </c>
      <c r="F35" s="1">
        <v>88.089995999999999</v>
      </c>
      <c r="G35" s="1">
        <v>11926700</v>
      </c>
      <c r="H35" s="4">
        <v>44925</v>
      </c>
      <c r="I35" s="2">
        <v>52</v>
      </c>
      <c r="J35" s="2">
        <v>52.799999</v>
      </c>
      <c r="K35" s="2">
        <v>51.150002000000001</v>
      </c>
      <c r="L35" s="2">
        <v>52.029998999999997</v>
      </c>
      <c r="M35" s="2">
        <v>52.029998999999997</v>
      </c>
      <c r="N35" s="2">
        <v>3309000</v>
      </c>
      <c r="O35">
        <f t="shared" si="1"/>
        <v>0.37132458504583876</v>
      </c>
      <c r="P35">
        <f t="shared" si="2"/>
        <v>0.62867541495416135</v>
      </c>
      <c r="Q35">
        <f t="shared" si="3"/>
        <v>185.66229252291939</v>
      </c>
      <c r="R35">
        <f t="shared" si="4"/>
        <v>314.3377074770807</v>
      </c>
      <c r="S35">
        <f t="shared" si="5"/>
        <v>500.00000000000011</v>
      </c>
      <c r="T35" s="10">
        <f t="shared" si="6"/>
        <v>-1.1668361214014218E-2</v>
      </c>
      <c r="U35" s="11">
        <f t="shared" si="7"/>
        <v>-1.4769967529445855E-2</v>
      </c>
      <c r="V35">
        <f t="shared" si="10"/>
        <v>-1.3618264851392652E-2</v>
      </c>
      <c r="W35">
        <v>91</v>
      </c>
      <c r="X35">
        <f t="shared" si="8"/>
        <v>2.1517208489829181E-4</v>
      </c>
      <c r="Y35">
        <f t="shared" si="11"/>
        <v>1.7042449607278812E-6</v>
      </c>
      <c r="Z35">
        <f t="shared" si="12"/>
        <v>1.2077351423894606E-5</v>
      </c>
      <c r="AA35">
        <f t="shared" si="13"/>
        <v>5.1719525940005484E-6</v>
      </c>
      <c r="AC35" s="10">
        <v>32</v>
      </c>
      <c r="AD35">
        <f>MC($AC35,0,$T$128,$AE$2,AD$3)+MC($AC35,0,$U$128,$AE$2,AD$3)-MC($AC35,0,$V$128,$AE$2,AD$3)</f>
        <v>-1.0174807442143274E-2</v>
      </c>
      <c r="AE35">
        <f>MC($AC35,0,$T$128,$AE$2,AE$3)+MC($AC35,0,$U$128,$AE$2,AE$3)-MC($AC35,0,$V$128,$AE$2,AE$3)</f>
        <v>-9.4293999081609403E-3</v>
      </c>
      <c r="AF35">
        <f>MC($AC35,0,$T$128,$AE$2,AF$3)+MC($AC35,0,$U$128,$AE$2,AF$3)-MC($AC35,0,$V$128,$AE$2,AF$3)</f>
        <v>-1.0282052303425493E-2</v>
      </c>
      <c r="AG35">
        <f>MC($AC35,0,$T$128,$AE$2,AG$3)+MC($AC35,0,$U$128,$AE$2,AG$3)-MC($AC35,0,$V$128,$AE$2,AG$3)</f>
        <v>-7.8922251760071838E-3</v>
      </c>
      <c r="AH35">
        <f>MC($AC35,0,$T$128,$AE$2,AH$3)+MC($AC35,0,$U$128,$AE$2,AH$3)-MC($AC35,0,$V$128,$AE$2,AH$3)</f>
        <v>-1.1776542116518129E-2</v>
      </c>
      <c r="AI35">
        <f>MC($AC35,0,$T$128,$AE$2,AI$3)+MC($AC35,0,$U$128,$AE$2,AI$3)-MC($AC35,0,$V$128,$AE$2,AI$3)</f>
        <v>-1.2099222409605481E-2</v>
      </c>
      <c r="AJ35">
        <f>MC($AC35,0,$T$128,$AE$2,AJ$3)+MC($AC35,0,$U$128,$AE$2,AJ$3)-MC($AC35,0,$V$128,$AE$2,AJ$3)</f>
        <v>-1.2887312619835445E-2</v>
      </c>
      <c r="AK35">
        <f>MC($AC35,0,$T$128,$AE$2,AK$3)+MC($AC35,0,$U$128,$AE$2,AK$3)-MC($AC35,0,$V$128,$AE$2,AK$3)</f>
        <v>-1.4572289579496189E-2</v>
      </c>
      <c r="AL35">
        <f>MC($AC35,0,$T$128,$AE$2,AL$3)+MC($AC35,0,$U$128,$AE$2,AL$3)-MC($AC35,0,$V$128,$AE$2,AL$3)</f>
        <v>-1.5226642313461936E-2</v>
      </c>
      <c r="AM35">
        <f>MC($AC35,0,$T$128,$AE$2,AM$3)+MC($AC35,0,$U$128,$AE$2,AM$3)-MC($AC35,0,$V$128,$AE$2,AM$3)</f>
        <v>-1.8863743681771794E-2</v>
      </c>
      <c r="AN35">
        <f>MC($AC35,0,$T$128,$AE$2,AN$3)+MC($AC35,0,$U$128,$AE$2,AN$3)-MC($AC35,0,$V$128,$AE$2,AN$3)</f>
        <v>-1.3721177111740479E-2</v>
      </c>
      <c r="AP35" s="10">
        <v>32</v>
      </c>
      <c r="AQ35">
        <f t="shared" si="9"/>
        <v>-0.15204536085343867</v>
      </c>
      <c r="AR35">
        <f t="shared" si="9"/>
        <v>-0.15906935654740045</v>
      </c>
      <c r="AS35">
        <f t="shared" si="9"/>
        <v>-0.16669997380979151</v>
      </c>
      <c r="AT35">
        <f t="shared" si="9"/>
        <v>-0.17509024642985388</v>
      </c>
      <c r="AU35">
        <f t="shared" si="9"/>
        <v>-0.18446086649304588</v>
      </c>
      <c r="AV35">
        <f t="shared" si="9"/>
        <v>-0.19514810795353843</v>
      </c>
      <c r="AW35">
        <f t="shared" si="9"/>
        <v>-0.20770424117230835</v>
      </c>
      <c r="AX35">
        <f t="shared" si="9"/>
        <v>-0.22314041083526392</v>
      </c>
      <c r="AY35">
        <f t="shared" si="9"/>
        <v>-0.2436601090543512</v>
      </c>
      <c r="AZ35">
        <f t="shared" si="9"/>
        <v>-0.27600169317327372</v>
      </c>
      <c r="BA35">
        <f t="shared" si="9"/>
        <v>-0.30560057549344399</v>
      </c>
    </row>
    <row r="36" spans="1:53">
      <c r="A36" s="3" t="s">
        <v>50</v>
      </c>
      <c r="B36" s="1">
        <v>91.110000999999997</v>
      </c>
      <c r="C36" s="1">
        <v>94.449996999999996</v>
      </c>
      <c r="D36" s="1">
        <v>90.75</v>
      </c>
      <c r="E36" s="1">
        <v>91.980002999999996</v>
      </c>
      <c r="F36" s="1">
        <v>91.980002999999996</v>
      </c>
      <c r="G36" s="1">
        <v>27891000</v>
      </c>
      <c r="H36" s="4">
        <v>44929</v>
      </c>
      <c r="I36" s="2">
        <v>53.150002000000001</v>
      </c>
      <c r="J36" s="2">
        <v>54.509998000000003</v>
      </c>
      <c r="K36" s="2">
        <v>51.150002000000001</v>
      </c>
      <c r="L36" s="2">
        <v>52.98</v>
      </c>
      <c r="M36" s="2">
        <v>52.98</v>
      </c>
      <c r="N36" s="2">
        <v>4713300</v>
      </c>
      <c r="O36">
        <f t="shared" ref="O36:O67" si="14">M36/(F36+M36)</f>
        <v>0.36548012488658682</v>
      </c>
      <c r="P36">
        <f t="shared" ref="P36:P67" si="15">F36/(F36+M36)</f>
        <v>0.63451987511341312</v>
      </c>
      <c r="Q36">
        <f t="shared" ref="Q36:Q67" si="16">$R$2*O36</f>
        <v>182.7400624432934</v>
      </c>
      <c r="R36">
        <f t="shared" ref="R36:R67" si="17">$R$2*P36</f>
        <v>317.25993755670657</v>
      </c>
      <c r="S36">
        <f t="shared" si="5"/>
        <v>500</v>
      </c>
      <c r="T36" s="10">
        <f t="shared" si="6"/>
        <v>4.4159463919149197E-2</v>
      </c>
      <c r="U36" s="11">
        <f t="shared" si="7"/>
        <v>1.8258716476239032E-2</v>
      </c>
      <c r="V36">
        <f t="shared" si="10"/>
        <v>2.7724924886329785E-2</v>
      </c>
      <c r="W36">
        <v>90</v>
      </c>
      <c r="X36">
        <f t="shared" si="8"/>
        <v>2.2890647329605515E-4</v>
      </c>
      <c r="Y36">
        <f t="shared" si="11"/>
        <v>2.1733278430020173E-7</v>
      </c>
      <c r="Z36">
        <f t="shared" si="12"/>
        <v>8.8943722674376859E-6</v>
      </c>
      <c r="AA36">
        <f t="shared" si="13"/>
        <v>2.738896962645096E-6</v>
      </c>
      <c r="AC36" s="10">
        <v>33</v>
      </c>
      <c r="AD36">
        <f>MC($AC36,0,$T$128,$AE$2,AD$3)+MC($AC36,0,$U$128,$AE$2,AD$3)-MC($AC36,0,$V$128,$AE$2,AD$3)</f>
        <v>-1.142022136917209E-2</v>
      </c>
      <c r="AE36">
        <f>MC($AC36,0,$T$128,$AE$2,AE$3)+MC($AC36,0,$U$128,$AE$2,AE$3)-MC($AC36,0,$V$128,$AE$2,AE$3)</f>
        <v>-1.0121235433718789E-2</v>
      </c>
      <c r="AF36">
        <f>MC($AC36,0,$T$128,$AE$2,AF$3)+MC($AC36,0,$U$128,$AE$2,AF$3)-MC($AC36,0,$V$128,$AE$2,AF$3)</f>
        <v>-8.0539580531966415E-3</v>
      </c>
      <c r="AG36">
        <f>MC($AC36,0,$T$128,$AE$2,AG$3)+MC($AC36,0,$U$128,$AE$2,AG$3)-MC($AC36,0,$V$128,$AE$2,AG$3)</f>
        <v>-1.0798421230292954E-2</v>
      </c>
      <c r="AH36">
        <f>MC($AC36,0,$T$128,$AE$2,AH$3)+MC($AC36,0,$U$128,$AE$2,AH$3)-MC($AC36,0,$V$128,$AE$2,AH$3)</f>
        <v>-1.2017438627631716E-2</v>
      </c>
      <c r="AI36">
        <f>MC($AC36,0,$T$128,$AE$2,AI$3)+MC($AC36,0,$U$128,$AE$2,AI$3)-MC($AC36,0,$V$128,$AE$2,AI$3)</f>
        <v>-1.1764674955820675E-2</v>
      </c>
      <c r="AJ36">
        <f>MC($AC36,0,$T$128,$AE$2,AJ$3)+MC($AC36,0,$U$128,$AE$2,AJ$3)-MC($AC36,0,$V$128,$AE$2,AJ$3)</f>
        <v>-1.3726269285477155E-2</v>
      </c>
      <c r="AK36">
        <f>MC($AC36,0,$T$128,$AE$2,AK$3)+MC($AC36,0,$U$128,$AE$2,AK$3)-MC($AC36,0,$V$128,$AE$2,AK$3)</f>
        <v>-1.5317326861227443E-2</v>
      </c>
      <c r="AL36">
        <f>MC($AC36,0,$T$128,$AE$2,AL$3)+MC($AC36,0,$U$128,$AE$2,AL$3)-MC($AC36,0,$V$128,$AE$2,AL$3)</f>
        <v>-1.5380421769151553E-2</v>
      </c>
      <c r="AM36">
        <f>MC($AC36,0,$T$128,$AE$2,AM$3)+MC($AC36,0,$U$128,$AE$2,AM$3)-MC($AC36,0,$V$128,$AE$2,AM$3)</f>
        <v>-1.8380838135013455E-2</v>
      </c>
      <c r="AN36">
        <f>MC($AC36,0,$T$128,$AE$2,AN$3)+MC($AC36,0,$U$128,$AE$2,AN$3)-MC($AC36,0,$V$128,$AE$2,AN$3)</f>
        <v>-1.5899082547837118E-2</v>
      </c>
      <c r="AP36" s="10">
        <v>33</v>
      </c>
      <c r="AQ36">
        <f t="shared" si="9"/>
        <v>-0.15440279385250866</v>
      </c>
      <c r="AR36">
        <f t="shared" si="9"/>
        <v>-0.16153569519897631</v>
      </c>
      <c r="AS36">
        <f t="shared" si="9"/>
        <v>-0.16928462366031932</v>
      </c>
      <c r="AT36">
        <f t="shared" si="9"/>
        <v>-0.17780498578416348</v>
      </c>
      <c r="AU36">
        <f t="shared" si="9"/>
        <v>-0.18732089544274128</v>
      </c>
      <c r="AV36">
        <f t="shared" si="9"/>
        <v>-0.19817384045082376</v>
      </c>
      <c r="AW36">
        <f t="shared" si="9"/>
        <v>-0.2109246540112002</v>
      </c>
      <c r="AX36">
        <f t="shared" si="9"/>
        <v>-0.22660015840649117</v>
      </c>
      <c r="AY36">
        <f t="shared" si="9"/>
        <v>-0.24743801045441693</v>
      </c>
      <c r="AZ36">
        <f t="shared" si="9"/>
        <v>-0.28028104438552837</v>
      </c>
      <c r="BA36">
        <f t="shared" si="9"/>
        <v>-0.31033885147344875</v>
      </c>
    </row>
    <row r="37" spans="1:53">
      <c r="A37" s="3" t="s">
        <v>51</v>
      </c>
      <c r="B37" s="1">
        <v>98.849997999999999</v>
      </c>
      <c r="C37" s="1">
        <v>104.519997</v>
      </c>
      <c r="D37" s="1">
        <v>96.970000999999996</v>
      </c>
      <c r="E37" s="1">
        <v>103.91999800000001</v>
      </c>
      <c r="F37" s="1">
        <v>103.91999800000001</v>
      </c>
      <c r="G37" s="1">
        <v>53291800</v>
      </c>
      <c r="H37" s="4">
        <v>44930</v>
      </c>
      <c r="I37" s="2">
        <v>54.720001000000003</v>
      </c>
      <c r="J37" s="2">
        <v>55.869999</v>
      </c>
      <c r="K37" s="2">
        <v>53.689999</v>
      </c>
      <c r="L37" s="2">
        <v>55.669998</v>
      </c>
      <c r="M37" s="2">
        <v>55.669998</v>
      </c>
      <c r="N37" s="2">
        <v>4062400</v>
      </c>
      <c r="O37">
        <f t="shared" si="14"/>
        <v>0.34883137662338182</v>
      </c>
      <c r="P37">
        <f t="shared" si="15"/>
        <v>0.65116862337661818</v>
      </c>
      <c r="Q37">
        <f t="shared" si="16"/>
        <v>174.4156883116909</v>
      </c>
      <c r="R37">
        <f t="shared" si="17"/>
        <v>325.58431168830907</v>
      </c>
      <c r="S37">
        <f t="shared" si="5"/>
        <v>500</v>
      </c>
      <c r="T37" s="10">
        <f t="shared" ref="T37:T68" si="18">(F37-F36)/F36</f>
        <v>0.12981076984744186</v>
      </c>
      <c r="U37" s="11">
        <f t="shared" ref="U37:U68" si="19">(M37-M36)/M36</f>
        <v>5.0773839184598019E-2</v>
      </c>
      <c r="V37">
        <f t="shared" si="10"/>
        <v>7.8344400511804607E-2</v>
      </c>
      <c r="W37">
        <v>89</v>
      </c>
      <c r="X37">
        <f t="shared" si="8"/>
        <v>2.4351752478303737E-4</v>
      </c>
      <c r="Y37">
        <f t="shared" si="11"/>
        <v>7.9458715765108795E-7</v>
      </c>
      <c r="Z37">
        <f t="shared" si="12"/>
        <v>6.0824547003150414E-6</v>
      </c>
      <c r="AA37">
        <f t="shared" si="13"/>
        <v>7.2566842920409124E-7</v>
      </c>
      <c r="AC37" s="10">
        <v>34</v>
      </c>
      <c r="AD37">
        <f>MC($AC37,0,$T$128,$AE$2,AD$3)+MC($AC37,0,$U$128,$AE$2,AD$3)-MC($AC37,0,$V$128,$AE$2,AD$3)</f>
        <v>-9.8392686571973087E-3</v>
      </c>
      <c r="AE37">
        <f>MC($AC37,0,$T$128,$AE$2,AE$3)+MC($AC37,0,$U$128,$AE$2,AE$3)-MC($AC37,0,$V$128,$AE$2,AE$3)</f>
        <v>-9.7373851450142102E-3</v>
      </c>
      <c r="AF37">
        <f>MC($AC37,0,$T$128,$AE$2,AF$3)+MC($AC37,0,$U$128,$AE$2,AF$3)-MC($AC37,0,$V$128,$AE$2,AF$3)</f>
        <v>-1.2008549007408664E-2</v>
      </c>
      <c r="AG37">
        <f>MC($AC37,0,$T$128,$AE$2,AG$3)+MC($AC37,0,$U$128,$AE$2,AG$3)-MC($AC37,0,$V$128,$AE$2,AG$3)</f>
        <v>-1.1966891407745539E-2</v>
      </c>
      <c r="AH37">
        <f>MC($AC37,0,$T$128,$AE$2,AH$3)+MC($AC37,0,$U$128,$AE$2,AH$3)-MC($AC37,0,$V$128,$AE$2,AH$3)</f>
        <v>-1.3528383634621166E-2</v>
      </c>
      <c r="AI37">
        <f>MC($AC37,0,$T$128,$AE$2,AI$3)+MC($AC37,0,$U$128,$AE$2,AI$3)-MC($AC37,0,$V$128,$AE$2,AI$3)</f>
        <v>-1.1971452215322698E-2</v>
      </c>
      <c r="AJ37">
        <f>MC($AC37,0,$T$128,$AE$2,AJ$3)+MC($AC37,0,$U$128,$AE$2,AJ$3)-MC($AC37,0,$V$128,$AE$2,AJ$3)</f>
        <v>-1.3745068448792308E-2</v>
      </c>
      <c r="AK37">
        <f>MC($AC37,0,$T$128,$AE$2,AK$3)+MC($AC37,0,$U$128,$AE$2,AK$3)-MC($AC37,0,$V$128,$AE$2,AK$3)</f>
        <v>-1.414353784596889E-2</v>
      </c>
      <c r="AL37">
        <f>MC($AC37,0,$T$128,$AE$2,AL$3)+MC($AC37,0,$U$128,$AE$2,AL$3)-MC($AC37,0,$V$128,$AE$2,AL$3)</f>
        <v>-1.6310086582421057E-2</v>
      </c>
      <c r="AM37">
        <f>MC($AC37,0,$T$128,$AE$2,AM$3)+MC($AC37,0,$U$128,$AE$2,AM$3)-MC($AC37,0,$V$128,$AE$2,AM$3)</f>
        <v>-1.6596349747829864E-2</v>
      </c>
      <c r="AN37">
        <f>MC($AC37,0,$T$128,$AE$2,AN$3)+MC($AC37,0,$U$128,$AE$2,AN$3)-MC($AC37,0,$V$128,$AE$2,AN$3)</f>
        <v>-1.5360610642415784E-2</v>
      </c>
      <c r="AP37" s="10">
        <v>34</v>
      </c>
      <c r="AQ37">
        <f t="shared" ref="AQ37:BA68" si="20">$T$128*SQRT($AP37)*_xlfn.NORM.INV(1-AQ$3,0,1)+$U$128*SQRT($AP37)*_xlfn.NORM.INV(1-AQ$3,0,1)-$V$128*SQRT($AP37)*_xlfn.NORM.INV(1-AQ$3,0,1)</f>
        <v>-0.15672477067097002</v>
      </c>
      <c r="AR37">
        <f t="shared" si="20"/>
        <v>-0.16396493971099191</v>
      </c>
      <c r="AS37">
        <f t="shared" si="20"/>
        <v>-0.17183039995136706</v>
      </c>
      <c r="AT37">
        <f t="shared" si="20"/>
        <v>-0.18047889501142839</v>
      </c>
      <c r="AU37">
        <f t="shared" si="20"/>
        <v>-0.19013790908594635</v>
      </c>
      <c r="AV37">
        <f t="shared" si="20"/>
        <v>-0.20115406543296921</v>
      </c>
      <c r="AW37">
        <f t="shared" si="20"/>
        <v>-0.2140966313105479</v>
      </c>
      <c r="AX37">
        <f t="shared" si="20"/>
        <v>-0.23000787080437823</v>
      </c>
      <c r="AY37">
        <f t="shared" si="20"/>
        <v>-0.25115909159515215</v>
      </c>
      <c r="AZ37">
        <f t="shared" si="20"/>
        <v>-0.28449603345068109</v>
      </c>
      <c r="BA37">
        <f t="shared" si="20"/>
        <v>-0.31500586300225331</v>
      </c>
    </row>
    <row r="38" spans="1:53">
      <c r="A38" s="3" t="s">
        <v>52</v>
      </c>
      <c r="B38" s="1">
        <v>101.400002</v>
      </c>
      <c r="C38" s="1">
        <v>105.699997</v>
      </c>
      <c r="D38" s="1">
        <v>100.639999</v>
      </c>
      <c r="E38" s="1">
        <v>104.58000199999999</v>
      </c>
      <c r="F38" s="1">
        <v>104.58000199999999</v>
      </c>
      <c r="G38" s="1">
        <v>30400400</v>
      </c>
      <c r="H38" s="4">
        <v>44931</v>
      </c>
      <c r="I38" s="2">
        <v>55.880001</v>
      </c>
      <c r="J38" s="2">
        <v>56.25</v>
      </c>
      <c r="K38" s="2">
        <v>54.32</v>
      </c>
      <c r="L38" s="2">
        <v>55.84</v>
      </c>
      <c r="M38" s="2">
        <v>55.84</v>
      </c>
      <c r="N38" s="2">
        <v>2944100</v>
      </c>
      <c r="O38">
        <f t="shared" si="14"/>
        <v>0.34808626919229185</v>
      </c>
      <c r="P38">
        <f t="shared" si="15"/>
        <v>0.65191373080770809</v>
      </c>
      <c r="Q38">
        <f t="shared" si="16"/>
        <v>174.04313459614593</v>
      </c>
      <c r="R38">
        <f t="shared" si="17"/>
        <v>325.95686540385407</v>
      </c>
      <c r="S38">
        <f t="shared" si="5"/>
        <v>500</v>
      </c>
      <c r="T38" s="10">
        <f t="shared" si="18"/>
        <v>6.3510778743470185E-3</v>
      </c>
      <c r="U38" s="11">
        <f t="shared" si="19"/>
        <v>3.053745394422392E-3</v>
      </c>
      <c r="V38">
        <f t="shared" si="10"/>
        <v>4.2015015556459232E-3</v>
      </c>
      <c r="W38">
        <v>88</v>
      </c>
      <c r="X38">
        <f t="shared" si="8"/>
        <v>2.5906119657769937E-4</v>
      </c>
      <c r="Y38">
        <f t="shared" si="11"/>
        <v>1.0651976249813603E-6</v>
      </c>
      <c r="Z38">
        <f t="shared" si="12"/>
        <v>1.030050717264392E-5</v>
      </c>
      <c r="AA38">
        <f t="shared" si="13"/>
        <v>4.0272667961589904E-6</v>
      </c>
      <c r="AC38" s="10">
        <v>35</v>
      </c>
      <c r="AD38">
        <f>MC($AC38,0,$T$128,$AE$2,AD$3)+MC($AC38,0,$U$128,$AE$2,AD$3)-MC($AC38,0,$V$128,$AE$2,AD$3)</f>
        <v>-9.6684056202260837E-3</v>
      </c>
      <c r="AE38">
        <f>MC($AC38,0,$T$128,$AE$2,AE$3)+MC($AC38,0,$U$128,$AE$2,AE$3)-MC($AC38,0,$V$128,$AE$2,AE$3)</f>
        <v>-7.6945168352402504E-3</v>
      </c>
      <c r="AF38">
        <f>MC($AC38,0,$T$128,$AE$2,AF$3)+MC($AC38,0,$U$128,$AE$2,AF$3)-MC($AC38,0,$V$128,$AE$2,AF$3)</f>
        <v>-9.4885841081207012E-3</v>
      </c>
      <c r="AG38">
        <f>MC($AC38,0,$T$128,$AE$2,AG$3)+MC($AC38,0,$U$128,$AE$2,AG$3)-MC($AC38,0,$V$128,$AE$2,AG$3)</f>
        <v>-1.0797514135598485E-2</v>
      </c>
      <c r="AH38">
        <f>MC($AC38,0,$T$128,$AE$2,AH$3)+MC($AC38,0,$U$128,$AE$2,AH$3)-MC($AC38,0,$V$128,$AE$2,AH$3)</f>
        <v>-1.2515566605698192E-2</v>
      </c>
      <c r="AI38">
        <f>MC($AC38,0,$T$128,$AE$2,AI$3)+MC($AC38,0,$U$128,$AE$2,AI$3)-MC($AC38,0,$V$128,$AE$2,AI$3)</f>
        <v>-1.2581693895347357E-2</v>
      </c>
      <c r="AJ38">
        <f>MC($AC38,0,$T$128,$AE$2,AJ$3)+MC($AC38,0,$U$128,$AE$2,AJ$3)-MC($AC38,0,$V$128,$AE$2,AJ$3)</f>
        <v>-1.1565094795604747E-2</v>
      </c>
      <c r="AK38">
        <f>MC($AC38,0,$T$128,$AE$2,AK$3)+MC($AC38,0,$U$128,$AE$2,AK$3)-MC($AC38,0,$V$128,$AE$2,AK$3)</f>
        <v>-1.2022117989441083E-2</v>
      </c>
      <c r="AL38">
        <f>MC($AC38,0,$T$128,$AE$2,AL$3)+MC($AC38,0,$U$128,$AE$2,AL$3)-MC($AC38,0,$V$128,$AE$2,AL$3)</f>
        <v>-1.8727097258288028E-2</v>
      </c>
      <c r="AM38">
        <f>MC($AC38,0,$T$128,$AE$2,AM$3)+MC($AC38,0,$U$128,$AE$2,AM$3)-MC($AC38,0,$V$128,$AE$2,AM$3)</f>
        <v>-1.9425870704310011E-2</v>
      </c>
      <c r="AN38">
        <f>MC($AC38,0,$T$128,$AE$2,AN$3)+MC($AC38,0,$U$128,$AE$2,AN$3)-MC($AC38,0,$V$128,$AE$2,AN$3)</f>
        <v>-1.9224540095357234E-2</v>
      </c>
      <c r="AP38" s="10">
        <v>35</v>
      </c>
      <c r="AQ38">
        <f t="shared" si="20"/>
        <v>-0.15901284455752634</v>
      </c>
      <c r="AR38">
        <f t="shared" si="20"/>
        <v>-0.1663587150871329</v>
      </c>
      <c r="AS38">
        <f t="shared" si="20"/>
        <v>-0.17433900563866228</v>
      </c>
      <c r="AT38">
        <f t="shared" si="20"/>
        <v>-0.18311376277982433</v>
      </c>
      <c r="AU38">
        <f t="shared" si="20"/>
        <v>-0.19291379181821283</v>
      </c>
      <c r="AV38">
        <f t="shared" si="20"/>
        <v>-0.20409077647310248</v>
      </c>
      <c r="AW38">
        <f t="shared" si="20"/>
        <v>-0.21722229491307932</v>
      </c>
      <c r="AX38">
        <f t="shared" si="20"/>
        <v>-0.23336582756282043</v>
      </c>
      <c r="AY38">
        <f t="shared" si="20"/>
        <v>-0.25482584163338651</v>
      </c>
      <c r="AZ38">
        <f t="shared" si="20"/>
        <v>-0.28864947991725109</v>
      </c>
      <c r="BA38">
        <f t="shared" si="20"/>
        <v>-0.31960473200146711</v>
      </c>
    </row>
    <row r="39" spans="1:53">
      <c r="A39" s="3" t="s">
        <v>53</v>
      </c>
      <c r="B39" s="1">
        <v>104.110001</v>
      </c>
      <c r="C39" s="1">
        <v>108</v>
      </c>
      <c r="D39" s="1">
        <v>102.459999</v>
      </c>
      <c r="E39" s="1">
        <v>107.400002</v>
      </c>
      <c r="F39" s="1">
        <v>107.400002</v>
      </c>
      <c r="G39" s="1">
        <v>21072400</v>
      </c>
      <c r="H39" s="4">
        <v>44932</v>
      </c>
      <c r="I39" s="2">
        <v>55.599997999999999</v>
      </c>
      <c r="J39" s="2">
        <v>56.169998</v>
      </c>
      <c r="K39" s="2">
        <v>53.699001000000003</v>
      </c>
      <c r="L39" s="2">
        <v>55.689999</v>
      </c>
      <c r="M39" s="2">
        <v>55.689999</v>
      </c>
      <c r="N39" s="2">
        <v>3135200</v>
      </c>
      <c r="O39">
        <f t="shared" si="14"/>
        <v>0.34146789293354657</v>
      </c>
      <c r="P39">
        <f t="shared" si="15"/>
        <v>0.65853210706645349</v>
      </c>
      <c r="Q39">
        <f t="shared" si="16"/>
        <v>170.73394646677329</v>
      </c>
      <c r="R39">
        <f t="shared" si="17"/>
        <v>329.26605353322674</v>
      </c>
      <c r="S39">
        <f t="shared" si="5"/>
        <v>500</v>
      </c>
      <c r="T39" s="10">
        <f t="shared" si="18"/>
        <v>2.6965002352935578E-2</v>
      </c>
      <c r="U39" s="11">
        <f t="shared" si="19"/>
        <v>-2.6862643266476207E-3</v>
      </c>
      <c r="V39">
        <f t="shared" si="10"/>
        <v>7.4386912292403315E-3</v>
      </c>
      <c r="W39">
        <v>87</v>
      </c>
      <c r="X39">
        <f t="shared" si="8"/>
        <v>2.7559701763585034E-4</v>
      </c>
      <c r="Y39">
        <f t="shared" si="11"/>
        <v>4.714992272011643E-7</v>
      </c>
      <c r="Z39">
        <f t="shared" si="12"/>
        <v>1.0911040990613628E-5</v>
      </c>
      <c r="AA39">
        <f t="shared" si="13"/>
        <v>3.8061641897862377E-6</v>
      </c>
      <c r="AC39" s="10">
        <v>36</v>
      </c>
      <c r="AD39">
        <f>MC($AC39,0,$T$128,$AE$2,AD$3)+MC($AC39,0,$U$128,$AE$2,AD$3)-MC($AC39,0,$V$128,$AE$2,AD$3)</f>
        <v>-9.8129651448370936E-3</v>
      </c>
      <c r="AE39">
        <f>MC($AC39,0,$T$128,$AE$2,AE$3)+MC($AC39,0,$U$128,$AE$2,AE$3)-MC($AC39,0,$V$128,$AE$2,AE$3)</f>
        <v>-1.1841956554085264E-2</v>
      </c>
      <c r="AF39">
        <f>MC($AC39,0,$T$128,$AE$2,AF$3)+MC($AC39,0,$U$128,$AE$2,AF$3)-MC($AC39,0,$V$128,$AE$2,AF$3)</f>
        <v>-1.0485565776632289E-2</v>
      </c>
      <c r="AG39">
        <f>MC($AC39,0,$T$128,$AE$2,AG$3)+MC($AC39,0,$U$128,$AE$2,AG$3)-MC($AC39,0,$V$128,$AE$2,AG$3)</f>
        <v>-1.2805669570587819E-2</v>
      </c>
      <c r="AH39">
        <f>MC($AC39,0,$T$128,$AE$2,AH$3)+MC($AC39,0,$U$128,$AE$2,AH$3)-MC($AC39,0,$V$128,$AE$2,AH$3)</f>
        <v>-1.2814672078769407E-2</v>
      </c>
      <c r="AI39">
        <f>MC($AC39,0,$T$128,$AE$2,AI$3)+MC($AC39,0,$U$128,$AE$2,AI$3)-MC($AC39,0,$V$128,$AE$2,AI$3)</f>
        <v>-1.2336620295007927E-2</v>
      </c>
      <c r="AJ39">
        <f>MC($AC39,0,$T$128,$AE$2,AJ$3)+MC($AC39,0,$U$128,$AE$2,AJ$3)-MC($AC39,0,$V$128,$AE$2,AJ$3)</f>
        <v>-1.5023425063596552E-2</v>
      </c>
      <c r="AK39">
        <f>MC($AC39,0,$T$128,$AE$2,AK$3)+MC($AC39,0,$U$128,$AE$2,AK$3)-MC($AC39,0,$V$128,$AE$2,AK$3)</f>
        <v>-1.622950362190867E-2</v>
      </c>
      <c r="AL39">
        <f>MC($AC39,0,$T$128,$AE$2,AL$3)+MC($AC39,0,$U$128,$AE$2,AL$3)-MC($AC39,0,$V$128,$AE$2,AL$3)</f>
        <v>-1.6845830953691188E-2</v>
      </c>
      <c r="AM39">
        <f>MC($AC39,0,$T$128,$AE$2,AM$3)+MC($AC39,0,$U$128,$AE$2,AM$3)-MC($AC39,0,$V$128,$AE$2,AM$3)</f>
        <v>-1.5115066156848211E-2</v>
      </c>
      <c r="AN39">
        <f>MC($AC39,0,$T$128,$AE$2,AN$3)+MC($AC39,0,$U$128,$AE$2,AN$3)-MC($AC39,0,$V$128,$AE$2,AN$3)</f>
        <v>-2.0520715744006601E-2</v>
      </c>
      <c r="AP39" s="10">
        <v>36</v>
      </c>
      <c r="AQ39">
        <f t="shared" si="20"/>
        <v>-0.16126845856113309</v>
      </c>
      <c r="AR39">
        <f t="shared" si="20"/>
        <v>-0.1687185310404713</v>
      </c>
      <c r="AS39">
        <f t="shared" si="20"/>
        <v>-0.17681202285678521</v>
      </c>
      <c r="AT39">
        <f t="shared" si="20"/>
        <v>-0.18571125085526019</v>
      </c>
      <c r="AU39">
        <f t="shared" si="20"/>
        <v>-0.19565029434116865</v>
      </c>
      <c r="AV39">
        <f t="shared" si="20"/>
        <v>-0.20698582570450719</v>
      </c>
      <c r="AW39">
        <f t="shared" si="20"/>
        <v>-0.22030361612121785</v>
      </c>
      <c r="AX39">
        <f t="shared" si="20"/>
        <v>-0.23667614648755086</v>
      </c>
      <c r="AY39">
        <f t="shared" si="20"/>
        <v>-0.25844057312547819</v>
      </c>
      <c r="AZ39">
        <f t="shared" si="20"/>
        <v>-0.29274400329268613</v>
      </c>
      <c r="BA39">
        <f t="shared" si="20"/>
        <v>-0.32413835889888876</v>
      </c>
    </row>
    <row r="40" spans="1:53">
      <c r="A40" s="3" t="s">
        <v>54</v>
      </c>
      <c r="B40" s="1">
        <v>111.989998</v>
      </c>
      <c r="C40" s="1">
        <v>113.110001</v>
      </c>
      <c r="D40" s="1">
        <v>108.120003</v>
      </c>
      <c r="E40" s="1">
        <v>110.83000199999999</v>
      </c>
      <c r="F40" s="1">
        <v>110.83000199999999</v>
      </c>
      <c r="G40" s="1">
        <v>42085300</v>
      </c>
      <c r="H40" s="4">
        <v>44935</v>
      </c>
      <c r="I40" s="2">
        <v>56.549999</v>
      </c>
      <c r="J40" s="2">
        <v>56.950001</v>
      </c>
      <c r="K40" s="2">
        <v>53.009998000000003</v>
      </c>
      <c r="L40" s="2">
        <v>53.040000999999997</v>
      </c>
      <c r="M40" s="2">
        <v>53.040000999999997</v>
      </c>
      <c r="N40" s="2">
        <v>6304200</v>
      </c>
      <c r="O40">
        <f t="shared" si="14"/>
        <v>0.32367120295958007</v>
      </c>
      <c r="P40">
        <f t="shared" si="15"/>
        <v>0.67632879704041982</v>
      </c>
      <c r="Q40">
        <f t="shared" si="16"/>
        <v>161.83560147979003</v>
      </c>
      <c r="R40">
        <f t="shared" si="17"/>
        <v>338.16439852020989</v>
      </c>
      <c r="S40">
        <f t="shared" si="5"/>
        <v>499.99999999999989</v>
      </c>
      <c r="T40" s="10">
        <f t="shared" si="18"/>
        <v>3.1936684693916417E-2</v>
      </c>
      <c r="U40" s="11">
        <f t="shared" si="19"/>
        <v>-4.7584809617252886E-2</v>
      </c>
      <c r="V40">
        <f t="shared" si="10"/>
        <v>-2.1845991892413312E-2</v>
      </c>
      <c r="W40">
        <v>86</v>
      </c>
      <c r="X40">
        <f t="shared" si="8"/>
        <v>2.9318831663388339E-4</v>
      </c>
      <c r="Y40">
        <f t="shared" si="11"/>
        <v>3.4511334406881667E-7</v>
      </c>
      <c r="Z40">
        <f t="shared" si="12"/>
        <v>1.6592375399794793E-5</v>
      </c>
      <c r="AA40">
        <f t="shared" si="13"/>
        <v>5.9951188299796173E-6</v>
      </c>
      <c r="AC40" s="10">
        <v>37</v>
      </c>
      <c r="AD40">
        <f>MC($AC40,0,$T$128,$AE$2,AD$3)+MC($AC40,0,$U$128,$AE$2,AD$3)-MC($AC40,0,$V$128,$AE$2,AD$3)</f>
        <v>-9.0158632601780031E-3</v>
      </c>
      <c r="AE40">
        <f>MC($AC40,0,$T$128,$AE$2,AE$3)+MC($AC40,0,$U$128,$AE$2,AE$3)-MC($AC40,0,$V$128,$AE$2,AE$3)</f>
        <v>-1.1609827800506345E-2</v>
      </c>
      <c r="AF40">
        <f>MC($AC40,0,$T$128,$AE$2,AF$3)+MC($AC40,0,$U$128,$AE$2,AF$3)-MC($AC40,0,$V$128,$AE$2,AF$3)</f>
        <v>-1.2007658450099656E-2</v>
      </c>
      <c r="AG40">
        <f>MC($AC40,0,$T$128,$AE$2,AG$3)+MC($AC40,0,$U$128,$AE$2,AG$3)-MC($AC40,0,$V$128,$AE$2,AG$3)</f>
        <v>-1.1604761802827879E-2</v>
      </c>
      <c r="AH40">
        <f>MC($AC40,0,$T$128,$AE$2,AH$3)+MC($AC40,0,$U$128,$AE$2,AH$3)-MC($AC40,0,$V$128,$AE$2,AH$3)</f>
        <v>-1.3774199275425669E-2</v>
      </c>
      <c r="AI40">
        <f>MC($AC40,0,$T$128,$AE$2,AI$3)+MC($AC40,0,$U$128,$AE$2,AI$3)-MC($AC40,0,$V$128,$AE$2,AI$3)</f>
        <v>-1.3850085081903885E-2</v>
      </c>
      <c r="AJ40">
        <f>MC($AC40,0,$T$128,$AE$2,AJ$3)+MC($AC40,0,$U$128,$AE$2,AJ$3)-MC($AC40,0,$V$128,$AE$2,AJ$3)</f>
        <v>-1.2852387721204783E-2</v>
      </c>
      <c r="AK40">
        <f>MC($AC40,0,$T$128,$AE$2,AK$3)+MC($AC40,0,$U$128,$AE$2,AK$3)-MC($AC40,0,$V$128,$AE$2,AK$3)</f>
        <v>-1.491345999864846E-2</v>
      </c>
      <c r="AL40">
        <f>MC($AC40,0,$T$128,$AE$2,AL$3)+MC($AC40,0,$U$128,$AE$2,AL$3)-MC($AC40,0,$V$128,$AE$2,AL$3)</f>
        <v>-2.1829552497796056E-2</v>
      </c>
      <c r="AM40">
        <f>MC($AC40,0,$T$128,$AE$2,AM$3)+MC($AC40,0,$U$128,$AE$2,AM$3)-MC($AC40,0,$V$128,$AE$2,AM$3)</f>
        <v>-1.2706265858692278E-2</v>
      </c>
      <c r="AN40">
        <f>MC($AC40,0,$T$128,$AE$2,AN$3)+MC($AC40,0,$U$128,$AE$2,AN$3)-MC($AC40,0,$V$128,$AE$2,AN$3)</f>
        <v>-1.9715062270508898E-2</v>
      </c>
      <c r="AP40" s="10">
        <v>37</v>
      </c>
      <c r="AQ40">
        <f t="shared" si="20"/>
        <v>-0.16349295617576859</v>
      </c>
      <c r="AR40">
        <f t="shared" si="20"/>
        <v>-0.17104579312998935</v>
      </c>
      <c r="AS40">
        <f t="shared" si="20"/>
        <v>-0.17925092458991415</v>
      </c>
      <c r="AT40">
        <f t="shared" si="20"/>
        <v>-0.18827290635953164</v>
      </c>
      <c r="AU40">
        <f t="shared" si="20"/>
        <v>-0.1983490465767131</v>
      </c>
      <c r="AV40">
        <f t="shared" si="20"/>
        <v>-0.20984093748303567</v>
      </c>
      <c r="AW40">
        <f t="shared" si="20"/>
        <v>-0.22334243023855782</v>
      </c>
      <c r="AX40">
        <f t="shared" si="20"/>
        <v>-0.2399407992783078</v>
      </c>
      <c r="AY40">
        <f t="shared" si="20"/>
        <v>-0.26200543908607599</v>
      </c>
      <c r="AZ40">
        <f t="shared" si="20"/>
        <v>-0.29678204236637484</v>
      </c>
      <c r="BA40">
        <f t="shared" si="20"/>
        <v>-0.32860944402375258</v>
      </c>
    </row>
    <row r="41" spans="1:53">
      <c r="A41" s="3" t="s">
        <v>55</v>
      </c>
      <c r="B41" s="1">
        <v>112.970001</v>
      </c>
      <c r="C41" s="1">
        <v>115.480003</v>
      </c>
      <c r="D41" s="1">
        <v>111.209999</v>
      </c>
      <c r="E41" s="1">
        <v>114.879997</v>
      </c>
      <c r="F41" s="1">
        <v>114.879997</v>
      </c>
      <c r="G41" s="1">
        <v>33478600</v>
      </c>
      <c r="H41" s="4">
        <v>44936</v>
      </c>
      <c r="I41" s="2">
        <v>52.990001999999997</v>
      </c>
      <c r="J41" s="2">
        <v>54.34</v>
      </c>
      <c r="K41" s="2">
        <v>51.265999000000001</v>
      </c>
      <c r="L41" s="2">
        <v>54.209999000000003</v>
      </c>
      <c r="M41" s="2">
        <v>54.209999000000003</v>
      </c>
      <c r="N41" s="2">
        <v>4834400</v>
      </c>
      <c r="O41">
        <f t="shared" si="14"/>
        <v>0.32059849951146724</v>
      </c>
      <c r="P41">
        <f t="shared" si="15"/>
        <v>0.67940150048853276</v>
      </c>
      <c r="Q41">
        <f t="shared" si="16"/>
        <v>160.29924975573363</v>
      </c>
      <c r="R41">
        <f t="shared" si="17"/>
        <v>339.70075024426637</v>
      </c>
      <c r="S41">
        <f t="shared" si="5"/>
        <v>500</v>
      </c>
      <c r="T41" s="10">
        <f t="shared" si="18"/>
        <v>3.6542406631013234E-2</v>
      </c>
      <c r="U41" s="11">
        <f t="shared" si="19"/>
        <v>2.2058785406131626E-2</v>
      </c>
      <c r="V41">
        <f t="shared" si="10"/>
        <v>2.6702212638321107E-2</v>
      </c>
      <c r="W41">
        <v>85</v>
      </c>
      <c r="X41">
        <f t="shared" si="8"/>
        <v>3.119024645041312E-4</v>
      </c>
      <c r="Y41">
        <f t="shared" si="11"/>
        <v>2.390627364952563E-7</v>
      </c>
      <c r="Z41">
        <f t="shared" si="12"/>
        <v>8.2312561344098595E-6</v>
      </c>
      <c r="AA41">
        <f t="shared" si="13"/>
        <v>2.5691232923268847E-6</v>
      </c>
      <c r="AC41" s="10">
        <v>38</v>
      </c>
      <c r="AD41">
        <f>MC($AC41,0,$T$128,$AE$2,AD$3)+MC($AC41,0,$U$128,$AE$2,AD$3)-MC($AC41,0,$V$128,$AE$2,AD$3)</f>
        <v>-1.0400070358288716E-2</v>
      </c>
      <c r="AE41">
        <f>MC($AC41,0,$T$128,$AE$2,AE$3)+MC($AC41,0,$U$128,$AE$2,AE$3)-MC($AC41,0,$V$128,$AE$2,AE$3)</f>
        <v>-1.1177153033223419E-2</v>
      </c>
      <c r="AF41">
        <f>MC($AC41,0,$T$128,$AE$2,AF$3)+MC($AC41,0,$U$128,$AE$2,AF$3)-MC($AC41,0,$V$128,$AE$2,AF$3)</f>
        <v>-1.3314633385525187E-2</v>
      </c>
      <c r="AG41">
        <f>MC($AC41,0,$T$128,$AE$2,AG$3)+MC($AC41,0,$U$128,$AE$2,AG$3)-MC($AC41,0,$V$128,$AE$2,AG$3)</f>
        <v>-1.001939877131286E-2</v>
      </c>
      <c r="AH41">
        <f>MC($AC41,0,$T$128,$AE$2,AH$3)+MC($AC41,0,$U$128,$AE$2,AH$3)-MC($AC41,0,$V$128,$AE$2,AH$3)</f>
        <v>-1.1478666167671125E-2</v>
      </c>
      <c r="AI41">
        <f>MC($AC41,0,$T$128,$AE$2,AI$3)+MC($AC41,0,$U$128,$AE$2,AI$3)-MC($AC41,0,$V$128,$AE$2,AI$3)</f>
        <v>-1.5738886390721518E-2</v>
      </c>
      <c r="AJ41">
        <f>MC($AC41,0,$T$128,$AE$2,AJ$3)+MC($AC41,0,$U$128,$AE$2,AJ$3)-MC($AC41,0,$V$128,$AE$2,AJ$3)</f>
        <v>-1.5921024130671091E-2</v>
      </c>
      <c r="AK41">
        <f>MC($AC41,0,$T$128,$AE$2,AK$3)+MC($AC41,0,$U$128,$AE$2,AK$3)-MC($AC41,0,$V$128,$AE$2,AK$3)</f>
        <v>-1.5291699080662413E-2</v>
      </c>
      <c r="AL41">
        <f>MC($AC41,0,$T$128,$AE$2,AL$3)+MC($AC41,0,$U$128,$AE$2,AL$3)-MC($AC41,0,$V$128,$AE$2,AL$3)</f>
        <v>-1.325337188581055E-2</v>
      </c>
      <c r="AM41">
        <f>MC($AC41,0,$T$128,$AE$2,AM$3)+MC($AC41,0,$U$128,$AE$2,AM$3)-MC($AC41,0,$V$128,$AE$2,AM$3)</f>
        <v>-1.2654475125364995E-2</v>
      </c>
      <c r="AN41">
        <f>MC($AC41,0,$T$128,$AE$2,AN$3)+MC($AC41,0,$U$128,$AE$2,AN$3)-MC($AC41,0,$V$128,$AE$2,AN$3)</f>
        <v>-2.4779098425434354E-2</v>
      </c>
      <c r="AP41" s="10">
        <v>38</v>
      </c>
      <c r="AQ41">
        <f t="shared" si="20"/>
        <v>-0.16568759069857858</v>
      </c>
      <c r="AR41">
        <f t="shared" si="20"/>
        <v>-0.17334181255103948</v>
      </c>
      <c r="AS41">
        <f t="shared" si="20"/>
        <v>-0.18165708493193955</v>
      </c>
      <c r="AT41">
        <f t="shared" si="20"/>
        <v>-0.19080017254684167</v>
      </c>
      <c r="AU41">
        <f t="shared" si="20"/>
        <v>-0.20101156902028372</v>
      </c>
      <c r="AV41">
        <f t="shared" si="20"/>
        <v>-0.21265772039815989</v>
      </c>
      <c r="AW41">
        <f t="shared" si="20"/>
        <v>-0.22634044935372288</v>
      </c>
      <c r="AX41">
        <f t="shared" si="20"/>
        <v>-0.24316162526276586</v>
      </c>
      <c r="AY41">
        <f t="shared" si="20"/>
        <v>-0.26552244798500424</v>
      </c>
      <c r="AZ41">
        <f t="shared" si="20"/>
        <v>-0.30076587219710493</v>
      </c>
      <c r="BA41">
        <f t="shared" si="20"/>
        <v>-0.33302050641594871</v>
      </c>
    </row>
    <row r="42" spans="1:53">
      <c r="A42" s="3" t="s">
        <v>56</v>
      </c>
      <c r="B42" s="1">
        <v>114.599998</v>
      </c>
      <c r="C42" s="1">
        <v>115.209999</v>
      </c>
      <c r="D42" s="1">
        <v>112.30999799999999</v>
      </c>
      <c r="E42" s="1">
        <v>115.019997</v>
      </c>
      <c r="F42" s="1">
        <v>115.019997</v>
      </c>
      <c r="G42" s="1">
        <v>22804400</v>
      </c>
      <c r="H42" s="4">
        <v>44937</v>
      </c>
      <c r="I42" s="2">
        <v>54.360000999999997</v>
      </c>
      <c r="J42" s="2">
        <v>56.849997999999999</v>
      </c>
      <c r="K42" s="2">
        <v>53.060001</v>
      </c>
      <c r="L42" s="2">
        <v>56.810001</v>
      </c>
      <c r="M42" s="2">
        <v>56.810001</v>
      </c>
      <c r="N42" s="2">
        <v>3943100</v>
      </c>
      <c r="O42">
        <f t="shared" si="14"/>
        <v>0.33061748042387806</v>
      </c>
      <c r="P42">
        <f t="shared" si="15"/>
        <v>0.66938251957612205</v>
      </c>
      <c r="Q42">
        <f t="shared" si="16"/>
        <v>165.30874021193904</v>
      </c>
      <c r="R42">
        <f t="shared" si="17"/>
        <v>334.69125978806102</v>
      </c>
      <c r="S42">
        <f t="shared" si="5"/>
        <v>500.00000000000006</v>
      </c>
      <c r="T42" s="10">
        <f t="shared" si="18"/>
        <v>1.2186629844706609E-3</v>
      </c>
      <c r="U42" s="11">
        <f t="shared" si="19"/>
        <v>4.7961668473744043E-2</v>
      </c>
      <c r="V42">
        <f t="shared" si="10"/>
        <v>3.2507613771440978E-2</v>
      </c>
      <c r="W42">
        <v>84</v>
      </c>
      <c r="X42">
        <f t="shared" si="8"/>
        <v>3.3181113245120349E-4</v>
      </c>
      <c r="Y42">
        <f t="shared" si="11"/>
        <v>1.2367849544604732E-6</v>
      </c>
      <c r="Z42">
        <f t="shared" si="12"/>
        <v>5.6879241371445157E-6</v>
      </c>
      <c r="AA42">
        <f t="shared" si="13"/>
        <v>2.1971583494269308E-6</v>
      </c>
      <c r="AC42" s="10">
        <v>39</v>
      </c>
      <c r="AD42">
        <f>MC($AC42,0,$T$128,$AE$2,AD$3)+MC($AC42,0,$U$128,$AE$2,AD$3)-MC($AC42,0,$V$128,$AE$2,AD$3)</f>
        <v>-1.184816272698419E-2</v>
      </c>
      <c r="AE42">
        <f>MC($AC42,0,$T$128,$AE$2,AE$3)+MC($AC42,0,$U$128,$AE$2,AE$3)-MC($AC42,0,$V$128,$AE$2,AE$3)</f>
        <v>-1.2159728703919237E-2</v>
      </c>
      <c r="AF42">
        <f>MC($AC42,0,$T$128,$AE$2,AF$3)+MC($AC42,0,$U$128,$AE$2,AF$3)-MC($AC42,0,$V$128,$AE$2,AF$3)</f>
        <v>-9.7451552929572749E-3</v>
      </c>
      <c r="AG42">
        <f>MC($AC42,0,$T$128,$AE$2,AG$3)+MC($AC42,0,$U$128,$AE$2,AG$3)-MC($AC42,0,$V$128,$AE$2,AG$3)</f>
        <v>-1.0153873728529605E-2</v>
      </c>
      <c r="AH42">
        <f>MC($AC42,0,$T$128,$AE$2,AH$3)+MC($AC42,0,$U$128,$AE$2,AH$3)-MC($AC42,0,$V$128,$AE$2,AH$3)</f>
        <v>-1.3390777120970032E-2</v>
      </c>
      <c r="AI42">
        <f>MC($AC42,0,$T$128,$AE$2,AI$3)+MC($AC42,0,$U$128,$AE$2,AI$3)-MC($AC42,0,$V$128,$AE$2,AI$3)</f>
        <v>-1.3592130300379868E-2</v>
      </c>
      <c r="AJ42">
        <f>MC($AC42,0,$T$128,$AE$2,AJ$3)+MC($AC42,0,$U$128,$AE$2,AJ$3)-MC($AC42,0,$V$128,$AE$2,AJ$3)</f>
        <v>-1.5184990294644818E-2</v>
      </c>
      <c r="AK42">
        <f>MC($AC42,0,$T$128,$AE$2,AK$3)+MC($AC42,0,$U$128,$AE$2,AK$3)-MC($AC42,0,$V$128,$AE$2,AK$3)</f>
        <v>-1.6248272122567409E-2</v>
      </c>
      <c r="AL42">
        <f>MC($AC42,0,$T$128,$AE$2,AL$3)+MC($AC42,0,$U$128,$AE$2,AL$3)-MC($AC42,0,$V$128,$AE$2,AL$3)</f>
        <v>-2.1442906151144525E-2</v>
      </c>
      <c r="AM42">
        <f>MC($AC42,0,$T$128,$AE$2,AM$3)+MC($AC42,0,$U$128,$AE$2,AM$3)-MC($AC42,0,$V$128,$AE$2,AM$3)</f>
        <v>-1.7090251228044639E-2</v>
      </c>
      <c r="AN42">
        <f>MC($AC42,0,$T$128,$AE$2,AN$3)+MC($AC42,0,$U$128,$AE$2,AN$3)-MC($AC42,0,$V$128,$AE$2,AN$3)</f>
        <v>-2.0198829729452639E-2</v>
      </c>
      <c r="AP42" s="10">
        <v>39</v>
      </c>
      <c r="AQ42">
        <f t="shared" si="20"/>
        <v>-0.16785353348651189</v>
      </c>
      <c r="AR42">
        <f t="shared" si="20"/>
        <v>-0.17560781477341031</v>
      </c>
      <c r="AS42">
        <f t="shared" si="20"/>
        <v>-0.1840317881388992</v>
      </c>
      <c r="AT42">
        <f t="shared" si="20"/>
        <v>-0.19329439831186046</v>
      </c>
      <c r="AU42">
        <f t="shared" si="20"/>
        <v>-0.20363928275777599</v>
      </c>
      <c r="AV42">
        <f t="shared" si="20"/>
        <v>-0.21543767787024781</v>
      </c>
      <c r="AW42">
        <f t="shared" si="20"/>
        <v>-0.2292992736194891</v>
      </c>
      <c r="AX42">
        <f t="shared" si="20"/>
        <v>-0.24634034351390022</v>
      </c>
      <c r="AY42">
        <f t="shared" si="20"/>
        <v>-0.2689934769789244</v>
      </c>
      <c r="AZ42">
        <f t="shared" si="20"/>
        <v>-0.30469761910099324</v>
      </c>
      <c r="BA42">
        <f t="shared" si="20"/>
        <v>-0.33737390042128335</v>
      </c>
    </row>
    <row r="43" spans="1:53">
      <c r="A43" s="3" t="s">
        <v>57</v>
      </c>
      <c r="B43" s="1">
        <v>113.660004</v>
      </c>
      <c r="C43" s="1">
        <v>113.790001</v>
      </c>
      <c r="D43" s="1">
        <v>111.449997</v>
      </c>
      <c r="E43" s="1">
        <v>113.150002</v>
      </c>
      <c r="F43" s="1">
        <v>113.150002</v>
      </c>
      <c r="G43" s="1">
        <v>16590600</v>
      </c>
      <c r="H43" s="4">
        <v>44938</v>
      </c>
      <c r="I43" s="2">
        <v>57.98</v>
      </c>
      <c r="J43" s="2">
        <v>58.389999000000003</v>
      </c>
      <c r="K43" s="2">
        <v>54.66</v>
      </c>
      <c r="L43" s="2">
        <v>58.380001</v>
      </c>
      <c r="M43" s="2">
        <v>58.380001</v>
      </c>
      <c r="N43" s="2">
        <v>3820400</v>
      </c>
      <c r="O43">
        <f t="shared" si="14"/>
        <v>0.34034862693962642</v>
      </c>
      <c r="P43">
        <f t="shared" si="15"/>
        <v>0.65965137306037358</v>
      </c>
      <c r="Q43">
        <f t="shared" si="16"/>
        <v>170.1743134698132</v>
      </c>
      <c r="R43">
        <f t="shared" si="17"/>
        <v>329.82568653018677</v>
      </c>
      <c r="S43">
        <f t="shared" si="5"/>
        <v>500</v>
      </c>
      <c r="T43" s="10">
        <f t="shared" si="18"/>
        <v>-1.6257999032985568E-2</v>
      </c>
      <c r="U43" s="11">
        <f t="shared" si="19"/>
        <v>2.7635979094596395E-2</v>
      </c>
      <c r="V43">
        <f t="shared" si="10"/>
        <v>1.2696723907955879E-2</v>
      </c>
      <c r="W43">
        <v>83</v>
      </c>
      <c r="X43">
        <f t="shared" si="8"/>
        <v>3.5299056643745051E-4</v>
      </c>
      <c r="Y43">
        <f t="shared" si="11"/>
        <v>2.0729177980042208E-6</v>
      </c>
      <c r="Z43">
        <f t="shared" si="12"/>
        <v>7.504123556704652E-6</v>
      </c>
      <c r="AA43">
        <f t="shared" si="13"/>
        <v>3.3704674207299676E-6</v>
      </c>
      <c r="AC43" s="10">
        <v>40</v>
      </c>
      <c r="AD43">
        <f>MC($AC43,0,$T$128,$AE$2,AD$3)+MC($AC43,0,$U$128,$AE$2,AD$3)-MC($AC43,0,$V$128,$AE$2,AD$3)</f>
        <v>-1.0996290571756662E-2</v>
      </c>
      <c r="AE43">
        <f>MC($AC43,0,$T$128,$AE$2,AE$3)+MC($AC43,0,$U$128,$AE$2,AE$3)-MC($AC43,0,$V$128,$AE$2,AE$3)</f>
        <v>-1.1750760499144031E-2</v>
      </c>
      <c r="AF43">
        <f>MC($AC43,0,$T$128,$AE$2,AF$3)+MC($AC43,0,$U$128,$AE$2,AF$3)-MC($AC43,0,$V$128,$AE$2,AF$3)</f>
        <v>-1.2754715412381046E-2</v>
      </c>
      <c r="AG43">
        <f>MC($AC43,0,$T$128,$AE$2,AG$3)+MC($AC43,0,$U$128,$AE$2,AG$3)-MC($AC43,0,$V$128,$AE$2,AG$3)</f>
        <v>-1.1859004450872179E-2</v>
      </c>
      <c r="AH43">
        <f>MC($AC43,0,$T$128,$AE$2,AH$3)+MC($AC43,0,$U$128,$AE$2,AH$3)-MC($AC43,0,$V$128,$AE$2,AH$3)</f>
        <v>-1.5008037403686947E-2</v>
      </c>
      <c r="AI43">
        <f>MC($AC43,0,$T$128,$AE$2,AI$3)+MC($AC43,0,$U$128,$AE$2,AI$3)-MC($AC43,0,$V$128,$AE$2,AI$3)</f>
        <v>-1.1032321004649459E-2</v>
      </c>
      <c r="AJ43">
        <f>MC($AC43,0,$T$128,$AE$2,AJ$3)+MC($AC43,0,$U$128,$AE$2,AJ$3)-MC($AC43,0,$V$128,$AE$2,AJ$3)</f>
        <v>-1.5224992009149174E-2</v>
      </c>
      <c r="AK43">
        <f>MC($AC43,0,$T$128,$AE$2,AK$3)+MC($AC43,0,$U$128,$AE$2,AK$3)-MC($AC43,0,$V$128,$AE$2,AK$3)</f>
        <v>-1.834230119616187E-2</v>
      </c>
      <c r="AL43">
        <f>MC($AC43,0,$T$128,$AE$2,AL$3)+MC($AC43,0,$U$128,$AE$2,AL$3)-MC($AC43,0,$V$128,$AE$2,AL$3)</f>
        <v>-1.9398218256647004E-2</v>
      </c>
      <c r="AM43">
        <f>MC($AC43,0,$T$128,$AE$2,AM$3)+MC($AC43,0,$U$128,$AE$2,AM$3)-MC($AC43,0,$V$128,$AE$2,AM$3)</f>
        <v>-2.0799948956399028E-2</v>
      </c>
      <c r="AN43">
        <f>MC($AC43,0,$T$128,$AE$2,AN$3)+MC($AC43,0,$U$128,$AE$2,AN$3)-MC($AC43,0,$V$128,$AE$2,AN$3)</f>
        <v>-1.9729816933939937E-2</v>
      </c>
      <c r="AP43" s="10">
        <v>40</v>
      </c>
      <c r="AQ43">
        <f t="shared" si="20"/>
        <v>-0.16999188126588721</v>
      </c>
      <c r="AR43">
        <f t="shared" si="20"/>
        <v>-0.17784494718856925</v>
      </c>
      <c r="AS43">
        <f t="shared" si="20"/>
        <v>-0.1863762366430643</v>
      </c>
      <c r="AT43">
        <f t="shared" si="20"/>
        <v>-0.19575684660717174</v>
      </c>
      <c r="AU43">
        <f t="shared" si="20"/>
        <v>-0.2062335183334818</v>
      </c>
      <c r="AV43">
        <f t="shared" si="20"/>
        <v>-0.21818221753228961</v>
      </c>
      <c r="AW43">
        <f t="shared" si="20"/>
        <v>-0.23222040123814602</v>
      </c>
      <c r="AX43">
        <f t="shared" si="20"/>
        <v>-0.24947856357744036</v>
      </c>
      <c r="AY43">
        <f t="shared" si="20"/>
        <v>-0.27242028362527071</v>
      </c>
      <c r="AZ43">
        <f t="shared" si="20"/>
        <v>-0.30857927392023987</v>
      </c>
      <c r="BA43">
        <f t="shared" si="20"/>
        <v>-0.34167183038319848</v>
      </c>
    </row>
    <row r="44" spans="1:53">
      <c r="A44" s="3" t="s">
        <v>58</v>
      </c>
      <c r="B44" s="1">
        <v>114.519997</v>
      </c>
      <c r="C44" s="1">
        <v>117.980003</v>
      </c>
      <c r="D44" s="1">
        <v>114.089996</v>
      </c>
      <c r="E44" s="1">
        <v>117.010002</v>
      </c>
      <c r="F44" s="1">
        <v>117.010002</v>
      </c>
      <c r="G44" s="1">
        <v>25615100</v>
      </c>
      <c r="H44" s="4">
        <v>44939</v>
      </c>
      <c r="I44" s="2">
        <v>57.93</v>
      </c>
      <c r="J44" s="2">
        <v>60.450001</v>
      </c>
      <c r="K44" s="2">
        <v>57.52</v>
      </c>
      <c r="L44" s="2">
        <v>60.119999</v>
      </c>
      <c r="M44" s="2">
        <v>60.119999</v>
      </c>
      <c r="N44" s="2">
        <v>4336100</v>
      </c>
      <c r="O44">
        <f t="shared" si="14"/>
        <v>0.33941172393489683</v>
      </c>
      <c r="P44">
        <f t="shared" si="15"/>
        <v>0.66058827606510317</v>
      </c>
      <c r="Q44">
        <f t="shared" si="16"/>
        <v>169.70586196744841</v>
      </c>
      <c r="R44">
        <f t="shared" si="17"/>
        <v>330.29413803255159</v>
      </c>
      <c r="S44">
        <f t="shared" si="5"/>
        <v>500</v>
      </c>
      <c r="T44" s="10">
        <f t="shared" si="18"/>
        <v>3.4114007351055985E-2</v>
      </c>
      <c r="U44" s="11">
        <f t="shared" si="19"/>
        <v>2.9804692877617455E-2</v>
      </c>
      <c r="V44">
        <f t="shared" si="10"/>
        <v>3.1267324732024829E-2</v>
      </c>
      <c r="W44">
        <v>82</v>
      </c>
      <c r="X44">
        <f t="shared" si="8"/>
        <v>3.7552187918877714E-4</v>
      </c>
      <c r="Y44">
        <f t="shared" si="11"/>
        <v>2.2394917278064299E-7</v>
      </c>
      <c r="Z44">
        <f t="shared" si="12"/>
        <v>7.187893105699806E-6</v>
      </c>
      <c r="AA44">
        <f t="shared" si="13"/>
        <v>2.1565497026127514E-6</v>
      </c>
      <c r="AC44" s="10">
        <v>41</v>
      </c>
      <c r="AD44">
        <f>MC($AC44,0,$T$128,$AE$2,AD$3)+MC($AC44,0,$U$128,$AE$2,AD$3)-MC($AC44,0,$V$128,$AE$2,AD$3)</f>
        <v>-1.1463946802805491E-2</v>
      </c>
      <c r="AE44">
        <f>MC($AC44,0,$T$128,$AE$2,AE$3)+MC($AC44,0,$U$128,$AE$2,AE$3)-MC($AC44,0,$V$128,$AE$2,AE$3)</f>
        <v>-1.2895152026193291E-2</v>
      </c>
      <c r="AF44">
        <f>MC($AC44,0,$T$128,$AE$2,AF$3)+MC($AC44,0,$U$128,$AE$2,AF$3)-MC($AC44,0,$V$128,$AE$2,AF$3)</f>
        <v>-1.2425993480131403E-2</v>
      </c>
      <c r="AG44">
        <f>MC($AC44,0,$T$128,$AE$2,AG$3)+MC($AC44,0,$U$128,$AE$2,AG$3)-MC($AC44,0,$V$128,$AE$2,AG$3)</f>
        <v>-1.444171825119378E-2</v>
      </c>
      <c r="AH44">
        <f>MC($AC44,0,$T$128,$AE$2,AH$3)+MC($AC44,0,$U$128,$AE$2,AH$3)-MC($AC44,0,$V$128,$AE$2,AH$3)</f>
        <v>-1.1261364852932276E-2</v>
      </c>
      <c r="AI44">
        <f>MC($AC44,0,$T$128,$AE$2,AI$3)+MC($AC44,0,$U$128,$AE$2,AI$3)-MC($AC44,0,$V$128,$AE$2,AI$3)</f>
        <v>-1.378312209105137E-2</v>
      </c>
      <c r="AJ44">
        <f>MC($AC44,0,$T$128,$AE$2,AJ$3)+MC($AC44,0,$U$128,$AE$2,AJ$3)-MC($AC44,0,$V$128,$AE$2,AJ$3)</f>
        <v>-1.2159871706936221E-2</v>
      </c>
      <c r="AK44">
        <f>MC($AC44,0,$T$128,$AE$2,AK$3)+MC($AC44,0,$U$128,$AE$2,AK$3)-MC($AC44,0,$V$128,$AE$2,AK$3)</f>
        <v>-1.6504631201915032E-2</v>
      </c>
      <c r="AL44">
        <f>MC($AC44,0,$T$128,$AE$2,AL$3)+MC($AC44,0,$U$128,$AE$2,AL$3)-MC($AC44,0,$V$128,$AE$2,AL$3)</f>
        <v>-1.8102661644201712E-2</v>
      </c>
      <c r="AM44">
        <f>MC($AC44,0,$T$128,$AE$2,AM$3)+MC($AC44,0,$U$128,$AE$2,AM$3)-MC($AC44,0,$V$128,$AE$2,AM$3)</f>
        <v>-1.5199755004788651E-2</v>
      </c>
      <c r="AN44">
        <f>MC($AC44,0,$T$128,$AE$2,AN$3)+MC($AC44,0,$U$128,$AE$2,AN$3)-MC($AC44,0,$V$128,$AE$2,AN$3)</f>
        <v>-2.2834774466353513E-2</v>
      </c>
      <c r="AP44" s="10">
        <v>41</v>
      </c>
      <c r="AQ44">
        <f t="shared" si="20"/>
        <v>-0.17210366262437121</v>
      </c>
      <c r="AR44">
        <f t="shared" si="20"/>
        <v>-0.18005428590155131</v>
      </c>
      <c r="AS44">
        <f t="shared" si="20"/>
        <v>-0.18869155817063532</v>
      </c>
      <c r="AT44">
        <f t="shared" si="20"/>
        <v>-0.19818870191921473</v>
      </c>
      <c r="AU44">
        <f t="shared" si="20"/>
        <v>-0.20879552362613452</v>
      </c>
      <c r="AV44">
        <f t="shared" si="20"/>
        <v>-0.22089265956226345</v>
      </c>
      <c r="AW44">
        <f t="shared" si="20"/>
        <v>-0.23510523732997868</v>
      </c>
      <c r="AX44">
        <f t="shared" si="20"/>
        <v>-0.25257779499944077</v>
      </c>
      <c r="AY44">
        <f t="shared" si="20"/>
        <v>-0.27580451628596436</v>
      </c>
      <c r="AZ44">
        <f t="shared" si="20"/>
        <v>-0.31241270380775321</v>
      </c>
      <c r="BA44">
        <f t="shared" si="20"/>
        <v>-0.34591636369119672</v>
      </c>
    </row>
    <row r="45" spans="1:53">
      <c r="A45" s="3" t="s">
        <v>59</v>
      </c>
      <c r="B45" s="1">
        <v>115.519997</v>
      </c>
      <c r="C45" s="1">
        <v>117.010002</v>
      </c>
      <c r="D45" s="1">
        <v>114.339996</v>
      </c>
      <c r="E45" s="1">
        <v>115.19000200000001</v>
      </c>
      <c r="F45" s="1">
        <v>115.19000200000001</v>
      </c>
      <c r="G45" s="1">
        <v>16945600</v>
      </c>
      <c r="H45" s="4">
        <v>44943</v>
      </c>
      <c r="I45" s="2">
        <v>60.279998999999997</v>
      </c>
      <c r="J45" s="2">
        <v>63.099997999999999</v>
      </c>
      <c r="K45" s="2">
        <v>60.009998000000003</v>
      </c>
      <c r="L45" s="2">
        <v>62.189999</v>
      </c>
      <c r="M45" s="2">
        <v>62.189999</v>
      </c>
      <c r="N45" s="2">
        <v>4975200</v>
      </c>
      <c r="O45">
        <f t="shared" si="14"/>
        <v>0.35060321710112069</v>
      </c>
      <c r="P45">
        <f t="shared" si="15"/>
        <v>0.64939678289887937</v>
      </c>
      <c r="Q45">
        <f t="shared" si="16"/>
        <v>175.30160855056033</v>
      </c>
      <c r="R45">
        <f t="shared" si="17"/>
        <v>324.69839144943967</v>
      </c>
      <c r="S45">
        <f t="shared" si="5"/>
        <v>500</v>
      </c>
      <c r="T45" s="10">
        <f t="shared" si="18"/>
        <v>-1.5554225868656879E-2</v>
      </c>
      <c r="U45" s="11">
        <f t="shared" si="19"/>
        <v>3.4431138297257795E-2</v>
      </c>
      <c r="V45">
        <f t="shared" si="10"/>
        <v>1.6906108812717036E-2</v>
      </c>
      <c r="W45">
        <v>81</v>
      </c>
      <c r="X45">
        <f t="shared" si="8"/>
        <v>3.9949136083912467E-4</v>
      </c>
      <c r="Y45">
        <f t="shared" si="11"/>
        <v>2.0885850740562854E-6</v>
      </c>
      <c r="Z45">
        <f t="shared" si="12"/>
        <v>6.6069906369303724E-6</v>
      </c>
      <c r="AA45">
        <f t="shared" si="13"/>
        <v>3.0155112531151069E-6</v>
      </c>
      <c r="AC45" s="10">
        <v>42</v>
      </c>
      <c r="AD45">
        <f>MC($AC45,0,$T$128,$AE$2,AD$3)+MC($AC45,0,$U$128,$AE$2,AD$3)-MC($AC45,0,$V$128,$AE$2,AD$3)</f>
        <v>-1.191917291111988E-2</v>
      </c>
      <c r="AE45">
        <f>MC($AC45,0,$T$128,$AE$2,AE$3)+MC($AC45,0,$U$128,$AE$2,AE$3)-MC($AC45,0,$V$128,$AE$2,AE$3)</f>
        <v>-1.0181629517515223E-2</v>
      </c>
      <c r="AF45">
        <f>MC($AC45,0,$T$128,$AE$2,AF$3)+MC($AC45,0,$U$128,$AE$2,AF$3)-MC($AC45,0,$V$128,$AE$2,AF$3)</f>
        <v>-1.3458451621821022E-2</v>
      </c>
      <c r="AG45">
        <f>MC($AC45,0,$T$128,$AE$2,AG$3)+MC($AC45,0,$U$128,$AE$2,AG$3)-MC($AC45,0,$V$128,$AE$2,AG$3)</f>
        <v>-1.2833090002675629E-2</v>
      </c>
      <c r="AH45">
        <f>MC($AC45,0,$T$128,$AE$2,AH$3)+MC($AC45,0,$U$128,$AE$2,AH$3)-MC($AC45,0,$V$128,$AE$2,AH$3)</f>
        <v>-1.2690508277791945E-2</v>
      </c>
      <c r="AI45">
        <f>MC($AC45,0,$T$128,$AE$2,AI$3)+MC($AC45,0,$U$128,$AE$2,AI$3)-MC($AC45,0,$V$128,$AE$2,AI$3)</f>
        <v>-1.0672347002051552E-2</v>
      </c>
      <c r="AJ45">
        <f>MC($AC45,0,$T$128,$AE$2,AJ$3)+MC($AC45,0,$U$128,$AE$2,AJ$3)-MC($AC45,0,$V$128,$AE$2,AJ$3)</f>
        <v>-1.4012891428795804E-2</v>
      </c>
      <c r="AK45">
        <f>MC($AC45,0,$T$128,$AE$2,AK$3)+MC($AC45,0,$U$128,$AE$2,AK$3)-MC($AC45,0,$V$128,$AE$2,AK$3)</f>
        <v>-1.3429602514710037E-2</v>
      </c>
      <c r="AL45">
        <f>MC($AC45,0,$T$128,$AE$2,AL$3)+MC($AC45,0,$U$128,$AE$2,AL$3)-MC($AC45,0,$V$128,$AE$2,AL$3)</f>
        <v>-1.7164333007423815E-2</v>
      </c>
      <c r="AM45">
        <f>MC($AC45,0,$T$128,$AE$2,AM$3)+MC($AC45,0,$U$128,$AE$2,AM$3)-MC($AC45,0,$V$128,$AE$2,AM$3)</f>
        <v>-1.5658551315203439E-2</v>
      </c>
      <c r="AN45">
        <f>MC($AC45,0,$T$128,$AE$2,AN$3)+MC($AC45,0,$U$128,$AE$2,AN$3)-MC($AC45,0,$V$128,$AE$2,AN$3)</f>
        <v>-1.2771581098135698E-2</v>
      </c>
      <c r="AP45" s="10">
        <v>42</v>
      </c>
      <c r="AQ45">
        <f t="shared" si="20"/>
        <v>-0.17418984379443958</v>
      </c>
      <c r="AR45">
        <f t="shared" si="20"/>
        <v>-0.18223684178159549</v>
      </c>
      <c r="AS45">
        <f t="shared" si="20"/>
        <v>-0.19097881208263151</v>
      </c>
      <c r="AT45">
        <f t="shared" si="20"/>
        <v>-0.2005910769283194</v>
      </c>
      <c r="AU45">
        <f t="shared" si="20"/>
        <v>-0.21132647086538159</v>
      </c>
      <c r="AV45">
        <f t="shared" si="20"/>
        <v>-0.22357024410612603</v>
      </c>
      <c r="AW45">
        <f t="shared" si="20"/>
        <v>-0.23795510183386648</v>
      </c>
      <c r="AX45">
        <f t="shared" si="20"/>
        <v>-0.25563945581403524</v>
      </c>
      <c r="AY45">
        <f t="shared" si="20"/>
        <v>-0.27914772339568994</v>
      </c>
      <c r="AZ45">
        <f t="shared" si="20"/>
        <v>-0.31619966272562605</v>
      </c>
      <c r="BA45">
        <f t="shared" si="20"/>
        <v>-0.35010944240519359</v>
      </c>
    </row>
    <row r="46" spans="1:53">
      <c r="A46" s="3" t="s">
        <v>60</v>
      </c>
      <c r="B46" s="1">
        <v>116.75</v>
      </c>
      <c r="C46" s="1">
        <v>116.75</v>
      </c>
      <c r="D46" s="1">
        <v>113.040001</v>
      </c>
      <c r="E46" s="1">
        <v>113.220001</v>
      </c>
      <c r="F46" s="1">
        <v>113.220001</v>
      </c>
      <c r="G46" s="1">
        <v>15347900</v>
      </c>
      <c r="H46" s="4">
        <v>44944</v>
      </c>
      <c r="I46" s="2">
        <v>64.019997000000004</v>
      </c>
      <c r="J46" s="2">
        <v>65.449996999999996</v>
      </c>
      <c r="K46" s="2">
        <v>61.07</v>
      </c>
      <c r="L46" s="2">
        <v>62.049999</v>
      </c>
      <c r="M46" s="2">
        <v>62.049999</v>
      </c>
      <c r="N46" s="2">
        <v>5670200</v>
      </c>
      <c r="O46">
        <f t="shared" si="14"/>
        <v>0.35402521252924063</v>
      </c>
      <c r="P46">
        <f t="shared" si="15"/>
        <v>0.64597478747075943</v>
      </c>
      <c r="Q46">
        <f t="shared" si="16"/>
        <v>177.0126062646203</v>
      </c>
      <c r="R46">
        <f t="shared" si="17"/>
        <v>322.98739373537973</v>
      </c>
      <c r="S46">
        <f t="shared" si="5"/>
        <v>500</v>
      </c>
      <c r="T46" s="10">
        <f t="shared" si="18"/>
        <v>-1.7102187392964978E-2</v>
      </c>
      <c r="U46" s="11">
        <f t="shared" si="19"/>
        <v>-2.2511658184783145E-3</v>
      </c>
      <c r="V46">
        <f t="shared" si="10"/>
        <v>-7.5088018876622933E-3</v>
      </c>
      <c r="W46">
        <v>80</v>
      </c>
      <c r="X46">
        <f t="shared" si="8"/>
        <v>4.2499080940332408E-4</v>
      </c>
      <c r="Y46">
        <f t="shared" si="11"/>
        <v>2.2107940839615064E-6</v>
      </c>
      <c r="Z46">
        <f t="shared" si="12"/>
        <v>1.0923024854678179E-5</v>
      </c>
      <c r="AA46">
        <f t="shared" si="13"/>
        <v>4.9694490966056036E-6</v>
      </c>
      <c r="AC46" s="10">
        <v>43</v>
      </c>
      <c r="AD46">
        <f>MC($AC46,0,$T$128,$AE$2,AD$3)+MC($AC46,0,$U$128,$AE$2,AD$3)-MC($AC46,0,$V$128,$AE$2,AD$3)</f>
        <v>-9.877023912356897E-3</v>
      </c>
      <c r="AE46">
        <f>MC($AC46,0,$T$128,$AE$2,AE$3)+MC($AC46,0,$U$128,$AE$2,AE$3)-MC($AC46,0,$V$128,$AE$2,AE$3)</f>
        <v>-1.2115863881751121E-2</v>
      </c>
      <c r="AF46">
        <f>MC($AC46,0,$T$128,$AE$2,AF$3)+MC($AC46,0,$U$128,$AE$2,AF$3)-MC($AC46,0,$V$128,$AE$2,AF$3)</f>
        <v>-1.2568489067723121E-2</v>
      </c>
      <c r="AG46">
        <f>MC($AC46,0,$T$128,$AE$2,AG$3)+MC($AC46,0,$U$128,$AE$2,AG$3)-MC($AC46,0,$V$128,$AE$2,AG$3)</f>
        <v>-1.2689736505177462E-2</v>
      </c>
      <c r="AH46">
        <f>MC($AC46,0,$T$128,$AE$2,AH$3)+MC($AC46,0,$U$128,$AE$2,AH$3)-MC($AC46,0,$V$128,$AE$2,AH$3)</f>
        <v>-1.3757607483120937E-2</v>
      </c>
      <c r="AI46">
        <f>MC($AC46,0,$T$128,$AE$2,AI$3)+MC($AC46,0,$U$128,$AE$2,AI$3)-MC($AC46,0,$V$128,$AE$2,AI$3)</f>
        <v>-1.2959280991100774E-2</v>
      </c>
      <c r="AJ46">
        <f>MC($AC46,0,$T$128,$AE$2,AJ$3)+MC($AC46,0,$U$128,$AE$2,AJ$3)-MC($AC46,0,$V$128,$AE$2,AJ$3)</f>
        <v>-1.1009018184152897E-2</v>
      </c>
      <c r="AK46">
        <f>MC($AC46,0,$T$128,$AE$2,AK$3)+MC($AC46,0,$U$128,$AE$2,AK$3)-MC($AC46,0,$V$128,$AE$2,AK$3)</f>
        <v>-1.3265587916018173E-2</v>
      </c>
      <c r="AL46">
        <f>MC($AC46,0,$T$128,$AE$2,AL$3)+MC($AC46,0,$U$128,$AE$2,AL$3)-MC($AC46,0,$V$128,$AE$2,AL$3)</f>
        <v>-2.0065115477214457E-2</v>
      </c>
      <c r="AM46">
        <f>MC($AC46,0,$T$128,$AE$2,AM$3)+MC($AC46,0,$U$128,$AE$2,AM$3)-MC($AC46,0,$V$128,$AE$2,AM$3)</f>
        <v>-2.1387535825687198E-2</v>
      </c>
      <c r="AN46">
        <f>MC($AC46,0,$T$128,$AE$2,AN$3)+MC($AC46,0,$U$128,$AE$2,AN$3)-MC($AC46,0,$V$128,$AE$2,AN$3)</f>
        <v>-1.455102181332335E-2</v>
      </c>
      <c r="AP46" s="10">
        <v>43</v>
      </c>
      <c r="AQ46">
        <f t="shared" si="20"/>
        <v>-0.17625133382059599</v>
      </c>
      <c r="AR46">
        <f t="shared" si="20"/>
        <v>-0.18439356586807165</v>
      </c>
      <c r="AS46">
        <f t="shared" si="20"/>
        <v>-0.19323899504014153</v>
      </c>
      <c r="AT46">
        <f t="shared" si="20"/>
        <v>-0.20296501845909942</v>
      </c>
      <c r="AU46">
        <f t="shared" si="20"/>
        <v>-0.21382746290063426</v>
      </c>
      <c r="AV46">
        <f t="shared" si="20"/>
        <v>-0.22621613790986572</v>
      </c>
      <c r="AW46">
        <f t="shared" si="20"/>
        <v>-0.24077123656605226</v>
      </c>
      <c r="AX46">
        <f t="shared" si="20"/>
        <v>-0.25866488012680156</v>
      </c>
      <c r="AY46">
        <f t="shared" si="20"/>
        <v>-0.28245136174261654</v>
      </c>
      <c r="AZ46">
        <f t="shared" si="20"/>
        <v>-0.31994180082497536</v>
      </c>
      <c r="BA46">
        <f t="shared" si="20"/>
        <v>-0.35425289364126666</v>
      </c>
    </row>
    <row r="47" spans="1:53">
      <c r="A47" s="3" t="s">
        <v>61</v>
      </c>
      <c r="B47" s="1">
        <v>114.019997</v>
      </c>
      <c r="C47" s="1">
        <v>117</v>
      </c>
      <c r="D47" s="1">
        <v>113.970001</v>
      </c>
      <c r="E47" s="1">
        <v>116.58000199999999</v>
      </c>
      <c r="F47" s="1">
        <v>116.58000199999999</v>
      </c>
      <c r="G47" s="1">
        <v>18489900</v>
      </c>
      <c r="H47" s="4">
        <v>44945</v>
      </c>
      <c r="I47" s="2">
        <v>61.450001</v>
      </c>
      <c r="J47" s="2">
        <v>62.660998999999997</v>
      </c>
      <c r="K47" s="2">
        <v>60.740001999999997</v>
      </c>
      <c r="L47" s="2">
        <v>61.32</v>
      </c>
      <c r="M47" s="2">
        <v>61.32</v>
      </c>
      <c r="N47" s="2">
        <v>3026800</v>
      </c>
      <c r="O47">
        <f t="shared" si="14"/>
        <v>0.34468802310637409</v>
      </c>
      <c r="P47">
        <f t="shared" si="15"/>
        <v>0.65531197689362586</v>
      </c>
      <c r="Q47">
        <f t="shared" si="16"/>
        <v>172.34401155318704</v>
      </c>
      <c r="R47">
        <f t="shared" si="17"/>
        <v>327.65598844681296</v>
      </c>
      <c r="S47">
        <f t="shared" si="5"/>
        <v>500</v>
      </c>
      <c r="T47" s="10">
        <f t="shared" si="18"/>
        <v>2.9676744129334506E-2</v>
      </c>
      <c r="U47" s="11">
        <f t="shared" si="19"/>
        <v>-1.1764689955917637E-2</v>
      </c>
      <c r="V47">
        <f t="shared" si="10"/>
        <v>2.5196760336210324E-3</v>
      </c>
      <c r="W47">
        <v>79</v>
      </c>
      <c r="X47">
        <f t="shared" si="8"/>
        <v>4.5211788234396176E-4</v>
      </c>
      <c r="Y47">
        <f t="shared" si="11"/>
        <v>2.5329942806192966E-7</v>
      </c>
      <c r="Z47">
        <f t="shared" si="12"/>
        <v>1.2311290497707576E-5</v>
      </c>
      <c r="AA47">
        <f t="shared" si="13"/>
        <v>4.0838502649863139E-6</v>
      </c>
      <c r="AC47" s="10">
        <v>44</v>
      </c>
      <c r="AD47">
        <f>MC($AC47,0,$T$128,$AE$2,AD$3)+MC($AC47,0,$U$128,$AE$2,AD$3)-MC($AC47,0,$V$128,$AE$2,AD$3)</f>
        <v>-9.2473830208530394E-3</v>
      </c>
      <c r="AE47">
        <f>MC($AC47,0,$T$128,$AE$2,AE$3)+MC($AC47,0,$U$128,$AE$2,AE$3)-MC($AC47,0,$V$128,$AE$2,AE$3)</f>
        <v>-1.1737646133905155E-2</v>
      </c>
      <c r="AF47">
        <f>MC($AC47,0,$T$128,$AE$2,AF$3)+MC($AC47,0,$U$128,$AE$2,AF$3)-MC($AC47,0,$V$128,$AE$2,AF$3)</f>
        <v>-8.7605466842279878E-3</v>
      </c>
      <c r="AG47">
        <f>MC($AC47,0,$T$128,$AE$2,AG$3)+MC($AC47,0,$U$128,$AE$2,AG$3)-MC($AC47,0,$V$128,$AE$2,AG$3)</f>
        <v>-9.8200500642338096E-3</v>
      </c>
      <c r="AH47">
        <f>MC($AC47,0,$T$128,$AE$2,AH$3)+MC($AC47,0,$U$128,$AE$2,AH$3)-MC($AC47,0,$V$128,$AE$2,AH$3)</f>
        <v>-1.0941199250213307E-2</v>
      </c>
      <c r="AI47">
        <f>MC($AC47,0,$T$128,$AE$2,AI$3)+MC($AC47,0,$U$128,$AE$2,AI$3)-MC($AC47,0,$V$128,$AE$2,AI$3)</f>
        <v>-1.5350686828301319E-2</v>
      </c>
      <c r="AJ47">
        <f>MC($AC47,0,$T$128,$AE$2,AJ$3)+MC($AC47,0,$U$128,$AE$2,AJ$3)-MC($AC47,0,$V$128,$AE$2,AJ$3)</f>
        <v>-1.4432481505251449E-2</v>
      </c>
      <c r="AK47">
        <f>MC($AC47,0,$T$128,$AE$2,AK$3)+MC($AC47,0,$U$128,$AE$2,AK$3)-MC($AC47,0,$V$128,$AE$2,AK$3)</f>
        <v>-1.8571712524703576E-2</v>
      </c>
      <c r="AL47">
        <f>MC($AC47,0,$T$128,$AE$2,AL$3)+MC($AC47,0,$U$128,$AE$2,AL$3)-MC($AC47,0,$V$128,$AE$2,AL$3)</f>
        <v>-1.6565692668416121E-2</v>
      </c>
      <c r="AM47">
        <f>MC($AC47,0,$T$128,$AE$2,AM$3)+MC($AC47,0,$U$128,$AE$2,AM$3)-MC($AC47,0,$V$128,$AE$2,AM$3)</f>
        <v>-1.9961782453900234E-2</v>
      </c>
      <c r="AN47">
        <f>MC($AC47,0,$T$128,$AE$2,AN$3)+MC($AC47,0,$U$128,$AE$2,AN$3)-MC($AC47,0,$V$128,$AE$2,AN$3)</f>
        <v>-1.6914012075800677E-2</v>
      </c>
      <c r="AP47" s="10">
        <v>44</v>
      </c>
      <c r="AQ47">
        <f t="shared" si="20"/>
        <v>-0.17828898918875219</v>
      </c>
      <c r="AR47">
        <f t="shared" si="20"/>
        <v>-0.18652535421372468</v>
      </c>
      <c r="AS47">
        <f t="shared" si="20"/>
        <v>-0.19547304607989974</v>
      </c>
      <c r="AT47">
        <f t="shared" si="20"/>
        <v>-0.20531151281148874</v>
      </c>
      <c r="AU47">
        <f t="shared" si="20"/>
        <v>-0.21629953881741681</v>
      </c>
      <c r="AV47">
        <f t="shared" si="20"/>
        <v>-0.22883144026125013</v>
      </c>
      <c r="AW47">
        <f t="shared" si="20"/>
        <v>-0.24355481154419012</v>
      </c>
      <c r="AX47">
        <f t="shared" si="20"/>
        <v>-0.26165532490879906</v>
      </c>
      <c r="AY47">
        <f t="shared" si="20"/>
        <v>-0.28571680388720599</v>
      </c>
      <c r="AZ47">
        <f t="shared" si="20"/>
        <v>-0.3236406728494684</v>
      </c>
      <c r="BA47">
        <f t="shared" si="20"/>
        <v>-0.3583484388763899</v>
      </c>
    </row>
    <row r="48" spans="1:53">
      <c r="A48" s="3" t="s">
        <v>62</v>
      </c>
      <c r="B48" s="1">
        <v>118.302002</v>
      </c>
      <c r="C48" s="1">
        <v>120.05999799999999</v>
      </c>
      <c r="D48" s="1">
        <v>117.800003</v>
      </c>
      <c r="E48" s="1">
        <v>119.860001</v>
      </c>
      <c r="F48" s="1">
        <v>119.860001</v>
      </c>
      <c r="G48" s="1">
        <v>18342700</v>
      </c>
      <c r="H48" s="4">
        <v>44946</v>
      </c>
      <c r="I48" s="2">
        <v>63.040000999999997</v>
      </c>
      <c r="J48" s="2">
        <v>68.650002000000001</v>
      </c>
      <c r="K48" s="2">
        <v>62.560001</v>
      </c>
      <c r="L48" s="2">
        <v>65.860000999999997</v>
      </c>
      <c r="M48" s="2">
        <v>65.860000999999997</v>
      </c>
      <c r="N48" s="2">
        <v>11628500</v>
      </c>
      <c r="O48">
        <f t="shared" si="14"/>
        <v>0.35461985941611179</v>
      </c>
      <c r="P48">
        <f t="shared" si="15"/>
        <v>0.64538014058388826</v>
      </c>
      <c r="Q48">
        <f t="shared" si="16"/>
        <v>177.3099297080559</v>
      </c>
      <c r="R48">
        <f t="shared" si="17"/>
        <v>322.69007029194415</v>
      </c>
      <c r="S48">
        <f t="shared" si="5"/>
        <v>500.00000000000006</v>
      </c>
      <c r="T48" s="10">
        <f t="shared" si="18"/>
        <v>2.8135177077797648E-2</v>
      </c>
      <c r="U48" s="11">
        <f t="shared" si="19"/>
        <v>7.4037850619699877E-2</v>
      </c>
      <c r="V48">
        <f t="shared" si="10"/>
        <v>5.7759850981446842E-2</v>
      </c>
      <c r="W48">
        <v>78</v>
      </c>
      <c r="X48">
        <f t="shared" si="8"/>
        <v>4.8097647057868283E-4</v>
      </c>
      <c r="Y48">
        <f t="shared" si="11"/>
        <v>2.6756784244233004E-7</v>
      </c>
      <c r="Z48">
        <f t="shared" si="12"/>
        <v>2.6727488834202057E-6</v>
      </c>
      <c r="AA48">
        <f t="shared" si="13"/>
        <v>6.5236060572937279E-7</v>
      </c>
      <c r="AC48" s="10">
        <v>45</v>
      </c>
      <c r="AD48">
        <f>MC($AC48,0,$T$128,$AE$2,AD$3)+MC($AC48,0,$U$128,$AE$2,AD$3)-MC($AC48,0,$V$128,$AE$2,AD$3)</f>
        <v>-9.6162947231359652E-3</v>
      </c>
      <c r="AE48">
        <f>MC($AC48,0,$T$128,$AE$2,AE$3)+MC($AC48,0,$U$128,$AE$2,AE$3)-MC($AC48,0,$V$128,$AE$2,AE$3)</f>
        <v>-1.1455905835303648E-2</v>
      </c>
      <c r="AF48">
        <f>MC($AC48,0,$T$128,$AE$2,AF$3)+MC($AC48,0,$U$128,$AE$2,AF$3)-MC($AC48,0,$V$128,$AE$2,AF$3)</f>
        <v>-9.9644536403853401E-3</v>
      </c>
      <c r="AG48">
        <f>MC($AC48,0,$T$128,$AE$2,AG$3)+MC($AC48,0,$U$128,$AE$2,AG$3)-MC($AC48,0,$V$128,$AE$2,AG$3)</f>
        <v>-1.2717379127554773E-2</v>
      </c>
      <c r="AH48">
        <f>MC($AC48,0,$T$128,$AE$2,AH$3)+MC($AC48,0,$U$128,$AE$2,AH$3)-MC($AC48,0,$V$128,$AE$2,AH$3)</f>
        <v>-1.5823980709414709E-2</v>
      </c>
      <c r="AI48">
        <f>MC($AC48,0,$T$128,$AE$2,AI$3)+MC($AC48,0,$U$128,$AE$2,AI$3)-MC($AC48,0,$V$128,$AE$2,AI$3)</f>
        <v>-1.4844211254017026E-2</v>
      </c>
      <c r="AJ48">
        <f>MC($AC48,0,$T$128,$AE$2,AJ$3)+MC($AC48,0,$U$128,$AE$2,AJ$3)-MC($AC48,0,$V$128,$AE$2,AJ$3)</f>
        <v>-1.3603087846573825E-2</v>
      </c>
      <c r="AK48">
        <f>MC($AC48,0,$T$128,$AE$2,AK$3)+MC($AC48,0,$U$128,$AE$2,AK$3)-MC($AC48,0,$V$128,$AE$2,AK$3)</f>
        <v>-1.6047058061812614E-2</v>
      </c>
      <c r="AL48">
        <f>MC($AC48,0,$T$128,$AE$2,AL$3)+MC($AC48,0,$U$128,$AE$2,AL$3)-MC($AC48,0,$V$128,$AE$2,AL$3)</f>
        <v>-2.1313895086576995E-2</v>
      </c>
      <c r="AM48">
        <f>MC($AC48,0,$T$128,$AE$2,AM$3)+MC($AC48,0,$U$128,$AE$2,AM$3)-MC($AC48,0,$V$128,$AE$2,AM$3)</f>
        <v>-2.0355007404464276E-2</v>
      </c>
      <c r="AN48">
        <f>MC($AC48,0,$T$128,$AE$2,AN$3)+MC($AC48,0,$U$128,$AE$2,AN$3)-MC($AC48,0,$V$128,$AE$2,AN$3)</f>
        <v>-2.0841996194862489E-2</v>
      </c>
      <c r="AP48" s="10">
        <v>45</v>
      </c>
      <c r="AQ48">
        <f t="shared" si="20"/>
        <v>-0.18030361798465083</v>
      </c>
      <c r="AR48">
        <f t="shared" si="20"/>
        <v>-0.18863305223520116</v>
      </c>
      <c r="AS48">
        <f t="shared" si="20"/>
        <v>-0.19768185117350923</v>
      </c>
      <c r="AT48">
        <f t="shared" si="20"/>
        <v>-0.20763149054943886</v>
      </c>
      <c r="AU48">
        <f t="shared" si="20"/>
        <v>-0.21874367898234781</v>
      </c>
      <c r="AV48">
        <f t="shared" si="20"/>
        <v>-0.23141718832710079</v>
      </c>
      <c r="AW48">
        <f t="shared" si="20"/>
        <v>-0.246306930668031</v>
      </c>
      <c r="AX48">
        <f t="shared" si="20"/>
        <v>-0.26461197609943099</v>
      </c>
      <c r="AY48">
        <f t="shared" si="20"/>
        <v>-0.28894534482628731</v>
      </c>
      <c r="AZ48">
        <f t="shared" si="20"/>
        <v>-0.32729774568393422</v>
      </c>
      <c r="BA48">
        <f t="shared" si="20"/>
        <v>-0.36239770230656965</v>
      </c>
    </row>
    <row r="49" spans="1:53">
      <c r="A49" s="3" t="s">
        <v>63</v>
      </c>
      <c r="B49" s="1">
        <v>120</v>
      </c>
      <c r="C49" s="1">
        <v>120.300003</v>
      </c>
      <c r="D49" s="1">
        <v>118.137001</v>
      </c>
      <c r="E49" s="1">
        <v>119.529999</v>
      </c>
      <c r="F49" s="1">
        <v>119.529999</v>
      </c>
      <c r="G49" s="1">
        <v>13590200</v>
      </c>
      <c r="H49" s="4">
        <v>44949</v>
      </c>
      <c r="I49" s="2">
        <v>67</v>
      </c>
      <c r="J49" s="2">
        <v>67.080001999999993</v>
      </c>
      <c r="K49" s="2">
        <v>64.685997</v>
      </c>
      <c r="L49" s="2">
        <v>66.730002999999996</v>
      </c>
      <c r="M49" s="2">
        <v>66.730002999999996</v>
      </c>
      <c r="N49" s="2">
        <v>4828600</v>
      </c>
      <c r="O49">
        <f t="shared" si="14"/>
        <v>0.35826265587605866</v>
      </c>
      <c r="P49">
        <f t="shared" si="15"/>
        <v>0.64173734412394134</v>
      </c>
      <c r="Q49">
        <f t="shared" si="16"/>
        <v>179.13132793802933</v>
      </c>
      <c r="R49">
        <f t="shared" si="17"/>
        <v>320.8686720619707</v>
      </c>
      <c r="S49">
        <f t="shared" si="5"/>
        <v>500</v>
      </c>
      <c r="T49" s="10">
        <f t="shared" si="18"/>
        <v>-2.7532287439242828E-3</v>
      </c>
      <c r="U49" s="11">
        <f t="shared" si="19"/>
        <v>1.3209869219406777E-2</v>
      </c>
      <c r="V49">
        <f t="shared" si="10"/>
        <v>7.4908873470540876E-3</v>
      </c>
      <c r="W49">
        <v>77</v>
      </c>
      <c r="X49">
        <f t="shared" si="8"/>
        <v>5.116770963603008E-4</v>
      </c>
      <c r="Y49">
        <f t="shared" si="11"/>
        <v>1.4318178732087474E-6</v>
      </c>
      <c r="Z49">
        <f t="shared" si="12"/>
        <v>8.7603009548484776E-6</v>
      </c>
      <c r="AA49">
        <f t="shared" si="13"/>
        <v>3.6289636735199988E-6</v>
      </c>
      <c r="AC49" s="10">
        <v>46</v>
      </c>
      <c r="AD49">
        <f>MC($AC49,0,$T$128,$AE$2,AD$3)+MC($AC49,0,$U$128,$AE$2,AD$3)-MC($AC49,0,$V$128,$AE$2,AD$3)</f>
        <v>-1.2248741305100008E-2</v>
      </c>
      <c r="AE49">
        <f>MC($AC49,0,$T$128,$AE$2,AE$3)+MC($AC49,0,$U$128,$AE$2,AE$3)-MC($AC49,0,$V$128,$AE$2,AE$3)</f>
        <v>-1.1464161067895606E-2</v>
      </c>
      <c r="AF49">
        <f>MC($AC49,0,$T$128,$AE$2,AF$3)+MC($AC49,0,$U$128,$AE$2,AF$3)-MC($AC49,0,$V$128,$AE$2,AF$3)</f>
        <v>-1.5524985647189515E-2</v>
      </c>
      <c r="AG49">
        <f>MC($AC49,0,$T$128,$AE$2,AG$3)+MC($AC49,0,$U$128,$AE$2,AG$3)-MC($AC49,0,$V$128,$AE$2,AG$3)</f>
        <v>-1.4101938636365441E-2</v>
      </c>
      <c r="AH49">
        <f>MC($AC49,0,$T$128,$AE$2,AH$3)+MC($AC49,0,$U$128,$AE$2,AH$3)-MC($AC49,0,$V$128,$AE$2,AH$3)</f>
        <v>-1.352102495097296E-2</v>
      </c>
      <c r="AI49">
        <f>MC($AC49,0,$T$128,$AE$2,AI$3)+MC($AC49,0,$U$128,$AE$2,AI$3)-MC($AC49,0,$V$128,$AE$2,AI$3)</f>
        <v>-1.7253320761871915E-2</v>
      </c>
      <c r="AJ49">
        <f>MC($AC49,0,$T$128,$AE$2,AJ$3)+MC($AC49,0,$U$128,$AE$2,AJ$3)-MC($AC49,0,$V$128,$AE$2,AJ$3)</f>
        <v>-1.707996687849711E-2</v>
      </c>
      <c r="AK49">
        <f>MC($AC49,0,$T$128,$AE$2,AK$3)+MC($AC49,0,$U$128,$AE$2,AK$3)-MC($AC49,0,$V$128,$AE$2,AK$3)</f>
        <v>-1.3324274645960754E-2</v>
      </c>
      <c r="AL49">
        <f>MC($AC49,0,$T$128,$AE$2,AL$3)+MC($AC49,0,$U$128,$AE$2,AL$3)-MC($AC49,0,$V$128,$AE$2,AL$3)</f>
        <v>-1.6562348714551423E-2</v>
      </c>
      <c r="AM49">
        <f>MC($AC49,0,$T$128,$AE$2,AM$3)+MC($AC49,0,$U$128,$AE$2,AM$3)-MC($AC49,0,$V$128,$AE$2,AM$3)</f>
        <v>-2.1213236857836826E-2</v>
      </c>
      <c r="AN49">
        <f>MC($AC49,0,$T$128,$AE$2,AN$3)+MC($AC49,0,$U$128,$AE$2,AN$3)-MC($AC49,0,$V$128,$AE$2,AN$3)</f>
        <v>-2.5214911042658938E-2</v>
      </c>
      <c r="AP49" s="10">
        <v>46</v>
      </c>
      <c r="AQ49">
        <f t="shared" si="20"/>
        <v>-0.18229598363859473</v>
      </c>
      <c r="AR49">
        <f t="shared" si="20"/>
        <v>-0.19071745863077327</v>
      </c>
      <c r="AS49">
        <f t="shared" si="20"/>
        <v>-0.19986624733310082</v>
      </c>
      <c r="AT49">
        <f t="shared" si="20"/>
        <v>-0.20992583081322158</v>
      </c>
      <c r="AU49">
        <f t="shared" si="20"/>
        <v>-0.22116080958623208</v>
      </c>
      <c r="AV49">
        <f t="shared" si="20"/>
        <v>-0.23397436195960331</v>
      </c>
      <c r="AW49">
        <f t="shared" si="20"/>
        <v>-0.24902863683497589</v>
      </c>
      <c r="AX49">
        <f t="shared" si="20"/>
        <v>-0.26753595410217756</v>
      </c>
      <c r="AY49">
        <f t="shared" si="20"/>
        <v>-0.29213820799416823</v>
      </c>
      <c r="AZ49">
        <f t="shared" si="20"/>
        <v>-0.33091440515201775</v>
      </c>
      <c r="BA49">
        <f t="shared" si="20"/>
        <v>-0.36640221837349185</v>
      </c>
    </row>
    <row r="50" spans="1:53">
      <c r="A50" s="3" t="s">
        <v>64</v>
      </c>
      <c r="B50" s="1">
        <v>115</v>
      </c>
      <c r="C50" s="1">
        <v>120</v>
      </c>
      <c r="D50" s="1">
        <v>115</v>
      </c>
      <c r="E50" s="1">
        <v>119.44000200000001</v>
      </c>
      <c r="F50" s="1">
        <v>119.44000200000001</v>
      </c>
      <c r="G50" s="1">
        <v>7807100</v>
      </c>
      <c r="H50" s="4">
        <v>44950</v>
      </c>
      <c r="I50" s="2">
        <v>65.900002000000001</v>
      </c>
      <c r="J50" s="2">
        <v>66.589995999999999</v>
      </c>
      <c r="K50" s="2">
        <v>63.349997999999999</v>
      </c>
      <c r="L50" s="2">
        <v>64</v>
      </c>
      <c r="M50" s="2">
        <v>64</v>
      </c>
      <c r="N50" s="2">
        <v>4028700</v>
      </c>
      <c r="O50">
        <f t="shared" si="14"/>
        <v>0.34888791595194163</v>
      </c>
      <c r="P50">
        <f t="shared" si="15"/>
        <v>0.65111208404805843</v>
      </c>
      <c r="Q50">
        <f t="shared" si="16"/>
        <v>174.44395797597082</v>
      </c>
      <c r="R50">
        <f t="shared" si="17"/>
        <v>325.55604202402924</v>
      </c>
      <c r="S50">
        <f t="shared" si="5"/>
        <v>500.00000000000006</v>
      </c>
      <c r="T50" s="10">
        <f t="shared" si="18"/>
        <v>-7.529239584449153E-4</v>
      </c>
      <c r="U50" s="11">
        <f t="shared" si="19"/>
        <v>-4.0911177540333639E-2</v>
      </c>
      <c r="V50">
        <f t="shared" si="10"/>
        <v>-2.690044813987889E-2</v>
      </c>
      <c r="W50">
        <v>76</v>
      </c>
      <c r="X50">
        <f t="shared" si="8"/>
        <v>5.4433733655351161E-4</v>
      </c>
      <c r="Y50">
        <f t="shared" si="11"/>
        <v>1.3268128238615591E-6</v>
      </c>
      <c r="Z50">
        <f t="shared" si="12"/>
        <v>1.7750142072686055E-5</v>
      </c>
      <c r="AA50">
        <f t="shared" si="13"/>
        <v>7.3010485705900947E-6</v>
      </c>
      <c r="AC50" s="10">
        <v>47</v>
      </c>
      <c r="AD50">
        <f>MC($AC50,0,$T$128,$AE$2,AD$3)+MC($AC50,0,$U$128,$AE$2,AD$3)-MC($AC50,0,$V$128,$AE$2,AD$3)</f>
        <v>-1.133379604551199E-2</v>
      </c>
      <c r="AE50">
        <f>MC($AC50,0,$T$128,$AE$2,AE$3)+MC($AC50,0,$U$128,$AE$2,AE$3)-MC($AC50,0,$V$128,$AE$2,AE$3)</f>
        <v>-8.5053470234186523E-3</v>
      </c>
      <c r="AF50">
        <f>MC($AC50,0,$T$128,$AE$2,AF$3)+MC($AC50,0,$U$128,$AE$2,AF$3)-MC($AC50,0,$V$128,$AE$2,AF$3)</f>
        <v>-1.4305618384415686E-2</v>
      </c>
      <c r="AG50">
        <f>MC($AC50,0,$T$128,$AE$2,AG$3)+MC($AC50,0,$U$128,$AE$2,AG$3)-MC($AC50,0,$V$128,$AE$2,AG$3)</f>
        <v>-1.1307031375841881E-2</v>
      </c>
      <c r="AH50">
        <f>MC($AC50,0,$T$128,$AE$2,AH$3)+MC($AC50,0,$U$128,$AE$2,AH$3)-MC($AC50,0,$V$128,$AE$2,AH$3)</f>
        <v>-1.1882064656351776E-2</v>
      </c>
      <c r="AI50">
        <f>MC($AC50,0,$T$128,$AE$2,AI$3)+MC($AC50,0,$U$128,$AE$2,AI$3)-MC($AC50,0,$V$128,$AE$2,AI$3)</f>
        <v>-1.2061431270573797E-2</v>
      </c>
      <c r="AJ50">
        <f>MC($AC50,0,$T$128,$AE$2,AJ$3)+MC($AC50,0,$U$128,$AE$2,AJ$3)-MC($AC50,0,$V$128,$AE$2,AJ$3)</f>
        <v>-1.9160999522616518E-2</v>
      </c>
      <c r="AK50">
        <f>MC($AC50,0,$T$128,$AE$2,AK$3)+MC($AC50,0,$U$128,$AE$2,AK$3)-MC($AC50,0,$V$128,$AE$2,AK$3)</f>
        <v>-1.2241850608791793E-2</v>
      </c>
      <c r="AL50">
        <f>MC($AC50,0,$T$128,$AE$2,AL$3)+MC($AC50,0,$U$128,$AE$2,AL$3)-MC($AC50,0,$V$128,$AE$2,AL$3)</f>
        <v>-1.5847336283113078E-2</v>
      </c>
      <c r="AM50">
        <f>MC($AC50,0,$T$128,$AE$2,AM$3)+MC($AC50,0,$U$128,$AE$2,AM$3)-MC($AC50,0,$V$128,$AE$2,AM$3)</f>
        <v>-2.2299081011374344E-2</v>
      </c>
      <c r="AN50">
        <f>MC($AC50,0,$T$128,$AE$2,AN$3)+MC($AC50,0,$U$128,$AE$2,AN$3)-MC($AC50,0,$V$128,$AE$2,AN$3)</f>
        <v>-1.5824784385411128E-2</v>
      </c>
      <c r="AP50" s="10">
        <v>47</v>
      </c>
      <c r="AQ50">
        <f t="shared" si="20"/>
        <v>-0.18426680830570297</v>
      </c>
      <c r="AR50">
        <f t="shared" si="20"/>
        <v>-0.1927793289167522</v>
      </c>
      <c r="AS50">
        <f t="shared" si="20"/>
        <v>-0.20202702631738906</v>
      </c>
      <c r="AT50">
        <f t="shared" si="20"/>
        <v>-0.2121953652120161</v>
      </c>
      <c r="AU50">
        <f t="shared" si="20"/>
        <v>-0.22355180674497521</v>
      </c>
      <c r="AV50">
        <f t="shared" si="20"/>
        <v>-0.23650388803481881</v>
      </c>
      <c r="AW50">
        <f t="shared" si="20"/>
        <v>-0.25172091655773554</v>
      </c>
      <c r="AX50">
        <f t="shared" si="20"/>
        <v>-0.27042831874542828</v>
      </c>
      <c r="AY50">
        <f t="shared" si="20"/>
        <v>-0.29529655067966132</v>
      </c>
      <c r="AZ50">
        <f t="shared" si="20"/>
        <v>-0.33449196215222021</v>
      </c>
      <c r="BA50">
        <f t="shared" si="20"/>
        <v>-0.37036343855860165</v>
      </c>
    </row>
    <row r="51" spans="1:53">
      <c r="A51" s="3" t="s">
        <v>65</v>
      </c>
      <c r="B51" s="1">
        <v>118.510002</v>
      </c>
      <c r="C51" s="1">
        <v>120.32</v>
      </c>
      <c r="D51" s="1">
        <v>117.5</v>
      </c>
      <c r="E51" s="1">
        <v>120.25</v>
      </c>
      <c r="F51" s="1">
        <v>120.25</v>
      </c>
      <c r="G51" s="1">
        <v>9705000</v>
      </c>
      <c r="H51" s="4">
        <v>44951</v>
      </c>
      <c r="I51" s="2">
        <v>63.889999000000003</v>
      </c>
      <c r="J51" s="2">
        <v>64.933998000000003</v>
      </c>
      <c r="K51" s="2">
        <v>61.360000999999997</v>
      </c>
      <c r="L51" s="2">
        <v>64.260002</v>
      </c>
      <c r="M51" s="2">
        <v>64.260002</v>
      </c>
      <c r="N51" s="2">
        <v>4382000</v>
      </c>
      <c r="O51">
        <f t="shared" si="14"/>
        <v>0.34827381336216129</v>
      </c>
      <c r="P51">
        <f t="shared" si="15"/>
        <v>0.65172618663783877</v>
      </c>
      <c r="Q51">
        <f t="shared" si="16"/>
        <v>174.13690668108063</v>
      </c>
      <c r="R51">
        <f t="shared" si="17"/>
        <v>325.86309331891937</v>
      </c>
      <c r="S51">
        <f t="shared" si="5"/>
        <v>500</v>
      </c>
      <c r="T51" s="10">
        <f t="shared" si="18"/>
        <v>6.7816308308500618E-3</v>
      </c>
      <c r="U51" s="11">
        <f t="shared" si="19"/>
        <v>4.062531250000001E-3</v>
      </c>
      <c r="V51">
        <f t="shared" si="10"/>
        <v>5.0095224299341063E-3</v>
      </c>
      <c r="W51">
        <v>75</v>
      </c>
      <c r="X51">
        <f t="shared" si="8"/>
        <v>5.7908227292926759E-4</v>
      </c>
      <c r="Y51">
        <f t="shared" si="11"/>
        <v>9.4306061865154504E-7</v>
      </c>
      <c r="Z51">
        <f t="shared" si="12"/>
        <v>9.9908477691925383E-6</v>
      </c>
      <c r="AA51">
        <f t="shared" si="13"/>
        <v>3.8176473947813297E-6</v>
      </c>
      <c r="AC51" s="10">
        <v>48</v>
      </c>
      <c r="AD51">
        <f>MC($AC51,0,$T$128,$AE$2,AD$3)+MC($AC51,0,$U$128,$AE$2,AD$3)-MC($AC51,0,$V$128,$AE$2,AD$3)</f>
        <v>-1.1964059642581626E-2</v>
      </c>
      <c r="AE51">
        <f>MC($AC51,0,$T$128,$AE$2,AE$3)+MC($AC51,0,$U$128,$AE$2,AE$3)-MC($AC51,0,$V$128,$AE$2,AE$3)</f>
        <v>-1.2450843550786406E-2</v>
      </c>
      <c r="AF51">
        <f>MC($AC51,0,$T$128,$AE$2,AF$3)+MC($AC51,0,$U$128,$AE$2,AF$3)-MC($AC51,0,$V$128,$AE$2,AF$3)</f>
        <v>-1.2233089623083337E-2</v>
      </c>
      <c r="AG51">
        <f>MC($AC51,0,$T$128,$AE$2,AG$3)+MC($AC51,0,$U$128,$AE$2,AG$3)-MC($AC51,0,$V$128,$AE$2,AG$3)</f>
        <v>-1.2870115787970482E-2</v>
      </c>
      <c r="AH51">
        <f>MC($AC51,0,$T$128,$AE$2,AH$3)+MC($AC51,0,$U$128,$AE$2,AH$3)-MC($AC51,0,$V$128,$AE$2,AH$3)</f>
        <v>-1.5092776772827721E-2</v>
      </c>
      <c r="AI51">
        <f>MC($AC51,0,$T$128,$AE$2,AI$3)+MC($AC51,0,$U$128,$AE$2,AI$3)-MC($AC51,0,$V$128,$AE$2,AI$3)</f>
        <v>-1.2669414305163107E-2</v>
      </c>
      <c r="AJ51">
        <f>MC($AC51,0,$T$128,$AE$2,AJ$3)+MC($AC51,0,$U$128,$AE$2,AJ$3)-MC($AC51,0,$V$128,$AE$2,AJ$3)</f>
        <v>-1.414913882508273E-2</v>
      </c>
      <c r="AK51">
        <f>MC($AC51,0,$T$128,$AE$2,AK$3)+MC($AC51,0,$U$128,$AE$2,AK$3)-MC($AC51,0,$V$128,$AE$2,AK$3)</f>
        <v>-1.5338476844760196E-2</v>
      </c>
      <c r="AL51">
        <f>MC($AC51,0,$T$128,$AE$2,AL$3)+MC($AC51,0,$U$128,$AE$2,AL$3)-MC($AC51,0,$V$128,$AE$2,AL$3)</f>
        <v>-1.9845158770601223E-2</v>
      </c>
      <c r="AM51">
        <f>MC($AC51,0,$T$128,$AE$2,AM$3)+MC($AC51,0,$U$128,$AE$2,AM$3)-MC($AC51,0,$V$128,$AE$2,AM$3)</f>
        <v>-2.098203381246222E-2</v>
      </c>
      <c r="AN51">
        <f>MC($AC51,0,$T$128,$AE$2,AN$3)+MC($AC51,0,$U$128,$AE$2,AN$3)-MC($AC51,0,$V$128,$AE$2,AN$3)</f>
        <v>-2.3361761480082954E-2</v>
      </c>
      <c r="AP51" s="10">
        <v>48</v>
      </c>
      <c r="AQ51">
        <f t="shared" si="20"/>
        <v>-0.1862167759241326</v>
      </c>
      <c r="AR51">
        <f t="shared" si="20"/>
        <v>-0.19481937862698873</v>
      </c>
      <c r="AS51">
        <f t="shared" si="20"/>
        <v>-0.2041649379846544</v>
      </c>
      <c r="AT51">
        <f t="shared" si="20"/>
        <v>-0.21444088134565331</v>
      </c>
      <c r="AU51">
        <f t="shared" si="20"/>
        <v>-0.2259175002098065</v>
      </c>
      <c r="AV51">
        <f t="shared" si="20"/>
        <v>-0.23900664437786834</v>
      </c>
      <c r="AW51">
        <f t="shared" si="20"/>
        <v>-0.25438470414206626</v>
      </c>
      <c r="AX51">
        <f t="shared" si="20"/>
        <v>-0.27329007377070169</v>
      </c>
      <c r="AY51">
        <f t="shared" si="20"/>
        <v>-0.29842146892703192</v>
      </c>
      <c r="AZ51">
        <f t="shared" si="20"/>
        <v>-0.33803165820936198</v>
      </c>
      <c r="BA51">
        <f t="shared" si="20"/>
        <v>-0.37428273752991359</v>
      </c>
    </row>
    <row r="52" spans="1:53">
      <c r="A52" s="3" t="s">
        <v>66</v>
      </c>
      <c r="B52" s="1">
        <v>121</v>
      </c>
      <c r="C52" s="1">
        <v>121.300003</v>
      </c>
      <c r="D52" s="1">
        <v>118.762001</v>
      </c>
      <c r="E52" s="1">
        <v>120.57</v>
      </c>
      <c r="F52" s="1">
        <v>120.57</v>
      </c>
      <c r="G52" s="1">
        <v>11171000</v>
      </c>
      <c r="H52" s="4">
        <v>44952</v>
      </c>
      <c r="I52" s="2">
        <v>67.800003000000004</v>
      </c>
      <c r="J52" s="2">
        <v>68.760002</v>
      </c>
      <c r="K52" s="2">
        <v>65.360000999999997</v>
      </c>
      <c r="L52" s="2">
        <v>67</v>
      </c>
      <c r="M52" s="2">
        <v>67</v>
      </c>
      <c r="N52" s="2">
        <v>3525600</v>
      </c>
      <c r="O52">
        <f t="shared" si="14"/>
        <v>0.35719997867462816</v>
      </c>
      <c r="P52">
        <f t="shared" si="15"/>
        <v>0.64280002132537184</v>
      </c>
      <c r="Q52">
        <f t="shared" si="16"/>
        <v>178.59998933731407</v>
      </c>
      <c r="R52">
        <f t="shared" si="17"/>
        <v>321.40001066268593</v>
      </c>
      <c r="S52">
        <f t="shared" si="5"/>
        <v>500</v>
      </c>
      <c r="T52" s="10">
        <f t="shared" si="18"/>
        <v>2.6611226611226043E-3</v>
      </c>
      <c r="U52" s="11">
        <f t="shared" si="19"/>
        <v>4.2639245482749909E-2</v>
      </c>
      <c r="V52">
        <f t="shared" si="10"/>
        <v>2.8359060863412968E-2</v>
      </c>
      <c r="W52">
        <v>74</v>
      </c>
      <c r="X52">
        <f t="shared" si="8"/>
        <v>6.1604497120134845E-4</v>
      </c>
      <c r="Y52">
        <f t="shared" si="11"/>
        <v>1.1411738270242478E-6</v>
      </c>
      <c r="Z52">
        <f t="shared" si="12"/>
        <v>4.8412084758317006E-6</v>
      </c>
      <c r="AA52">
        <f t="shared" si="13"/>
        <v>1.8784095100325335E-6</v>
      </c>
      <c r="AC52" s="10">
        <v>49</v>
      </c>
      <c r="AD52">
        <f>MC($AC52,0,$T$128,$AE$2,AD$3)+MC($AC52,0,$U$128,$AE$2,AD$3)-MC($AC52,0,$V$128,$AE$2,AD$3)</f>
        <v>-9.3206856076382127E-3</v>
      </c>
      <c r="AE52">
        <f>MC($AC52,0,$T$128,$AE$2,AE$3)+MC($AC52,0,$U$128,$AE$2,AE$3)-MC($AC52,0,$V$128,$AE$2,AE$3)</f>
        <v>-1.510928856851157E-2</v>
      </c>
      <c r="AF52">
        <f>MC($AC52,0,$T$128,$AE$2,AF$3)+MC($AC52,0,$U$128,$AE$2,AF$3)-MC($AC52,0,$V$128,$AE$2,AF$3)</f>
        <v>-1.3719745767437619E-2</v>
      </c>
      <c r="AG52">
        <f>MC($AC52,0,$T$128,$AE$2,AG$3)+MC($AC52,0,$U$128,$AE$2,AG$3)-MC($AC52,0,$V$128,$AE$2,AG$3)</f>
        <v>-1.2224510510978615E-2</v>
      </c>
      <c r="AH52">
        <f>MC($AC52,0,$T$128,$AE$2,AH$3)+MC($AC52,0,$U$128,$AE$2,AH$3)-MC($AC52,0,$V$128,$AE$2,AH$3)</f>
        <v>-1.1489345506923598E-2</v>
      </c>
      <c r="AI52">
        <f>MC($AC52,0,$T$128,$AE$2,AI$3)+MC($AC52,0,$U$128,$AE$2,AI$3)-MC($AC52,0,$V$128,$AE$2,AI$3)</f>
        <v>-1.5951440893775759E-2</v>
      </c>
      <c r="AJ52">
        <f>MC($AC52,0,$T$128,$AE$2,AJ$3)+MC($AC52,0,$U$128,$AE$2,AJ$3)-MC($AC52,0,$V$128,$AE$2,AJ$3)</f>
        <v>-1.6614007708241951E-2</v>
      </c>
      <c r="AK52">
        <f>MC($AC52,0,$T$128,$AE$2,AK$3)+MC($AC52,0,$U$128,$AE$2,AK$3)-MC($AC52,0,$V$128,$AE$2,AK$3)</f>
        <v>-1.6242452159920706E-2</v>
      </c>
      <c r="AL52">
        <f>MC($AC52,0,$T$128,$AE$2,AL$3)+MC($AC52,0,$U$128,$AE$2,AL$3)-MC($AC52,0,$V$128,$AE$2,AL$3)</f>
        <v>-2.1286085516265318E-2</v>
      </c>
      <c r="AM52">
        <f>MC($AC52,0,$T$128,$AE$2,AM$3)+MC($AC52,0,$U$128,$AE$2,AM$3)-MC($AC52,0,$V$128,$AE$2,AM$3)</f>
        <v>-1.8368008891681775E-2</v>
      </c>
      <c r="AN52">
        <f>MC($AC52,0,$T$128,$AE$2,AN$3)+MC($AC52,0,$U$128,$AE$2,AN$3)-MC($AC52,0,$V$128,$AE$2,AN$3)</f>
        <v>-2.3411285878333743E-2</v>
      </c>
      <c r="AP52" s="10">
        <v>49</v>
      </c>
      <c r="AQ52">
        <f t="shared" si="20"/>
        <v>-0.18814653498798867</v>
      </c>
      <c r="AR52">
        <f t="shared" si="20"/>
        <v>-0.19683828621388316</v>
      </c>
      <c r="AS52">
        <f t="shared" si="20"/>
        <v>-0.20628069333291599</v>
      </c>
      <c r="AT52">
        <f t="shared" si="20"/>
        <v>-0.21666312599780346</v>
      </c>
      <c r="AU52">
        <f t="shared" si="20"/>
        <v>-0.22825867673136346</v>
      </c>
      <c r="AV52">
        <f t="shared" si="20"/>
        <v>-0.24148346332192494</v>
      </c>
      <c r="AW52">
        <f t="shared" si="20"/>
        <v>-0.2570208854747541</v>
      </c>
      <c r="AX52">
        <f t="shared" si="20"/>
        <v>-0.27612217090214264</v>
      </c>
      <c r="AY52">
        <f t="shared" si="20"/>
        <v>-0.30151400197972433</v>
      </c>
      <c r="AZ52">
        <f t="shared" si="20"/>
        <v>-0.34153467050813369</v>
      </c>
      <c r="BA52">
        <f t="shared" si="20"/>
        <v>-0.37816141871537001</v>
      </c>
    </row>
    <row r="53" spans="1:53">
      <c r="A53" s="3" t="s">
        <v>67</v>
      </c>
      <c r="B53" s="1">
        <v>119.69000200000001</v>
      </c>
      <c r="C53" s="1">
        <v>119.709999</v>
      </c>
      <c r="D53" s="1">
        <v>116.80999799999999</v>
      </c>
      <c r="E53" s="1">
        <v>118.379997</v>
      </c>
      <c r="F53" s="1">
        <v>118.379997</v>
      </c>
      <c r="G53" s="1">
        <v>18027400</v>
      </c>
      <c r="H53" s="4">
        <v>44953</v>
      </c>
      <c r="I53" s="2">
        <v>66.680000000000007</v>
      </c>
      <c r="J53" s="2">
        <v>69.410004000000001</v>
      </c>
      <c r="K53" s="2">
        <v>66.199996999999996</v>
      </c>
      <c r="L53" s="2">
        <v>68.550003000000004</v>
      </c>
      <c r="M53" s="2">
        <v>68.550003000000004</v>
      </c>
      <c r="N53" s="2">
        <v>5069400</v>
      </c>
      <c r="O53">
        <f t="shared" si="14"/>
        <v>0.36671482908040443</v>
      </c>
      <c r="P53">
        <f t="shared" si="15"/>
        <v>0.63328517091959557</v>
      </c>
      <c r="Q53">
        <f t="shared" si="16"/>
        <v>183.3574145402022</v>
      </c>
      <c r="R53">
        <f t="shared" si="17"/>
        <v>316.64258545979777</v>
      </c>
      <c r="S53">
        <f t="shared" si="5"/>
        <v>500</v>
      </c>
      <c r="T53" s="10">
        <f t="shared" si="18"/>
        <v>-1.8163747200796138E-2</v>
      </c>
      <c r="U53" s="11">
        <f t="shared" si="19"/>
        <v>2.3134373134328416E-2</v>
      </c>
      <c r="V53">
        <f t="shared" si="10"/>
        <v>7.9897399942912423E-3</v>
      </c>
      <c r="W53">
        <v>73</v>
      </c>
      <c r="X53">
        <f t="shared" si="8"/>
        <v>6.5536699063973235E-4</v>
      </c>
      <c r="Y53">
        <f t="shared" si="11"/>
        <v>2.5577653689820877E-6</v>
      </c>
      <c r="Z53">
        <f t="shared" si="12"/>
        <v>7.1094137723586274E-6</v>
      </c>
      <c r="AA53">
        <f t="shared" si="13"/>
        <v>3.4964940088276945E-6</v>
      </c>
      <c r="AC53" s="10">
        <v>50</v>
      </c>
      <c r="AD53">
        <f>MC($AC53,0,$T$128,$AE$2,AD$3)+MC($AC53,0,$U$128,$AE$2,AD$3)-MC($AC53,0,$V$128,$AE$2,AD$3)</f>
        <v>-1.0009311610541971E-2</v>
      </c>
      <c r="AE53">
        <f>MC($AC53,0,$T$128,$AE$2,AE$3)+MC($AC53,0,$U$128,$AE$2,AE$3)-MC($AC53,0,$V$128,$AE$2,AE$3)</f>
        <v>-1.1600511546784986E-2</v>
      </c>
      <c r="AF53">
        <f>MC($AC53,0,$T$128,$AE$2,AF$3)+MC($AC53,0,$U$128,$AE$2,AF$3)-MC($AC53,0,$V$128,$AE$2,AF$3)</f>
        <v>-1.3304800278899132E-2</v>
      </c>
      <c r="AG53">
        <f>MC($AC53,0,$T$128,$AE$2,AG$3)+MC($AC53,0,$U$128,$AE$2,AG$3)-MC($AC53,0,$V$128,$AE$2,AG$3)</f>
        <v>-1.5971372439200548E-2</v>
      </c>
      <c r="AH53">
        <f>MC($AC53,0,$T$128,$AE$2,AH$3)+MC($AC53,0,$U$128,$AE$2,AH$3)-MC($AC53,0,$V$128,$AE$2,AH$3)</f>
        <v>-1.1676275394626012E-2</v>
      </c>
      <c r="AI53">
        <f>MC($AC53,0,$T$128,$AE$2,AI$3)+MC($AC53,0,$U$128,$AE$2,AI$3)-MC($AC53,0,$V$128,$AE$2,AI$3)</f>
        <v>-1.8926941670468489E-2</v>
      </c>
      <c r="AJ53">
        <f>MC($AC53,0,$T$128,$AE$2,AJ$3)+MC($AC53,0,$U$128,$AE$2,AJ$3)-MC($AC53,0,$V$128,$AE$2,AJ$3)</f>
        <v>-1.5733980929976132E-2</v>
      </c>
      <c r="AK53">
        <f>MC($AC53,0,$T$128,$AE$2,AK$3)+MC($AC53,0,$U$128,$AE$2,AK$3)-MC($AC53,0,$V$128,$AE$2,AK$3)</f>
        <v>-2.1574962182870694E-2</v>
      </c>
      <c r="AL53">
        <f>MC($AC53,0,$T$128,$AE$2,AL$3)+MC($AC53,0,$U$128,$AE$2,AL$3)-MC($AC53,0,$V$128,$AE$2,AL$3)</f>
        <v>-1.8714068984704291E-2</v>
      </c>
      <c r="AM53">
        <f>MC($AC53,0,$T$128,$AE$2,AM$3)+MC($AC53,0,$U$128,$AE$2,AM$3)-MC($AC53,0,$V$128,$AE$2,AM$3)</f>
        <v>-2.4163113055436058E-2</v>
      </c>
      <c r="AN53">
        <f>MC($AC53,0,$T$128,$AE$2,AN$3)+MC($AC53,0,$U$128,$AE$2,AN$3)-MC($AC53,0,$V$128,$AE$2,AN$3)</f>
        <v>-2.676944425522132E-2</v>
      </c>
      <c r="AP53" s="10">
        <v>50</v>
      </c>
      <c r="AQ53">
        <f t="shared" si="20"/>
        <v>-0.19005670106679845</v>
      </c>
      <c r="AR53">
        <f t="shared" si="20"/>
        <v>-0.19883669568425055</v>
      </c>
      <c r="AS53">
        <f t="shared" si="20"/>
        <v>-0.20837496726223947</v>
      </c>
      <c r="AT53">
        <f t="shared" si="20"/>
        <v>-0.2188628080373175</v>
      </c>
      <c r="AU53">
        <f t="shared" si="20"/>
        <v>-0.23057608311630728</v>
      </c>
      <c r="AV53">
        <f t="shared" si="20"/>
        <v>-0.24393513494192298</v>
      </c>
      <c r="AW53">
        <f t="shared" si="20"/>
        <v>-0.25963030146538524</v>
      </c>
      <c r="AX53">
        <f t="shared" si="20"/>
        <v>-0.2789255135440798</v>
      </c>
      <c r="AY53">
        <f t="shared" si="20"/>
        <v>-0.3045751363179392</v>
      </c>
      <c r="AZ53">
        <f t="shared" si="20"/>
        <v>-0.34500211646659207</v>
      </c>
      <c r="BA53">
        <f t="shared" si="20"/>
        <v>-0.38200071936680491</v>
      </c>
    </row>
    <row r="54" spans="1:53">
      <c r="A54" s="3" t="s">
        <v>68</v>
      </c>
      <c r="B54" s="1">
        <v>111.69000200000001</v>
      </c>
      <c r="C54" s="1">
        <v>113.150002</v>
      </c>
      <c r="D54" s="1">
        <v>109.779999</v>
      </c>
      <c r="E54" s="1">
        <v>111.199997</v>
      </c>
      <c r="F54" s="1">
        <v>111.199997</v>
      </c>
      <c r="G54" s="1">
        <v>21918200</v>
      </c>
      <c r="H54" s="4">
        <v>44956</v>
      </c>
      <c r="I54" s="2">
        <v>66.779999000000004</v>
      </c>
      <c r="J54" s="2">
        <v>66.779999000000004</v>
      </c>
      <c r="K54" s="2">
        <v>64.139999000000003</v>
      </c>
      <c r="L54" s="2">
        <v>64.610000999999997</v>
      </c>
      <c r="M54" s="2">
        <v>64.610000999999997</v>
      </c>
      <c r="N54" s="2">
        <v>4363000</v>
      </c>
      <c r="O54">
        <f t="shared" si="14"/>
        <v>0.36749901447584338</v>
      </c>
      <c r="P54">
        <f t="shared" si="15"/>
        <v>0.63250098552415657</v>
      </c>
      <c r="Q54">
        <f t="shared" si="16"/>
        <v>183.74950723792168</v>
      </c>
      <c r="R54">
        <f t="shared" si="17"/>
        <v>316.2504927620783</v>
      </c>
      <c r="S54">
        <f t="shared" si="5"/>
        <v>500</v>
      </c>
      <c r="T54" s="10">
        <f t="shared" si="18"/>
        <v>-6.0652138722389108E-2</v>
      </c>
      <c r="U54" s="11">
        <f t="shared" si="19"/>
        <v>-5.7476321335828487E-2</v>
      </c>
      <c r="V54">
        <f t="shared" si="10"/>
        <v>-5.8643431095544762E-2</v>
      </c>
      <c r="W54">
        <v>72</v>
      </c>
      <c r="X54">
        <f t="shared" si="8"/>
        <v>6.9719892621248139E-4</v>
      </c>
      <c r="Y54">
        <f t="shared" si="11"/>
        <v>7.4845907724647105E-6</v>
      </c>
      <c r="Z54">
        <f t="shared" si="12"/>
        <v>2.2812339155721605E-5</v>
      </c>
      <c r="AA54">
        <f t="shared" si="13"/>
        <v>1.3125272568698518E-5</v>
      </c>
      <c r="AC54" s="10">
        <v>51</v>
      </c>
      <c r="AD54">
        <f>MC($AC54,0,$T$128,$AE$2,AD$3)+MC($AC54,0,$U$128,$AE$2,AD$3)-MC($AC54,0,$V$128,$AE$2,AD$3)</f>
        <v>-1.4607557208803579E-2</v>
      </c>
      <c r="AE54">
        <f>MC($AC54,0,$T$128,$AE$2,AE$3)+MC($AC54,0,$U$128,$AE$2,AE$3)-MC($AC54,0,$V$128,$AE$2,AE$3)</f>
        <v>-1.4709033087675794E-2</v>
      </c>
      <c r="AF54">
        <f>MC($AC54,0,$T$128,$AE$2,AF$3)+MC($AC54,0,$U$128,$AE$2,AF$3)-MC($AC54,0,$V$128,$AE$2,AF$3)</f>
        <v>-1.4104566329004919E-2</v>
      </c>
      <c r="AG54">
        <f>MC($AC54,0,$T$128,$AE$2,AG$3)+MC($AC54,0,$U$128,$AE$2,AG$3)-MC($AC54,0,$V$128,$AE$2,AG$3)</f>
        <v>-1.5449683606427289E-2</v>
      </c>
      <c r="AH54">
        <f>MC($AC54,0,$T$128,$AE$2,AH$3)+MC($AC54,0,$U$128,$AE$2,AH$3)-MC($AC54,0,$V$128,$AE$2,AH$3)</f>
        <v>-1.6073413346555876E-2</v>
      </c>
      <c r="AI54">
        <f>MC($AC54,0,$T$128,$AE$2,AI$3)+MC($AC54,0,$U$128,$AE$2,AI$3)-MC($AC54,0,$V$128,$AE$2,AI$3)</f>
        <v>-1.5728023574510086E-2</v>
      </c>
      <c r="AJ54">
        <f>MC($AC54,0,$T$128,$AE$2,AJ$3)+MC($AC54,0,$U$128,$AE$2,AJ$3)-MC($AC54,0,$V$128,$AE$2,AJ$3)</f>
        <v>-1.728539446169175E-2</v>
      </c>
      <c r="AK54">
        <f>MC($AC54,0,$T$128,$AE$2,AK$3)+MC($AC54,0,$U$128,$AE$2,AK$3)-MC($AC54,0,$V$128,$AE$2,AK$3)</f>
        <v>-1.8969153586176457E-2</v>
      </c>
      <c r="AL54">
        <f>MC($AC54,0,$T$128,$AE$2,AL$3)+MC($AC54,0,$U$128,$AE$2,AL$3)-MC($AC54,0,$V$128,$AE$2,AL$3)</f>
        <v>-1.7244338342632837E-2</v>
      </c>
      <c r="AM54">
        <f>MC($AC54,0,$T$128,$AE$2,AM$3)+MC($AC54,0,$U$128,$AE$2,AM$3)-MC($AC54,0,$V$128,$AE$2,AM$3)</f>
        <v>-2.5059277018917525E-2</v>
      </c>
      <c r="AN54">
        <f>MC($AC54,0,$T$128,$AE$2,AN$3)+MC($AC54,0,$U$128,$AE$2,AN$3)-MC($AC54,0,$V$128,$AE$2,AN$3)</f>
        <v>-2.1923852162622826E-2</v>
      </c>
      <c r="AP54" s="10">
        <v>51</v>
      </c>
      <c r="AQ54">
        <f t="shared" si="20"/>
        <v>-0.19194785909929357</v>
      </c>
      <c r="AR54">
        <f t="shared" si="20"/>
        <v>-0.20081521899906846</v>
      </c>
      <c r="AS54">
        <f t="shared" si="20"/>
        <v>-0.21044840108960228</v>
      </c>
      <c r="AT54">
        <f t="shared" si="20"/>
        <v>-0.22104060105966805</v>
      </c>
      <c r="AU54">
        <f t="shared" si="20"/>
        <v>-0.23287042901013311</v>
      </c>
      <c r="AV54">
        <f t="shared" si="20"/>
        <v>-0.24636240999859704</v>
      </c>
      <c r="AW54">
        <f t="shared" si="20"/>
        <v>-0.2622137511798095</v>
      </c>
      <c r="AX54">
        <f t="shared" si="20"/>
        <v>-0.28170096014736135</v>
      </c>
      <c r="AY54">
        <f t="shared" si="20"/>
        <v>-0.30760580933453285</v>
      </c>
      <c r="AZ54">
        <f t="shared" si="20"/>
        <v>-0.34843505789997176</v>
      </c>
      <c r="BA54">
        <f t="shared" si="20"/>
        <v>-0.38580181517029133</v>
      </c>
    </row>
    <row r="55" spans="1:53">
      <c r="A55" s="3" t="s">
        <v>69</v>
      </c>
      <c r="B55" s="1">
        <v>109.41999800000001</v>
      </c>
      <c r="C55" s="1">
        <v>112.08000199999999</v>
      </c>
      <c r="D55" s="1">
        <v>108.80999799999999</v>
      </c>
      <c r="E55" s="1">
        <v>110.199997</v>
      </c>
      <c r="F55" s="1">
        <v>110.199997</v>
      </c>
      <c r="G55" s="1">
        <v>15330000</v>
      </c>
      <c r="H55" s="4">
        <v>44957</v>
      </c>
      <c r="I55" s="2">
        <v>64.870002999999997</v>
      </c>
      <c r="J55" s="2">
        <v>65.879997000000003</v>
      </c>
      <c r="K55" s="2">
        <v>63.82</v>
      </c>
      <c r="L55" s="2">
        <v>64.449996999999996</v>
      </c>
      <c r="M55" s="2">
        <v>64.449996999999996</v>
      </c>
      <c r="N55" s="2">
        <v>3433000</v>
      </c>
      <c r="O55">
        <f t="shared" si="14"/>
        <v>0.3690237573097197</v>
      </c>
      <c r="P55">
        <f t="shared" si="15"/>
        <v>0.6309762426902803</v>
      </c>
      <c r="Q55">
        <f t="shared" si="16"/>
        <v>184.51187865485986</v>
      </c>
      <c r="R55">
        <f t="shared" si="17"/>
        <v>315.48812134514014</v>
      </c>
      <c r="S55">
        <f t="shared" si="5"/>
        <v>500</v>
      </c>
      <c r="T55" s="10">
        <f t="shared" si="18"/>
        <v>-8.9928059980073569E-3</v>
      </c>
      <c r="U55" s="11">
        <f t="shared" si="19"/>
        <v>-2.4764587141857608E-3</v>
      </c>
      <c r="V55">
        <f t="shared" si="10"/>
        <v>-4.8811456727965927E-3</v>
      </c>
      <c r="W55">
        <v>71</v>
      </c>
      <c r="X55">
        <f t="shared" si="8"/>
        <v>7.4170098533242696E-4</v>
      </c>
      <c r="Y55">
        <f t="shared" si="11"/>
        <v>1.9022447312053656E-6</v>
      </c>
      <c r="Z55">
        <f t="shared" si="12"/>
        <v>1.1062514470640406E-5</v>
      </c>
      <c r="AA55">
        <f t="shared" si="13"/>
        <v>4.8724554565455584E-6</v>
      </c>
      <c r="AC55" s="10">
        <v>52</v>
      </c>
      <c r="AD55">
        <f>MC($AC55,0,$T$128,$AE$2,AD$3)+MC($AC55,0,$U$128,$AE$2,AD$3)-MC($AC55,0,$V$128,$AE$2,AD$3)</f>
        <v>-1.2242871421752843E-2</v>
      </c>
      <c r="AE55">
        <f>MC($AC55,0,$T$128,$AE$2,AE$3)+MC($AC55,0,$U$128,$AE$2,AE$3)-MC($AC55,0,$V$128,$AE$2,AE$3)</f>
        <v>-1.691893964500002E-2</v>
      </c>
      <c r="AF55">
        <f>MC($AC55,0,$T$128,$AE$2,AF$3)+MC($AC55,0,$U$128,$AE$2,AF$3)-MC($AC55,0,$V$128,$AE$2,AF$3)</f>
        <v>-1.1429416647981805E-2</v>
      </c>
      <c r="AG55">
        <f>MC($AC55,0,$T$128,$AE$2,AG$3)+MC($AC55,0,$U$128,$AE$2,AG$3)-MC($AC55,0,$V$128,$AE$2,AG$3)</f>
        <v>-1.4504042629317038E-2</v>
      </c>
      <c r="AH55">
        <f>MC($AC55,0,$T$128,$AE$2,AH$3)+MC($AC55,0,$U$128,$AE$2,AH$3)-MC($AC55,0,$V$128,$AE$2,AH$3)</f>
        <v>-1.3506747796889984E-2</v>
      </c>
      <c r="AI55">
        <f>MC($AC55,0,$T$128,$AE$2,AI$3)+MC($AC55,0,$U$128,$AE$2,AI$3)-MC($AC55,0,$V$128,$AE$2,AI$3)</f>
        <v>-1.1484969682170387E-2</v>
      </c>
      <c r="AJ55">
        <f>MC($AC55,0,$T$128,$AE$2,AJ$3)+MC($AC55,0,$U$128,$AE$2,AJ$3)-MC($AC55,0,$V$128,$AE$2,AJ$3)</f>
        <v>-1.7280663248933958E-2</v>
      </c>
      <c r="AK55">
        <f>MC($AC55,0,$T$128,$AE$2,AK$3)+MC($AC55,0,$U$128,$AE$2,AK$3)-MC($AC55,0,$V$128,$AE$2,AK$3)</f>
        <v>-1.6768953111515605E-2</v>
      </c>
      <c r="AL55">
        <f>MC($AC55,0,$T$128,$AE$2,AL$3)+MC($AC55,0,$U$128,$AE$2,AL$3)-MC($AC55,0,$V$128,$AE$2,AL$3)</f>
        <v>-2.00370914711403E-2</v>
      </c>
      <c r="AM55">
        <f>MC($AC55,0,$T$128,$AE$2,AM$3)+MC($AC55,0,$U$128,$AE$2,AM$3)-MC($AC55,0,$V$128,$AE$2,AM$3)</f>
        <v>-2.1307139551653087E-2</v>
      </c>
      <c r="AN55">
        <f>MC($AC55,0,$T$128,$AE$2,AN$3)+MC($AC55,0,$U$128,$AE$2,AN$3)-MC($AC55,0,$V$128,$AE$2,AN$3)</f>
        <v>-2.5663194250856058E-2</v>
      </c>
      <c r="AP55" s="10">
        <v>52</v>
      </c>
      <c r="AQ55">
        <f t="shared" si="20"/>
        <v>-0.19382056548573506</v>
      </c>
      <c r="AR55">
        <f t="shared" si="20"/>
        <v>-0.20277443826246072</v>
      </c>
      <c r="AS55">
        <f t="shared" si="20"/>
        <v>-0.21250160484288327</v>
      </c>
      <c r="AT55">
        <f t="shared" si="20"/>
        <v>-0.22319714579639871</v>
      </c>
      <c r="AU55">
        <f t="shared" si="20"/>
        <v>-0.23514238943556842</v>
      </c>
      <c r="AV55">
        <f t="shared" si="20"/>
        <v>-0.24876600262395088</v>
      </c>
      <c r="AW55">
        <f t="shared" si="20"/>
        <v>-0.2647719946983953</v>
      </c>
      <c r="AX55">
        <f t="shared" si="20"/>
        <v>-0.28444932728003025</v>
      </c>
      <c r="AY55">
        <f t="shared" si="20"/>
        <v>-0.31060691268807072</v>
      </c>
      <c r="AZ55">
        <f t="shared" si="20"/>
        <v>-0.35183450481879275</v>
      </c>
      <c r="BA55">
        <f t="shared" si="20"/>
        <v>-0.38956582445156407</v>
      </c>
    </row>
    <row r="56" spans="1:53">
      <c r="A56" s="3" t="s">
        <v>70</v>
      </c>
      <c r="B56" s="1">
        <v>111.860001</v>
      </c>
      <c r="C56" s="1">
        <v>113.949997</v>
      </c>
      <c r="D56" s="1">
        <v>110.150002</v>
      </c>
      <c r="E56" s="1">
        <v>112.82</v>
      </c>
      <c r="F56" s="1">
        <v>112.82</v>
      </c>
      <c r="G56" s="1">
        <v>16623000</v>
      </c>
      <c r="H56" s="4">
        <v>44958</v>
      </c>
      <c r="I56" s="2">
        <v>65</v>
      </c>
      <c r="J56" s="2">
        <v>69.120002999999997</v>
      </c>
      <c r="K56" s="2">
        <v>64.410004000000001</v>
      </c>
      <c r="L56" s="2">
        <v>68.949996999999996</v>
      </c>
      <c r="M56" s="2">
        <v>68.949996999999996</v>
      </c>
      <c r="N56" s="2">
        <v>4454400</v>
      </c>
      <c r="O56">
        <f t="shared" si="14"/>
        <v>0.37932551101929107</v>
      </c>
      <c r="P56">
        <f t="shared" si="15"/>
        <v>0.62067448898070898</v>
      </c>
      <c r="Q56">
        <f t="shared" si="16"/>
        <v>189.66275550964554</v>
      </c>
      <c r="R56">
        <f t="shared" si="17"/>
        <v>310.33724449035446</v>
      </c>
      <c r="S56">
        <f t="shared" si="5"/>
        <v>500</v>
      </c>
      <c r="T56" s="10">
        <f t="shared" si="18"/>
        <v>2.3774982498411475E-2</v>
      </c>
      <c r="U56" s="11">
        <f t="shared" si="19"/>
        <v>6.9821570356318252E-2</v>
      </c>
      <c r="V56">
        <f t="shared" si="10"/>
        <v>5.2354924886423085E-2</v>
      </c>
      <c r="W56">
        <v>70</v>
      </c>
      <c r="X56">
        <f t="shared" si="8"/>
        <v>7.8904360141747551E-4</v>
      </c>
      <c r="Y56">
        <f t="shared" si="11"/>
        <v>2.1759403923494925E-7</v>
      </c>
      <c r="Z56">
        <f t="shared" si="12"/>
        <v>1.6830111271518544E-6</v>
      </c>
      <c r="AA56">
        <f t="shared" si="13"/>
        <v>3.645553964393065E-7</v>
      </c>
      <c r="AC56" s="10">
        <v>53</v>
      </c>
      <c r="AD56">
        <f>MC($AC56,0,$T$128,$AE$2,AD$3)+MC($AC56,0,$U$128,$AE$2,AD$3)-MC($AC56,0,$V$128,$AE$2,AD$3)</f>
        <v>-1.2332170192764336E-2</v>
      </c>
      <c r="AE56">
        <f>MC($AC56,0,$T$128,$AE$2,AE$3)+MC($AC56,0,$U$128,$AE$2,AE$3)-MC($AC56,0,$V$128,$AE$2,AE$3)</f>
        <v>-1.2056302075733827E-2</v>
      </c>
      <c r="AF56">
        <f>MC($AC56,0,$T$128,$AE$2,AF$3)+MC($AC56,0,$U$128,$AE$2,AF$3)-MC($AC56,0,$V$128,$AE$2,AF$3)</f>
        <v>-1.4262433938976304E-2</v>
      </c>
      <c r="AG56">
        <f>MC($AC56,0,$T$128,$AE$2,AG$3)+MC($AC56,0,$U$128,$AE$2,AG$3)-MC($AC56,0,$V$128,$AE$2,AG$3)</f>
        <v>-1.2046105038703736E-2</v>
      </c>
      <c r="AH56">
        <f>MC($AC56,0,$T$128,$AE$2,AH$3)+MC($AC56,0,$U$128,$AE$2,AH$3)-MC($AC56,0,$V$128,$AE$2,AH$3)</f>
        <v>-1.541025270070584E-2</v>
      </c>
      <c r="AI56">
        <f>MC($AC56,0,$T$128,$AE$2,AI$3)+MC($AC56,0,$U$128,$AE$2,AI$3)-MC($AC56,0,$V$128,$AE$2,AI$3)</f>
        <v>-1.3560139337494004E-2</v>
      </c>
      <c r="AJ56">
        <f>MC($AC56,0,$T$128,$AE$2,AJ$3)+MC($AC56,0,$U$128,$AE$2,AJ$3)-MC($AC56,0,$V$128,$AE$2,AJ$3)</f>
        <v>-2.0266624837104841E-2</v>
      </c>
      <c r="AK56">
        <f>MC($AC56,0,$T$128,$AE$2,AK$3)+MC($AC56,0,$U$128,$AE$2,AK$3)-MC($AC56,0,$V$128,$AE$2,AK$3)</f>
        <v>-1.6256548806605986E-2</v>
      </c>
      <c r="AL56">
        <f>MC($AC56,0,$T$128,$AE$2,AL$3)+MC($AC56,0,$U$128,$AE$2,AL$3)-MC($AC56,0,$V$128,$AE$2,AL$3)</f>
        <v>-2.0708716362263679E-2</v>
      </c>
      <c r="AM56">
        <f>MC($AC56,0,$T$128,$AE$2,AM$3)+MC($AC56,0,$U$128,$AE$2,AM$3)-MC($AC56,0,$V$128,$AE$2,AM$3)</f>
        <v>-2.2631516139166141E-2</v>
      </c>
      <c r="AN56">
        <f>MC($AC56,0,$T$128,$AE$2,AN$3)+MC($AC56,0,$U$128,$AE$2,AN$3)-MC($AC56,0,$V$128,$AE$2,AN$3)</f>
        <v>-3.3791841737694561E-2</v>
      </c>
      <c r="AP56" s="10">
        <v>53</v>
      </c>
      <c r="AQ56">
        <f t="shared" si="20"/>
        <v>-0.19567534999998848</v>
      </c>
      <c r="AR56">
        <f t="shared" si="20"/>
        <v>-0.20471490772210288</v>
      </c>
      <c r="AS56">
        <f t="shared" si="20"/>
        <v>-0.21453515935722911</v>
      </c>
      <c r="AT56">
        <f t="shared" si="20"/>
        <v>-0.22533305231700584</v>
      </c>
      <c r="AU56">
        <f t="shared" si="20"/>
        <v>-0.2373926071122977</v>
      </c>
      <c r="AV56">
        <f t="shared" si="20"/>
        <v>-0.25114659277537932</v>
      </c>
      <c r="AW56">
        <f t="shared" si="20"/>
        <v>-0.26730575572805615</v>
      </c>
      <c r="AX56">
        <f t="shared" si="20"/>
        <v>-0.28717139243347067</v>
      </c>
      <c r="AY56">
        <f t="shared" si="20"/>
        <v>-0.31357929536701967</v>
      </c>
      <c r="AZ56">
        <f t="shared" si="20"/>
        <v>-0.35520141889977541</v>
      </c>
      <c r="BA56">
        <f t="shared" si="20"/>
        <v>-0.39329381201915936</v>
      </c>
    </row>
    <row r="57" spans="1:53">
      <c r="A57" s="3" t="s">
        <v>71</v>
      </c>
      <c r="B57" s="1">
        <v>112.5</v>
      </c>
      <c r="C57" s="1">
        <v>112.525002</v>
      </c>
      <c r="D57" s="1">
        <v>107.80999799999999</v>
      </c>
      <c r="E57" s="1">
        <v>109.739998</v>
      </c>
      <c r="F57" s="1">
        <v>109.739998</v>
      </c>
      <c r="G57" s="1">
        <v>23396900</v>
      </c>
      <c r="H57" s="4">
        <v>44959</v>
      </c>
      <c r="I57" s="2">
        <v>72</v>
      </c>
      <c r="J57" s="2">
        <v>74.682998999999995</v>
      </c>
      <c r="K57" s="2">
        <v>69.800003000000004</v>
      </c>
      <c r="L57" s="2">
        <v>72.510002</v>
      </c>
      <c r="M57" s="2">
        <v>72.510002</v>
      </c>
      <c r="N57" s="2">
        <v>7374400</v>
      </c>
      <c r="O57">
        <f t="shared" si="14"/>
        <v>0.39786009327846367</v>
      </c>
      <c r="P57">
        <f t="shared" si="15"/>
        <v>0.60213990672153639</v>
      </c>
      <c r="Q57">
        <f t="shared" si="16"/>
        <v>198.93004663923185</v>
      </c>
      <c r="R57">
        <f t="shared" si="17"/>
        <v>301.06995336076818</v>
      </c>
      <c r="S57">
        <f t="shared" si="5"/>
        <v>500</v>
      </c>
      <c r="T57" s="10">
        <f t="shared" si="18"/>
        <v>-2.7300141818826392E-2</v>
      </c>
      <c r="U57" s="11">
        <f t="shared" si="19"/>
        <v>5.1631691876650905E-2</v>
      </c>
      <c r="V57">
        <f t="shared" si="10"/>
        <v>2.0227865159928127E-2</v>
      </c>
      <c r="W57">
        <v>69</v>
      </c>
      <c r="X57">
        <f t="shared" si="8"/>
        <v>8.3940808661433564E-4</v>
      </c>
      <c r="Y57">
        <f t="shared" si="11"/>
        <v>3.7066321274776749E-6</v>
      </c>
      <c r="Z57">
        <f t="shared" si="12"/>
        <v>3.1070768758571757E-6</v>
      </c>
      <c r="AA57">
        <f t="shared" si="13"/>
        <v>2.2152668113811616E-6</v>
      </c>
      <c r="AC57" s="10">
        <v>54</v>
      </c>
      <c r="AD57">
        <f>MC($AC57,0,$T$128,$AE$2,AD$3)+MC($AC57,0,$U$128,$AE$2,AD$3)-MC($AC57,0,$V$128,$AE$2,AD$3)</f>
        <v>-1.3651442521873225E-2</v>
      </c>
      <c r="AE57">
        <f>MC($AC57,0,$T$128,$AE$2,AE$3)+MC($AC57,0,$U$128,$AE$2,AE$3)-MC($AC57,0,$V$128,$AE$2,AE$3)</f>
        <v>-1.2238723802647566E-2</v>
      </c>
      <c r="AF57">
        <f>MC($AC57,0,$T$128,$AE$2,AF$3)+MC($AC57,0,$U$128,$AE$2,AF$3)-MC($AC57,0,$V$128,$AE$2,AF$3)</f>
        <v>-1.2173438453685792E-2</v>
      </c>
      <c r="AG57">
        <f>MC($AC57,0,$T$128,$AE$2,AG$3)+MC($AC57,0,$U$128,$AE$2,AG$3)-MC($AC57,0,$V$128,$AE$2,AG$3)</f>
        <v>-1.6931877585047772E-2</v>
      </c>
      <c r="AH57">
        <f>MC($AC57,0,$T$128,$AE$2,AH$3)+MC($AC57,0,$U$128,$AE$2,AH$3)-MC($AC57,0,$V$128,$AE$2,AH$3)</f>
        <v>-1.5543508454492816E-2</v>
      </c>
      <c r="AI57">
        <f>MC($AC57,0,$T$128,$AE$2,AI$3)+MC($AC57,0,$U$128,$AE$2,AI$3)-MC($AC57,0,$V$128,$AE$2,AI$3)</f>
        <v>-1.5290934762034691E-2</v>
      </c>
      <c r="AJ57">
        <f>MC($AC57,0,$T$128,$AE$2,AJ$3)+MC($AC57,0,$U$128,$AE$2,AJ$3)-MC($AC57,0,$V$128,$AE$2,AJ$3)</f>
        <v>-1.8027081242440124E-2</v>
      </c>
      <c r="AK57">
        <f>MC($AC57,0,$T$128,$AE$2,AK$3)+MC($AC57,0,$U$128,$AE$2,AK$3)-MC($AC57,0,$V$128,$AE$2,AK$3)</f>
        <v>-1.5237713626325311E-2</v>
      </c>
      <c r="AL57">
        <f>MC($AC57,0,$T$128,$AE$2,AL$3)+MC($AC57,0,$U$128,$AE$2,AL$3)-MC($AC57,0,$V$128,$AE$2,AL$3)</f>
        <v>-2.0169990220703093E-2</v>
      </c>
      <c r="AM57">
        <f>MC($AC57,0,$T$128,$AE$2,AM$3)+MC($AC57,0,$U$128,$AE$2,AM$3)-MC($AC57,0,$V$128,$AE$2,AM$3)</f>
        <v>-2.2109092192854174E-2</v>
      </c>
      <c r="AN57">
        <f>MC($AC57,0,$T$128,$AE$2,AN$3)+MC($AC57,0,$U$128,$AE$2,AN$3)-MC($AC57,0,$V$128,$AE$2,AN$3)</f>
        <v>-2.6148155817529828E-2</v>
      </c>
      <c r="AP57" s="10">
        <v>54</v>
      </c>
      <c r="AQ57">
        <f t="shared" si="20"/>
        <v>-0.19751271753997479</v>
      </c>
      <c r="AR57">
        <f t="shared" si="20"/>
        <v>-0.20663715560053997</v>
      </c>
      <c r="AS57">
        <f t="shared" si="20"/>
        <v>-0.21654961819422003</v>
      </c>
      <c r="AT57">
        <f t="shared" si="20"/>
        <v>-0.22744890204469681</v>
      </c>
      <c r="AU57">
        <f t="shared" si="20"/>
        <v>-0.23962169458060123</v>
      </c>
      <c r="AV57">
        <f t="shared" si="20"/>
        <v>-0.25350482848234845</v>
      </c>
      <c r="AW57">
        <f t="shared" si="20"/>
        <v>-0.26981572399348297</v>
      </c>
      <c r="AX57">
        <f t="shared" si="20"/>
        <v>-0.28986789659135248</v>
      </c>
      <c r="AY57">
        <f t="shared" si="20"/>
        <v>-0.3165237664949323</v>
      </c>
      <c r="AZ57">
        <f t="shared" si="20"/>
        <v>-0.35853671666335984</v>
      </c>
      <c r="BA57">
        <f t="shared" si="20"/>
        <v>-0.39698679268269998</v>
      </c>
    </row>
    <row r="58" spans="1:53">
      <c r="A58" s="3" t="s">
        <v>72</v>
      </c>
      <c r="B58" s="1">
        <v>108.050003</v>
      </c>
      <c r="C58" s="1">
        <v>109.529999</v>
      </c>
      <c r="D58" s="1">
        <v>105.80999799999999</v>
      </c>
      <c r="E58" s="1">
        <v>106.33000199999999</v>
      </c>
      <c r="F58" s="1">
        <v>106.33000199999999</v>
      </c>
      <c r="G58" s="1">
        <v>15982200</v>
      </c>
      <c r="H58" s="4">
        <v>44960</v>
      </c>
      <c r="I58" s="2">
        <v>70.010002</v>
      </c>
      <c r="J58" s="2">
        <v>73.209998999999996</v>
      </c>
      <c r="K58" s="2">
        <v>69.720000999999996</v>
      </c>
      <c r="L58" s="2">
        <v>70.470000999999996</v>
      </c>
      <c r="M58" s="2">
        <v>70.470000999999996</v>
      </c>
      <c r="N58" s="2">
        <v>4002700</v>
      </c>
      <c r="O58">
        <f t="shared" si="14"/>
        <v>0.39858597174345067</v>
      </c>
      <c r="P58">
        <f t="shared" si="15"/>
        <v>0.60141402825654922</v>
      </c>
      <c r="Q58">
        <f t="shared" si="16"/>
        <v>199.29298587172534</v>
      </c>
      <c r="R58">
        <f t="shared" si="17"/>
        <v>300.70701412827464</v>
      </c>
      <c r="S58">
        <f t="shared" si="5"/>
        <v>500</v>
      </c>
      <c r="T58" s="10">
        <f t="shared" si="18"/>
        <v>-3.1073410444202913E-2</v>
      </c>
      <c r="U58" s="11">
        <f t="shared" si="19"/>
        <v>-2.8134063490992647E-2</v>
      </c>
      <c r="V58">
        <f t="shared" si="10"/>
        <v>-2.9305645952629109E-2</v>
      </c>
      <c r="W58">
        <v>68</v>
      </c>
      <c r="X58">
        <f t="shared" si="8"/>
        <v>8.9298732618546355E-4</v>
      </c>
      <c r="Y58">
        <f t="shared" si="11"/>
        <v>4.2554348366125629E-6</v>
      </c>
      <c r="Z58">
        <f t="shared" si="12"/>
        <v>1.6804414063618886E-5</v>
      </c>
      <c r="AA58">
        <f t="shared" si="13"/>
        <v>8.7034875455480513E-6</v>
      </c>
      <c r="AC58" s="10">
        <v>55</v>
      </c>
      <c r="AD58">
        <f>MC($AC58,0,$T$128,$AE$2,AD$3)+MC($AC58,0,$U$128,$AE$2,AD$3)-MC($AC58,0,$V$128,$AE$2,AD$3)</f>
        <v>-1.2486800918861229E-2</v>
      </c>
      <c r="AE58">
        <f>MC($AC58,0,$T$128,$AE$2,AE$3)+MC($AC58,0,$U$128,$AE$2,AE$3)-MC($AC58,0,$V$128,$AE$2,AE$3)</f>
        <v>-1.3251314600032371E-2</v>
      </c>
      <c r="AF58">
        <f>MC($AC58,0,$T$128,$AE$2,AF$3)+MC($AC58,0,$U$128,$AE$2,AF$3)-MC($AC58,0,$V$128,$AE$2,AF$3)</f>
        <v>-1.371108997553816E-2</v>
      </c>
      <c r="AG58">
        <f>MC($AC58,0,$T$128,$AE$2,AG$3)+MC($AC58,0,$U$128,$AE$2,AG$3)-MC($AC58,0,$V$128,$AE$2,AG$3)</f>
        <v>-1.5440987009157192E-2</v>
      </c>
      <c r="AH58">
        <f>MC($AC58,0,$T$128,$AE$2,AH$3)+MC($AC58,0,$U$128,$AE$2,AH$3)-MC($AC58,0,$V$128,$AE$2,AH$3)</f>
        <v>-1.6068353766510723E-2</v>
      </c>
      <c r="AI58">
        <f>MC($AC58,0,$T$128,$AE$2,AI$3)+MC($AC58,0,$U$128,$AE$2,AI$3)-MC($AC58,0,$V$128,$AE$2,AI$3)</f>
        <v>-1.7885409249417172E-2</v>
      </c>
      <c r="AJ58">
        <f>MC($AC58,0,$T$128,$AE$2,AJ$3)+MC($AC58,0,$U$128,$AE$2,AJ$3)-MC($AC58,0,$V$128,$AE$2,AJ$3)</f>
        <v>-1.7441621635869042E-2</v>
      </c>
      <c r="AK58">
        <f>MC($AC58,0,$T$128,$AE$2,AK$3)+MC($AC58,0,$U$128,$AE$2,AK$3)-MC($AC58,0,$V$128,$AE$2,AK$3)</f>
        <v>-1.6582567420124983E-2</v>
      </c>
      <c r="AL58">
        <f>MC($AC58,0,$T$128,$AE$2,AL$3)+MC($AC58,0,$U$128,$AE$2,AL$3)-MC($AC58,0,$V$128,$AE$2,AL$3)</f>
        <v>-2.0931689851104496E-2</v>
      </c>
      <c r="AM58">
        <f>MC($AC58,0,$T$128,$AE$2,AM$3)+MC($AC58,0,$U$128,$AE$2,AM$3)-MC($AC58,0,$V$128,$AE$2,AM$3)</f>
        <v>-2.3106625624245813E-2</v>
      </c>
      <c r="AN58">
        <f>MC($AC58,0,$T$128,$AE$2,AN$3)+MC($AC58,0,$U$128,$AE$2,AN$3)-MC($AC58,0,$V$128,$AE$2,AN$3)</f>
        <v>-2.3791325654395346E-2</v>
      </c>
      <c r="AP58" s="10">
        <v>55</v>
      </c>
      <c r="AQ58">
        <f t="shared" si="20"/>
        <v>-0.19933314973288757</v>
      </c>
      <c r="AR58">
        <f t="shared" si="20"/>
        <v>-0.20854168577455767</v>
      </c>
      <c r="AS58">
        <f t="shared" si="20"/>
        <v>-0.21854550940180228</v>
      </c>
      <c r="AT58">
        <f t="shared" si="20"/>
        <v>-0.22954524960490386</v>
      </c>
      <c r="AU58">
        <f t="shared" si="20"/>
        <v>-0.24183023614879928</v>
      </c>
      <c r="AV58">
        <f t="shared" si="20"/>
        <v>-0.25584132790666869</v>
      </c>
      <c r="AW58">
        <f t="shared" si="20"/>
        <v>-0.27230255742998</v>
      </c>
      <c r="AX58">
        <f t="shared" si="20"/>
        <v>-0.29253954658543424</v>
      </c>
      <c r="AY58">
        <f t="shared" si="20"/>
        <v>-0.31944109790288444</v>
      </c>
      <c r="AZ58">
        <f t="shared" si="20"/>
        <v>-0.36184127238759078</v>
      </c>
      <c r="BA58">
        <f t="shared" si="20"/>
        <v>-0.40064573447926821</v>
      </c>
    </row>
    <row r="59" spans="1:53">
      <c r="A59" s="3" t="s">
        <v>73</v>
      </c>
      <c r="B59" s="1">
        <v>103.82</v>
      </c>
      <c r="C59" s="1">
        <v>106.279999</v>
      </c>
      <c r="D59" s="1">
        <v>103.220001</v>
      </c>
      <c r="E59" s="1">
        <v>105.449997</v>
      </c>
      <c r="F59" s="1">
        <v>105.449997</v>
      </c>
      <c r="G59" s="1">
        <v>15337500</v>
      </c>
      <c r="H59" s="4">
        <v>44963</v>
      </c>
      <c r="I59" s="2">
        <v>69</v>
      </c>
      <c r="J59" s="2">
        <v>69.540001000000004</v>
      </c>
      <c r="K59" s="2">
        <v>65.485000999999997</v>
      </c>
      <c r="L59" s="2">
        <v>66.260002</v>
      </c>
      <c r="M59" s="2">
        <v>66.260002</v>
      </c>
      <c r="N59" s="2">
        <v>4332800</v>
      </c>
      <c r="O59">
        <f t="shared" si="14"/>
        <v>0.38588318901568458</v>
      </c>
      <c r="P59">
        <f t="shared" si="15"/>
        <v>0.61411681098431548</v>
      </c>
      <c r="Q59">
        <f t="shared" si="16"/>
        <v>192.9415945078423</v>
      </c>
      <c r="R59">
        <f t="shared" si="17"/>
        <v>307.05840549215776</v>
      </c>
      <c r="S59">
        <f t="shared" si="5"/>
        <v>500.00000000000006</v>
      </c>
      <c r="T59" s="10">
        <f t="shared" si="18"/>
        <v>-8.2761683762593852E-3</v>
      </c>
      <c r="U59" s="11">
        <f t="shared" si="19"/>
        <v>-5.9741719033039271E-2</v>
      </c>
      <c r="V59">
        <f t="shared" si="10"/>
        <v>-3.9882028221152797E-2</v>
      </c>
      <c r="W59">
        <v>67</v>
      </c>
      <c r="X59">
        <f t="shared" si="8"/>
        <v>9.4998651721857818E-4</v>
      </c>
      <c r="Y59">
        <f t="shared" si="11"/>
        <v>1.9304155427158877E-6</v>
      </c>
      <c r="Z59">
        <f t="shared" si="12"/>
        <v>2.6009407257648752E-5</v>
      </c>
      <c r="AA59">
        <f t="shared" si="13"/>
        <v>1.0914221071190582E-5</v>
      </c>
      <c r="AC59" s="10">
        <v>56</v>
      </c>
      <c r="AD59">
        <f>MC($AC59,0,$T$128,$AE$2,AD$3)+MC($AC59,0,$U$128,$AE$2,AD$3)-MC($AC59,0,$V$128,$AE$2,AD$3)</f>
        <v>-9.7035205635034316E-3</v>
      </c>
      <c r="AE59">
        <f>MC($AC59,0,$T$128,$AE$2,AE$3)+MC($AC59,0,$U$128,$AE$2,AE$3)-MC($AC59,0,$V$128,$AE$2,AE$3)</f>
        <v>-1.1234055679318455E-2</v>
      </c>
      <c r="AF59">
        <f>MC($AC59,0,$T$128,$AE$2,AF$3)+MC($AC59,0,$U$128,$AE$2,AF$3)-MC($AC59,0,$V$128,$AE$2,AF$3)</f>
        <v>-1.4886930444614421E-2</v>
      </c>
      <c r="AG59">
        <f>MC($AC59,0,$T$128,$AE$2,AG$3)+MC($AC59,0,$U$128,$AE$2,AG$3)-MC($AC59,0,$V$128,$AE$2,AG$3)</f>
        <v>-1.2720499208184632E-2</v>
      </c>
      <c r="AH59">
        <f>MC($AC59,0,$T$128,$AE$2,AH$3)+MC($AC59,0,$U$128,$AE$2,AH$3)-MC($AC59,0,$V$128,$AE$2,AH$3)</f>
        <v>-1.6579902915792699E-2</v>
      </c>
      <c r="AI59">
        <f>MC($AC59,0,$T$128,$AE$2,AI$3)+MC($AC59,0,$U$128,$AE$2,AI$3)-MC($AC59,0,$V$128,$AE$2,AI$3)</f>
        <v>-1.4398797404467034E-2</v>
      </c>
      <c r="AJ59">
        <f>MC($AC59,0,$T$128,$AE$2,AJ$3)+MC($AC59,0,$U$128,$AE$2,AJ$3)-MC($AC59,0,$V$128,$AE$2,AJ$3)</f>
        <v>-2.2882867029236476E-2</v>
      </c>
      <c r="AK59">
        <f>MC($AC59,0,$T$128,$AE$2,AK$3)+MC($AC59,0,$U$128,$AE$2,AK$3)-MC($AC59,0,$V$128,$AE$2,AK$3)</f>
        <v>-1.4262451256027209E-2</v>
      </c>
      <c r="AL59">
        <f>MC($AC59,0,$T$128,$AE$2,AL$3)+MC($AC59,0,$U$128,$AE$2,AL$3)-MC($AC59,0,$V$128,$AE$2,AL$3)</f>
        <v>-2.2473987179601362E-2</v>
      </c>
      <c r="AM59">
        <f>MC($AC59,0,$T$128,$AE$2,AM$3)+MC($AC59,0,$U$128,$AE$2,AM$3)-MC($AC59,0,$V$128,$AE$2,AM$3)</f>
        <v>-1.9156772567058944E-2</v>
      </c>
      <c r="AN59">
        <f>MC($AC59,0,$T$128,$AE$2,AN$3)+MC($AC59,0,$U$128,$AE$2,AN$3)-MC($AC59,0,$V$128,$AE$2,AN$3)</f>
        <v>-2.6570649202624308E-2</v>
      </c>
      <c r="AP59" s="10">
        <v>56</v>
      </c>
      <c r="AQ59">
        <f t="shared" si="20"/>
        <v>-0.20113710640963711</v>
      </c>
      <c r="AR59">
        <f t="shared" si="20"/>
        <v>-0.21042897931774274</v>
      </c>
      <c r="AS59">
        <f t="shared" si="20"/>
        <v>-0.22052333713084449</v>
      </c>
      <c r="AT59">
        <f t="shared" si="20"/>
        <v>-0.23162262452320426</v>
      </c>
      <c r="AU59">
        <f t="shared" si="20"/>
        <v>-0.24401878968204316</v>
      </c>
      <c r="AV59">
        <f t="shared" si="20"/>
        <v>-0.2581566812349243</v>
      </c>
      <c r="AW59">
        <f t="shared" si="20"/>
        <v>-0.27476688419765527</v>
      </c>
      <c r="AX59">
        <f t="shared" si="20"/>
        <v>-0.29518701725944552</v>
      </c>
      <c r="AY59">
        <f t="shared" si="20"/>
        <v>-0.32233202649234571</v>
      </c>
      <c r="AZ59">
        <f t="shared" si="20"/>
        <v>-0.36511592078461796</v>
      </c>
      <c r="BA59">
        <f t="shared" si="20"/>
        <v>-0.40427156163693667</v>
      </c>
    </row>
    <row r="60" spans="1:53">
      <c r="A60" s="3" t="s">
        <v>74</v>
      </c>
      <c r="B60" s="1">
        <v>106.839996</v>
      </c>
      <c r="C60" s="1">
        <v>107.349998</v>
      </c>
      <c r="D60" s="1">
        <v>103.720001</v>
      </c>
      <c r="E60" s="1">
        <v>105.5</v>
      </c>
      <c r="F60" s="1">
        <v>105.5</v>
      </c>
      <c r="G60" s="1">
        <v>16861700</v>
      </c>
      <c r="H60" s="4">
        <v>44964</v>
      </c>
      <c r="I60" s="2">
        <v>66.769997000000004</v>
      </c>
      <c r="J60" s="2">
        <v>68.849997999999999</v>
      </c>
      <c r="K60" s="2">
        <v>65.674003999999996</v>
      </c>
      <c r="L60" s="2">
        <v>68.540001000000004</v>
      </c>
      <c r="M60" s="2">
        <v>68.540001000000004</v>
      </c>
      <c r="N60" s="2">
        <v>3317600</v>
      </c>
      <c r="O60">
        <f t="shared" si="14"/>
        <v>0.39381751669835946</v>
      </c>
      <c r="P60">
        <f t="shared" si="15"/>
        <v>0.60618248330164048</v>
      </c>
      <c r="Q60">
        <f t="shared" si="16"/>
        <v>196.90875834917972</v>
      </c>
      <c r="R60">
        <f t="shared" si="17"/>
        <v>303.09124165082022</v>
      </c>
      <c r="S60">
        <f t="shared" si="5"/>
        <v>499.99999999999994</v>
      </c>
      <c r="T60" s="10">
        <f t="shared" si="18"/>
        <v>4.7418683188775999E-4</v>
      </c>
      <c r="U60" s="11">
        <f t="shared" si="19"/>
        <v>3.44098842616999E-2</v>
      </c>
      <c r="V60">
        <f t="shared" si="10"/>
        <v>2.1045412172464383E-2</v>
      </c>
      <c r="W60">
        <v>66</v>
      </c>
      <c r="X60">
        <f t="shared" si="8"/>
        <v>1.0106239544878492E-3</v>
      </c>
      <c r="Y60">
        <f t="shared" si="11"/>
        <v>1.2526815447383377E-6</v>
      </c>
      <c r="Z60">
        <f t="shared" si="12"/>
        <v>4.6858851407386722E-6</v>
      </c>
      <c r="AA60">
        <f t="shared" si="13"/>
        <v>1.9751200764682482E-6</v>
      </c>
      <c r="AC60" s="10">
        <v>57</v>
      </c>
      <c r="AD60">
        <f>MC($AC60,0,$T$128,$AE$2,AD$3)+MC($AC60,0,$U$128,$AE$2,AD$3)-MC($AC60,0,$V$128,$AE$2,AD$3)</f>
        <v>-1.1514711515997256E-2</v>
      </c>
      <c r="AE60">
        <f>MC($AC60,0,$T$128,$AE$2,AE$3)+MC($AC60,0,$U$128,$AE$2,AE$3)-MC($AC60,0,$V$128,$AE$2,AE$3)</f>
        <v>-1.3021107922156494E-2</v>
      </c>
      <c r="AF60">
        <f>MC($AC60,0,$T$128,$AE$2,AF$3)+MC($AC60,0,$U$128,$AE$2,AF$3)-MC($AC60,0,$V$128,$AE$2,AF$3)</f>
        <v>-1.3043498700151979E-2</v>
      </c>
      <c r="AG60">
        <f>MC($AC60,0,$T$128,$AE$2,AG$3)+MC($AC60,0,$U$128,$AE$2,AG$3)-MC($AC60,0,$V$128,$AE$2,AG$3)</f>
        <v>-1.4083266456258681E-2</v>
      </c>
      <c r="AH60">
        <f>MC($AC60,0,$T$128,$AE$2,AH$3)+MC($AC60,0,$U$128,$AE$2,AH$3)-MC($AC60,0,$V$128,$AE$2,AH$3)</f>
        <v>-1.9223379724758072E-2</v>
      </c>
      <c r="AI60">
        <f>MC($AC60,0,$T$128,$AE$2,AI$3)+MC($AC60,0,$U$128,$AE$2,AI$3)-MC($AC60,0,$V$128,$AE$2,AI$3)</f>
        <v>-1.667194892359336E-2</v>
      </c>
      <c r="AJ60">
        <f>MC($AC60,0,$T$128,$AE$2,AJ$3)+MC($AC60,0,$U$128,$AE$2,AJ$3)-MC($AC60,0,$V$128,$AE$2,AJ$3)</f>
        <v>-1.953668286704402E-2</v>
      </c>
      <c r="AK60">
        <f>MC($AC60,0,$T$128,$AE$2,AK$3)+MC($AC60,0,$U$128,$AE$2,AK$3)-MC($AC60,0,$V$128,$AE$2,AK$3)</f>
        <v>-1.6644719936701913E-2</v>
      </c>
      <c r="AL60">
        <f>MC($AC60,0,$T$128,$AE$2,AL$3)+MC($AC60,0,$U$128,$AE$2,AL$3)-MC($AC60,0,$V$128,$AE$2,AL$3)</f>
        <v>-2.5430460756264761E-2</v>
      </c>
      <c r="AM60">
        <f>MC($AC60,0,$T$128,$AE$2,AM$3)+MC($AC60,0,$U$128,$AE$2,AM$3)-MC($AC60,0,$V$128,$AE$2,AM$3)</f>
        <v>-2.257481063633282E-2</v>
      </c>
      <c r="AN60">
        <f>MC($AC60,0,$T$128,$AE$2,AN$3)+MC($AC60,0,$U$128,$AE$2,AN$3)-MC($AC60,0,$V$128,$AE$2,AN$3)</f>
        <v>-2.6260047943765352E-2</v>
      </c>
      <c r="AP60" s="10">
        <v>57</v>
      </c>
      <c r="AQ60">
        <f t="shared" si="20"/>
        <v>-0.20292502696131287</v>
      </c>
      <c r="AR60">
        <f t="shared" si="20"/>
        <v>-0.21229949591960784</v>
      </c>
      <c r="AS60">
        <f t="shared" ref="AR60:BA103" si="21">$T$128*SQRT($AP60)*_xlfn.NORM.INV(1-AS$3,0,1)+$U$128*SQRT($AP60)*_xlfn.NORM.INV(1-AS$3,0,1)-$V$128*SQRT($AP60)*_xlfn.NORM.INV(1-AS$3,0,1)</f>
        <v>-0.22248358312233929</v>
      </c>
      <c r="AT60">
        <f t="shared" si="21"/>
        <v>-0.23368153278737469</v>
      </c>
      <c r="AU60">
        <f t="shared" si="21"/>
        <v>-0.24618788824796878</v>
      </c>
      <c r="AV60">
        <f t="shared" si="21"/>
        <v>-0.26045145241947298</v>
      </c>
      <c r="AW60">
        <f t="shared" si="21"/>
        <v>-0.27720930453443993</v>
      </c>
      <c r="AX60">
        <f t="shared" si="21"/>
        <v>-0.29781095345981612</v>
      </c>
      <c r="AY60">
        <f t="shared" si="21"/>
        <v>-0.32519725640897412</v>
      </c>
      <c r="AZ60">
        <f t="shared" si="21"/>
        <v>-0.36836145946302268</v>
      </c>
      <c r="BA60">
        <f t="shared" si="21"/>
        <v>-0.40786515730116324</v>
      </c>
    </row>
    <row r="61" spans="1:53">
      <c r="A61" s="3" t="s">
        <v>75</v>
      </c>
      <c r="B61" s="1">
        <v>107.099998</v>
      </c>
      <c r="C61" s="1">
        <v>107.139999</v>
      </c>
      <c r="D61" s="1">
        <v>103.550003</v>
      </c>
      <c r="E61" s="1">
        <v>105.110001</v>
      </c>
      <c r="F61" s="1">
        <v>105.110001</v>
      </c>
      <c r="G61" s="1">
        <v>14329500</v>
      </c>
      <c r="H61" s="4">
        <v>44965</v>
      </c>
      <c r="I61" s="2">
        <v>67.529999000000004</v>
      </c>
      <c r="J61" s="2">
        <v>69.650002000000001</v>
      </c>
      <c r="K61" s="2">
        <v>67.239998</v>
      </c>
      <c r="L61" s="2">
        <v>68.349997999999999</v>
      </c>
      <c r="M61" s="2">
        <v>68.349997999999999</v>
      </c>
      <c r="N61" s="2">
        <v>2898100</v>
      </c>
      <c r="O61">
        <f t="shared" si="14"/>
        <v>0.39403896226241769</v>
      </c>
      <c r="P61">
        <f t="shared" si="15"/>
        <v>0.60596103773758236</v>
      </c>
      <c r="Q61">
        <f t="shared" si="16"/>
        <v>197.01948113120883</v>
      </c>
      <c r="R61">
        <f t="shared" si="17"/>
        <v>302.98051886879119</v>
      </c>
      <c r="S61">
        <f t="shared" si="5"/>
        <v>500</v>
      </c>
      <c r="T61" s="10">
        <f t="shared" si="18"/>
        <v>-3.6966729857820201E-3</v>
      </c>
      <c r="U61" s="11">
        <f t="shared" si="19"/>
        <v>-2.7721476105610847E-3</v>
      </c>
      <c r="V61">
        <f t="shared" si="10"/>
        <v>-3.1364466299984147E-3</v>
      </c>
      <c r="W61">
        <v>65</v>
      </c>
      <c r="X61">
        <f t="shared" si="8"/>
        <v>1.0751318664764353E-3</v>
      </c>
      <c r="Y61">
        <f t="shared" si="11"/>
        <v>1.576325648784877E-6</v>
      </c>
      <c r="Z61">
        <f t="shared" si="12"/>
        <v>1.1219069994174906E-5</v>
      </c>
      <c r="AA61">
        <f t="shared" si="13"/>
        <v>4.7405110306921709E-6</v>
      </c>
      <c r="AC61" s="10">
        <v>58</v>
      </c>
      <c r="AD61">
        <f>MC($AC61,0,$T$128,$AE$2,AD$3)+MC($AC61,0,$U$128,$AE$2,AD$3)-MC($AC61,0,$V$128,$AE$2,AD$3)</f>
        <v>-1.2387124732708088E-2</v>
      </c>
      <c r="AE61">
        <f>MC($AC61,0,$T$128,$AE$2,AE$3)+MC($AC61,0,$U$128,$AE$2,AE$3)-MC($AC61,0,$V$128,$AE$2,AE$3)</f>
        <v>-1.4983319842821974E-2</v>
      </c>
      <c r="AF61">
        <f>MC($AC61,0,$T$128,$AE$2,AF$3)+MC($AC61,0,$U$128,$AE$2,AF$3)-MC($AC61,0,$V$128,$AE$2,AF$3)</f>
        <v>-1.5950498447284911E-2</v>
      </c>
      <c r="AG61">
        <f>MC($AC61,0,$T$128,$AE$2,AG$3)+MC($AC61,0,$U$128,$AE$2,AG$3)-MC($AC61,0,$V$128,$AE$2,AG$3)</f>
        <v>-1.2834706329582168E-2</v>
      </c>
      <c r="AH61">
        <f>MC($AC61,0,$T$128,$AE$2,AH$3)+MC($AC61,0,$U$128,$AE$2,AH$3)-MC($AC61,0,$V$128,$AE$2,AH$3)</f>
        <v>-1.9041626620934338E-2</v>
      </c>
      <c r="AI61">
        <f>MC($AC61,0,$T$128,$AE$2,AI$3)+MC($AC61,0,$U$128,$AE$2,AI$3)-MC($AC61,0,$V$128,$AE$2,AI$3)</f>
        <v>-1.8377187988904753E-2</v>
      </c>
      <c r="AJ61">
        <f>MC($AC61,0,$T$128,$AE$2,AJ$3)+MC($AC61,0,$U$128,$AE$2,AJ$3)-MC($AC61,0,$V$128,$AE$2,AJ$3)</f>
        <v>-1.8075713679780003E-2</v>
      </c>
      <c r="AK61">
        <f>MC($AC61,0,$T$128,$AE$2,AK$3)+MC($AC61,0,$U$128,$AE$2,AK$3)-MC($AC61,0,$V$128,$AE$2,AK$3)</f>
        <v>-2.0609172231356387E-2</v>
      </c>
      <c r="AL61">
        <f>MC($AC61,0,$T$128,$AE$2,AL$3)+MC($AC61,0,$U$128,$AE$2,AL$3)-MC($AC61,0,$V$128,$AE$2,AL$3)</f>
        <v>-1.8340653672574758E-2</v>
      </c>
      <c r="AM61">
        <f>MC($AC61,0,$T$128,$AE$2,AM$3)+MC($AC61,0,$U$128,$AE$2,AM$3)-MC($AC61,0,$V$128,$AE$2,AM$3)</f>
        <v>-2.2447924070813308E-2</v>
      </c>
      <c r="AN61">
        <f>MC($AC61,0,$T$128,$AE$2,AN$3)+MC($AC61,0,$U$128,$AE$2,AN$3)-MC($AC61,0,$V$128,$AE$2,AN$3)</f>
        <v>-2.6907423910227601E-2</v>
      </c>
      <c r="AP61" s="10">
        <v>58</v>
      </c>
      <c r="AQ61">
        <f t="shared" ref="AQ61:AQ103" si="22">$T$128*SQRT($AP61)*_xlfn.NORM.INV(1-AQ$3,0,1)+$U$128*SQRT($AP61)*_xlfn.NORM.INV(1-AQ$3,0,1)-$V$128*SQRT($AP61)*_xlfn.NORM.INV(1-AQ$3,0,1)</f>
        <v>-0.20469733158900105</v>
      </c>
      <c r="AR61">
        <f t="shared" si="21"/>
        <v>-0.21415367519314776</v>
      </c>
      <c r="AS61">
        <f t="shared" si="21"/>
        <v>-0.22442670807768317</v>
      </c>
      <c r="AT61">
        <f t="shared" si="21"/>
        <v>-0.23572245828663929</v>
      </c>
      <c r="AU61">
        <f t="shared" si="21"/>
        <v>-0.24833804163297168</v>
      </c>
      <c r="AV61">
        <f t="shared" si="21"/>
        <v>-0.26272618078256993</v>
      </c>
      <c r="AW61">
        <f t="shared" si="21"/>
        <v>-0.27963039246342303</v>
      </c>
      <c r="AX61">
        <f t="shared" si="21"/>
        <v>-0.30041197186989954</v>
      </c>
      <c r="AY61">
        <f t="shared" si="21"/>
        <v>-0.32803746104551179</v>
      </c>
      <c r="AZ61">
        <f t="shared" si="21"/>
        <v>-0.3715786511965623</v>
      </c>
      <c r="BA61">
        <f t="shared" si="21"/>
        <v>-0.41142736604683661</v>
      </c>
    </row>
    <row r="62" spans="1:53">
      <c r="A62" s="3" t="s">
        <v>76</v>
      </c>
      <c r="B62" s="1">
        <v>108.5</v>
      </c>
      <c r="C62" s="1">
        <v>109.80999799999999</v>
      </c>
      <c r="D62" s="1">
        <v>107.75</v>
      </c>
      <c r="E62" s="1">
        <v>108.459999</v>
      </c>
      <c r="F62" s="1">
        <v>108.459999</v>
      </c>
      <c r="G62" s="1">
        <v>16281300</v>
      </c>
      <c r="H62" s="4">
        <v>44966</v>
      </c>
      <c r="I62" s="2">
        <v>69.699996999999996</v>
      </c>
      <c r="J62" s="2">
        <v>71.180000000000007</v>
      </c>
      <c r="K62" s="2">
        <v>66.519997000000004</v>
      </c>
      <c r="L62" s="2">
        <v>67.319999999999993</v>
      </c>
      <c r="M62" s="2">
        <v>67.319999999999993</v>
      </c>
      <c r="N62" s="2">
        <v>2933900</v>
      </c>
      <c r="O62">
        <f t="shared" si="14"/>
        <v>0.38297872558299423</v>
      </c>
      <c r="P62">
        <f t="shared" si="15"/>
        <v>0.61702127441700583</v>
      </c>
      <c r="Q62">
        <f t="shared" si="16"/>
        <v>191.48936279149711</v>
      </c>
      <c r="R62">
        <f t="shared" si="17"/>
        <v>308.51063720850289</v>
      </c>
      <c r="S62">
        <f t="shared" si="5"/>
        <v>500</v>
      </c>
      <c r="T62" s="10">
        <f t="shared" si="18"/>
        <v>3.187135351658877E-2</v>
      </c>
      <c r="U62" s="11">
        <f t="shared" si="19"/>
        <v>-1.5069466424856461E-2</v>
      </c>
      <c r="V62">
        <f t="shared" si="10"/>
        <v>2.9078689741390343E-3</v>
      </c>
      <c r="W62">
        <v>64</v>
      </c>
      <c r="X62">
        <f t="shared" si="8"/>
        <v>1.1437573047621654E-3</v>
      </c>
      <c r="Y62">
        <f t="shared" si="11"/>
        <v>3.1848502804558322E-9</v>
      </c>
      <c r="Z62">
        <f t="shared" si="12"/>
        <v>1.4199580267467511E-5</v>
      </c>
      <c r="AA62">
        <f t="shared" si="13"/>
        <v>3.9049208506799156E-6</v>
      </c>
      <c r="AC62" s="10">
        <v>59</v>
      </c>
      <c r="AD62">
        <f>MC($AC62,0,$T$128,$AE$2,AD$3)+MC($AC62,0,$U$128,$AE$2,AD$3)-MC($AC62,0,$V$128,$AE$2,AD$3)</f>
        <v>-1.0309089932594828E-2</v>
      </c>
      <c r="AE62">
        <f>MC($AC62,0,$T$128,$AE$2,AE$3)+MC($AC62,0,$U$128,$AE$2,AE$3)-MC($AC62,0,$V$128,$AE$2,AE$3)</f>
        <v>-1.1562547020899538E-2</v>
      </c>
      <c r="AF62">
        <f>MC($AC62,0,$T$128,$AE$2,AF$3)+MC($AC62,0,$U$128,$AE$2,AF$3)-MC($AC62,0,$V$128,$AE$2,AF$3)</f>
        <v>-1.3522514248595741E-2</v>
      </c>
      <c r="AG62">
        <f>MC($AC62,0,$T$128,$AE$2,AG$3)+MC($AC62,0,$U$128,$AE$2,AG$3)-MC($AC62,0,$V$128,$AE$2,AG$3)</f>
        <v>-1.7572129105317913E-2</v>
      </c>
      <c r="AH62">
        <f>MC($AC62,0,$T$128,$AE$2,AH$3)+MC($AC62,0,$U$128,$AE$2,AH$3)-MC($AC62,0,$V$128,$AE$2,AH$3)</f>
        <v>-1.810411084403607E-2</v>
      </c>
      <c r="AI62">
        <f>MC($AC62,0,$T$128,$AE$2,AI$3)+MC($AC62,0,$U$128,$AE$2,AI$3)-MC($AC62,0,$V$128,$AE$2,AI$3)</f>
        <v>-1.6426188078633164E-2</v>
      </c>
      <c r="AJ62">
        <f>MC($AC62,0,$T$128,$AE$2,AJ$3)+MC($AC62,0,$U$128,$AE$2,AJ$3)-MC($AC62,0,$V$128,$AE$2,AJ$3)</f>
        <v>-2.1286741484906724E-2</v>
      </c>
      <c r="AK62">
        <f>MC($AC62,0,$T$128,$AE$2,AK$3)+MC($AC62,0,$U$128,$AE$2,AK$3)-MC($AC62,0,$V$128,$AE$2,AK$3)</f>
        <v>-1.8266892166935333E-2</v>
      </c>
      <c r="AL62">
        <f>MC($AC62,0,$T$128,$AE$2,AL$3)+MC($AC62,0,$U$128,$AE$2,AL$3)-MC($AC62,0,$V$128,$AE$2,AL$3)</f>
        <v>-2.3542081803002546E-2</v>
      </c>
      <c r="AM62">
        <f>MC($AC62,0,$T$128,$AE$2,AM$3)+MC($AC62,0,$U$128,$AE$2,AM$3)-MC($AC62,0,$V$128,$AE$2,AM$3)</f>
        <v>-2.5453723735094247E-2</v>
      </c>
      <c r="AN62">
        <f>MC($AC62,0,$T$128,$AE$2,AN$3)+MC($AC62,0,$U$128,$AE$2,AN$3)-MC($AC62,0,$V$128,$AE$2,AN$3)</f>
        <v>-3.3394849940642013E-2</v>
      </c>
      <c r="AP62" s="10">
        <v>59</v>
      </c>
      <c r="AQ62">
        <f t="shared" si="22"/>
        <v>-0.20645442245702872</v>
      </c>
      <c r="AR62">
        <f t="shared" si="21"/>
        <v>-0.21599193788135895</v>
      </c>
      <c r="AS62">
        <f t="shared" si="21"/>
        <v>-0.22635315292307379</v>
      </c>
      <c r="AT62">
        <f t="shared" si="21"/>
        <v>-0.23774586413970689</v>
      </c>
      <c r="AU62">
        <f t="shared" si="21"/>
        <v>-0.2504697377413182</v>
      </c>
      <c r="AV62">
        <f t="shared" si="21"/>
        <v>-0.26498138249654135</v>
      </c>
      <c r="AW62">
        <f t="shared" si="21"/>
        <v>-0.28203069736826192</v>
      </c>
      <c r="AX62">
        <f t="shared" si="21"/>
        <v>-0.30299066270246311</v>
      </c>
      <c r="AY62">
        <f t="shared" si="21"/>
        <v>-0.3308532848899155</v>
      </c>
      <c r="AZ62">
        <f t="shared" si="21"/>
        <v>-0.37476822601760817</v>
      </c>
      <c r="BA62">
        <f t="shared" si="21"/>
        <v>-0.41495899619621768</v>
      </c>
    </row>
    <row r="63" spans="1:53">
      <c r="A63" s="3" t="s">
        <v>77</v>
      </c>
      <c r="B63" s="1">
        <v>105.800003</v>
      </c>
      <c r="C63" s="1">
        <v>106.639999</v>
      </c>
      <c r="D63" s="1">
        <v>102.790001</v>
      </c>
      <c r="E63" s="1">
        <v>103.650002</v>
      </c>
      <c r="F63" s="1">
        <v>103.650002</v>
      </c>
      <c r="G63" s="1">
        <v>18776000</v>
      </c>
      <c r="H63" s="4">
        <v>44967</v>
      </c>
      <c r="I63" s="2">
        <v>66</v>
      </c>
      <c r="J63" s="2">
        <v>66.440002000000007</v>
      </c>
      <c r="K63" s="2">
        <v>63.799999</v>
      </c>
      <c r="L63" s="2">
        <v>64</v>
      </c>
      <c r="M63" s="2">
        <v>64</v>
      </c>
      <c r="N63" s="2">
        <v>3504400</v>
      </c>
      <c r="O63">
        <f t="shared" si="14"/>
        <v>0.38174768408293847</v>
      </c>
      <c r="P63">
        <f t="shared" si="15"/>
        <v>0.61825231591706153</v>
      </c>
      <c r="Q63">
        <f t="shared" si="16"/>
        <v>190.87384204146923</v>
      </c>
      <c r="R63">
        <f t="shared" si="17"/>
        <v>309.12615795853077</v>
      </c>
      <c r="S63">
        <f t="shared" si="5"/>
        <v>500</v>
      </c>
      <c r="T63" s="10">
        <f t="shared" si="18"/>
        <v>-4.4348119531146188E-2</v>
      </c>
      <c r="U63" s="11">
        <f t="shared" si="19"/>
        <v>-4.931669637551981E-2</v>
      </c>
      <c r="V63">
        <f t="shared" si="10"/>
        <v>-4.7419953671992067E-2</v>
      </c>
      <c r="W63">
        <v>63</v>
      </c>
      <c r="X63">
        <f t="shared" si="8"/>
        <v>1.2167630901725162E-3</v>
      </c>
      <c r="Y63">
        <f t="shared" si="11"/>
        <v>7.1891769021145028E-6</v>
      </c>
      <c r="Z63">
        <f t="shared" si="12"/>
        <v>2.4789076674746955E-5</v>
      </c>
      <c r="AA63">
        <f t="shared" si="13"/>
        <v>1.3902002568919276E-5</v>
      </c>
      <c r="AC63" s="10">
        <v>60</v>
      </c>
      <c r="AD63">
        <f>MC($AC63,0,$T$128,$AE$2,AD$3)+MC($AC63,0,$U$128,$AE$2,AD$3)-MC($AC63,0,$V$128,$AE$2,AD$3)</f>
        <v>-9.5516559073767215E-3</v>
      </c>
      <c r="AE63">
        <f>MC($AC63,0,$T$128,$AE$2,AE$3)+MC($AC63,0,$U$128,$AE$2,AE$3)-MC($AC63,0,$V$128,$AE$2,AE$3)</f>
        <v>-1.5348720582493147E-2</v>
      </c>
      <c r="AF63">
        <f>MC($AC63,0,$T$128,$AE$2,AF$3)+MC($AC63,0,$U$128,$AE$2,AF$3)-MC($AC63,0,$V$128,$AE$2,AF$3)</f>
        <v>-1.2957807088205264E-2</v>
      </c>
      <c r="AG63">
        <f>MC($AC63,0,$T$128,$AE$2,AG$3)+MC($AC63,0,$U$128,$AE$2,AG$3)-MC($AC63,0,$V$128,$AE$2,AG$3)</f>
        <v>-1.6769306084197355E-2</v>
      </c>
      <c r="AH63">
        <f>MC($AC63,0,$T$128,$AE$2,AH$3)+MC($AC63,0,$U$128,$AE$2,AH$3)-MC($AC63,0,$V$128,$AE$2,AH$3)</f>
        <v>-1.7989385064512531E-2</v>
      </c>
      <c r="AI63">
        <f>MC($AC63,0,$T$128,$AE$2,AI$3)+MC($AC63,0,$U$128,$AE$2,AI$3)-MC($AC63,0,$V$128,$AE$2,AI$3)</f>
        <v>-1.9403547637092622E-2</v>
      </c>
      <c r="AJ63">
        <f>MC($AC63,0,$T$128,$AE$2,AJ$3)+MC($AC63,0,$U$128,$AE$2,AJ$3)-MC($AC63,0,$V$128,$AE$2,AJ$3)</f>
        <v>-1.3738543758856414E-2</v>
      </c>
      <c r="AK63">
        <f>MC($AC63,0,$T$128,$AE$2,AK$3)+MC($AC63,0,$U$128,$AE$2,AK$3)-MC($AC63,0,$V$128,$AE$2,AK$3)</f>
        <v>-1.912275440023925E-2</v>
      </c>
      <c r="AL63">
        <f>MC($AC63,0,$T$128,$AE$2,AL$3)+MC($AC63,0,$U$128,$AE$2,AL$3)-MC($AC63,0,$V$128,$AE$2,AL$3)</f>
        <v>-2.4196578067584795E-2</v>
      </c>
      <c r="AM63">
        <f>MC($AC63,0,$T$128,$AE$2,AM$3)+MC($AC63,0,$U$128,$AE$2,AM$3)-MC($AC63,0,$V$128,$AE$2,AM$3)</f>
        <v>-2.2546120765422284E-2</v>
      </c>
      <c r="AN63">
        <f>MC($AC63,0,$T$128,$AE$2,AN$3)+MC($AC63,0,$U$128,$AE$2,AN$3)-MC($AC63,0,$V$128,$AE$2,AN$3)</f>
        <v>-2.5655686401224287E-2</v>
      </c>
      <c r="AP63" s="10">
        <v>60</v>
      </c>
      <c r="AQ63">
        <f t="shared" si="22"/>
        <v>-0.20819668475860331</v>
      </c>
      <c r="AR63">
        <f t="shared" si="21"/>
        <v>-0.21781468697210826</v>
      </c>
      <c r="AS63">
        <f t="shared" si="21"/>
        <v>-0.22826333997785808</v>
      </c>
      <c r="AT63">
        <f t="shared" si="21"/>
        <v>-0.2397521939219236</v>
      </c>
      <c r="AU63">
        <f t="shared" si="21"/>
        <v>-0.25258344388797527</v>
      </c>
      <c r="AV63">
        <f t="shared" si="21"/>
        <v>-0.26721755195151575</v>
      </c>
      <c r="AW63">
        <f>$T$128*SQRT($AP63)*_xlfn.NORM.INV(1-AW$3,0,1)+$U$128*SQRT($AP63)*_xlfn.NORM.INV(1-AW$3,0,1)-$V$128*SQRT($AP63)*_xlfn.NORM.INV(1-AW$3,0,1)</f>
        <v>-0.28441074544891631</v>
      </c>
      <c r="AX63">
        <f t="shared" si="21"/>
        <v>-0.30554759126361075</v>
      </c>
      <c r="AY63">
        <f t="shared" si="21"/>
        <v>-0.33364534523309242</v>
      </c>
      <c r="AZ63">
        <f t="shared" si="21"/>
        <v>-0.37793088315155432</v>
      </c>
      <c r="BA63">
        <f t="shared" si="21"/>
        <v>-0.41846082196079948</v>
      </c>
    </row>
    <row r="64" spans="1:53">
      <c r="A64" s="3" t="s">
        <v>78</v>
      </c>
      <c r="B64" s="1">
        <v>105.989998</v>
      </c>
      <c r="C64" s="1">
        <v>106.349998</v>
      </c>
      <c r="D64" s="1">
        <v>104.150002</v>
      </c>
      <c r="E64" s="1">
        <v>104.790001</v>
      </c>
      <c r="F64" s="1">
        <v>104.790001</v>
      </c>
      <c r="G64" s="1">
        <v>18538600</v>
      </c>
      <c r="H64" s="4">
        <v>44970</v>
      </c>
      <c r="I64" s="2">
        <v>63.66</v>
      </c>
      <c r="J64" s="2">
        <v>65.419998000000007</v>
      </c>
      <c r="K64" s="2">
        <v>63.220001000000003</v>
      </c>
      <c r="L64" s="2">
        <v>65.019997000000004</v>
      </c>
      <c r="M64" s="2">
        <v>65.019997000000004</v>
      </c>
      <c r="N64" s="2">
        <v>2314800</v>
      </c>
      <c r="O64">
        <f t="shared" si="14"/>
        <v>0.38289852049818646</v>
      </c>
      <c r="P64">
        <f t="shared" si="15"/>
        <v>0.6171014795018136</v>
      </c>
      <c r="Q64">
        <f t="shared" si="16"/>
        <v>191.44926024909321</v>
      </c>
      <c r="R64">
        <f t="shared" si="17"/>
        <v>308.55073975090681</v>
      </c>
      <c r="S64">
        <f t="shared" si="5"/>
        <v>500</v>
      </c>
      <c r="T64" s="10">
        <f t="shared" si="18"/>
        <v>1.0998542961919124E-2</v>
      </c>
      <c r="U64" s="11">
        <f t="shared" si="19"/>
        <v>1.5937453125000056E-2</v>
      </c>
      <c r="V64">
        <f t="shared" si="10"/>
        <v>1.4046351730682912E-2</v>
      </c>
      <c r="W64">
        <v>62</v>
      </c>
      <c r="X64">
        <f t="shared" si="8"/>
        <v>1.2944288193324643E-3</v>
      </c>
      <c r="Y64">
        <f t="shared" si="11"/>
        <v>5.4552944721062818E-7</v>
      </c>
      <c r="Z64">
        <f t="shared" si="12"/>
        <v>7.2102511731543709E-6</v>
      </c>
      <c r="AA64">
        <f t="shared" si="13"/>
        <v>2.4619738466267113E-6</v>
      </c>
      <c r="AC64" s="10">
        <v>61</v>
      </c>
      <c r="AD64">
        <f>MC($AC64,0,$T$128,$AE$2,AD$3)+MC($AC64,0,$U$128,$AE$2,AD$3)-MC($AC64,0,$V$128,$AE$2,AD$3)</f>
        <v>-1.4571582924003845E-2</v>
      </c>
      <c r="AE64">
        <f>MC($AC64,0,$T$128,$AE$2,AE$3)+MC($AC64,0,$U$128,$AE$2,AE$3)-MC($AC64,0,$V$128,$AE$2,AE$3)</f>
        <v>-1.4179381134626468E-2</v>
      </c>
      <c r="AF64">
        <f>MC($AC64,0,$T$128,$AE$2,AF$3)+MC($AC64,0,$U$128,$AE$2,AF$3)-MC($AC64,0,$V$128,$AE$2,AF$3)</f>
        <v>-1.474376800196997E-2</v>
      </c>
      <c r="AG64">
        <f>MC($AC64,0,$T$128,$AE$2,AG$3)+MC($AC64,0,$U$128,$AE$2,AG$3)-MC($AC64,0,$V$128,$AE$2,AG$3)</f>
        <v>-1.4713958306236563E-2</v>
      </c>
      <c r="AH64">
        <f>MC($AC64,0,$T$128,$AE$2,AH$3)+MC($AC64,0,$U$128,$AE$2,AH$3)-MC($AC64,0,$V$128,$AE$2,AH$3)</f>
        <v>-1.7029365634200433E-2</v>
      </c>
      <c r="AI64">
        <f>MC($AC64,0,$T$128,$AE$2,AI$3)+MC($AC64,0,$U$128,$AE$2,AI$3)-MC($AC64,0,$V$128,$AE$2,AI$3)</f>
        <v>-1.9058515361306538E-2</v>
      </c>
      <c r="AJ64">
        <f>MC($AC64,0,$T$128,$AE$2,AJ$3)+MC($AC64,0,$U$128,$AE$2,AJ$3)-MC($AC64,0,$V$128,$AE$2,AJ$3)</f>
        <v>-1.6473312980253008E-2</v>
      </c>
      <c r="AK64">
        <f>MC($AC64,0,$T$128,$AE$2,AK$3)+MC($AC64,0,$U$128,$AE$2,AK$3)-MC($AC64,0,$V$128,$AE$2,AK$3)</f>
        <v>-2.4010778100988617E-2</v>
      </c>
      <c r="AL64">
        <f>MC($AC64,0,$T$128,$AE$2,AL$3)+MC($AC64,0,$U$128,$AE$2,AL$3)-MC($AC64,0,$V$128,$AE$2,AL$3)</f>
        <v>-1.8382303403274847E-2</v>
      </c>
      <c r="AM64">
        <f>MC($AC64,0,$T$128,$AE$2,AM$3)+MC($AC64,0,$U$128,$AE$2,AM$3)-MC($AC64,0,$V$128,$AE$2,AM$3)</f>
        <v>-2.4804050997349725E-2</v>
      </c>
      <c r="AN64">
        <f>MC($AC64,0,$T$128,$AE$2,AN$3)+MC($AC64,0,$U$128,$AE$2,AN$3)-MC($AC64,0,$V$128,$AE$2,AN$3)</f>
        <v>-2.9199665087859872E-2</v>
      </c>
      <c r="AP64" s="10">
        <v>61</v>
      </c>
      <c r="AQ64">
        <f t="shared" si="22"/>
        <v>-0.20992448770184269</v>
      </c>
      <c r="AR64">
        <f t="shared" si="21"/>
        <v>-0.21962230872971455</v>
      </c>
      <c r="AS64">
        <f t="shared" si="21"/>
        <v>-0.23015767403560106</v>
      </c>
      <c r="AT64">
        <f t="shared" si="21"/>
        <v>-0.24174187280075243</v>
      </c>
      <c r="AU64">
        <f t="shared" si="21"/>
        <v>-0.254679607994859</v>
      </c>
      <c r="AV64">
        <f t="shared" si="21"/>
        <v>-0.26943516302098292</v>
      </c>
      <c r="AW64">
        <f t="shared" si="21"/>
        <v>-0.28677104106863416</v>
      </c>
      <c r="AX64">
        <f t="shared" si="21"/>
        <v>-0.30808329939987167</v>
      </c>
      <c r="AY64">
        <f t="shared" si="21"/>
        <v>-0.33641423374906587</v>
      </c>
      <c r="AZ64">
        <f t="shared" si="21"/>
        <v>-0.38106729280671936</v>
      </c>
      <c r="BA64">
        <f t="shared" si="21"/>
        <v>-0.42193358542315984</v>
      </c>
    </row>
    <row r="65" spans="1:53">
      <c r="A65" s="3" t="s">
        <v>79</v>
      </c>
      <c r="B65" s="1">
        <v>103.550003</v>
      </c>
      <c r="C65" s="1">
        <v>104.480003</v>
      </c>
      <c r="D65" s="1">
        <v>101.849998</v>
      </c>
      <c r="E65" s="1">
        <v>104.220001</v>
      </c>
      <c r="F65" s="1">
        <v>104.220001</v>
      </c>
      <c r="G65" s="1">
        <v>12978400</v>
      </c>
      <c r="H65" s="4">
        <v>44971</v>
      </c>
      <c r="I65" s="2">
        <v>64.449996999999996</v>
      </c>
      <c r="J65" s="2">
        <v>65.518996999999999</v>
      </c>
      <c r="K65" s="2">
        <v>62.951000000000001</v>
      </c>
      <c r="L65" s="2">
        <v>64.230002999999996</v>
      </c>
      <c r="M65" s="2">
        <v>64.230002999999996</v>
      </c>
      <c r="N65" s="2">
        <v>3483300</v>
      </c>
      <c r="O65">
        <f t="shared" si="14"/>
        <v>0.38130009780231294</v>
      </c>
      <c r="P65">
        <f t="shared" si="15"/>
        <v>0.61869990219768711</v>
      </c>
      <c r="Q65">
        <f t="shared" si="16"/>
        <v>190.65004890115648</v>
      </c>
      <c r="R65">
        <f t="shared" si="17"/>
        <v>309.34995109884358</v>
      </c>
      <c r="S65">
        <f t="shared" si="5"/>
        <v>500.00000000000006</v>
      </c>
      <c r="T65" s="10">
        <f t="shared" si="18"/>
        <v>-5.439450277321854E-3</v>
      </c>
      <c r="U65" s="11">
        <f t="shared" si="19"/>
        <v>-1.2150015940480697E-2</v>
      </c>
      <c r="V65">
        <f t="shared" si="10"/>
        <v>-9.5912765968093876E-3</v>
      </c>
      <c r="W65">
        <v>61</v>
      </c>
      <c r="X65">
        <f t="shared" si="8"/>
        <v>1.3770519354600679E-3</v>
      </c>
      <c r="Y65">
        <f t="shared" si="11"/>
        <v>1.785317601802967E-6</v>
      </c>
      <c r="Z65">
        <f t="shared" si="12"/>
        <v>1.3760109825147756E-5</v>
      </c>
      <c r="AA65">
        <f t="shared" si="13"/>
        <v>5.9065972730242989E-6</v>
      </c>
      <c r="AC65" s="10">
        <v>62</v>
      </c>
      <c r="AD65">
        <f>MC($AC65,0,$T$128,$AE$2,AD$3)+MC($AC65,0,$U$128,$AE$2,AD$3)-MC($AC65,0,$V$128,$AE$2,AD$3)</f>
        <v>-1.5594481447630315E-2</v>
      </c>
      <c r="AE65">
        <f>MC($AC65,0,$T$128,$AE$2,AE$3)+MC($AC65,0,$U$128,$AE$2,AE$3)-MC($AC65,0,$V$128,$AE$2,AE$3)</f>
        <v>-1.241295790867869E-2</v>
      </c>
      <c r="AF65">
        <f>MC($AC65,0,$T$128,$AE$2,AF$3)+MC($AC65,0,$U$128,$AE$2,AF$3)-MC($AC65,0,$V$128,$AE$2,AF$3)</f>
        <v>-1.4943302612405063E-2</v>
      </c>
      <c r="AG65">
        <f>MC($AC65,0,$T$128,$AE$2,AG$3)+MC($AC65,0,$U$128,$AE$2,AG$3)-MC($AC65,0,$V$128,$AE$2,AG$3)</f>
        <v>-1.3649146043166027E-2</v>
      </c>
      <c r="AH65">
        <f>MC($AC65,0,$T$128,$AE$2,AH$3)+MC($AC65,0,$U$128,$AE$2,AH$3)-MC($AC65,0,$V$128,$AE$2,AH$3)</f>
        <v>-1.5764055795864929E-2</v>
      </c>
      <c r="AI65">
        <f>MC($AC65,0,$T$128,$AE$2,AI$3)+MC($AC65,0,$U$128,$AE$2,AI$3)-MC($AC65,0,$V$128,$AE$2,AI$3)</f>
        <v>-1.6615482678357107E-2</v>
      </c>
      <c r="AJ65">
        <f>MC($AC65,0,$T$128,$AE$2,AJ$3)+MC($AC65,0,$U$128,$AE$2,AJ$3)-MC($AC65,0,$V$128,$AE$2,AJ$3)</f>
        <v>-1.6849338239874889E-2</v>
      </c>
      <c r="AK65">
        <f>MC($AC65,0,$T$128,$AE$2,AK$3)+MC($AC65,0,$U$128,$AE$2,AK$3)-MC($AC65,0,$V$128,$AE$2,AK$3)</f>
        <v>-1.5798268912636582E-2</v>
      </c>
      <c r="AL65">
        <f>MC($AC65,0,$T$128,$AE$2,AL$3)+MC($AC65,0,$U$128,$AE$2,AL$3)-MC($AC65,0,$V$128,$AE$2,AL$3)</f>
        <v>-2.1130432345236594E-2</v>
      </c>
      <c r="AM65">
        <f>MC($AC65,0,$T$128,$AE$2,AM$3)+MC($AC65,0,$U$128,$AE$2,AM$3)-MC($AC65,0,$V$128,$AE$2,AM$3)</f>
        <v>-2.9316182768123866E-2</v>
      </c>
      <c r="AN65">
        <f>MC($AC65,0,$T$128,$AE$2,AN$3)+MC($AC65,0,$U$128,$AE$2,AN$3)-MC($AC65,0,$V$128,$AE$2,AN$3)</f>
        <v>-2.1776002408190331E-2</v>
      </c>
      <c r="AP65" s="10">
        <v>62</v>
      </c>
      <c r="AQ65">
        <f t="shared" si="22"/>
        <v>-0.21163818542335167</v>
      </c>
      <c r="AR65">
        <f t="shared" si="21"/>
        <v>-0.2214151736507296</v>
      </c>
      <c r="AS65">
        <f t="shared" si="21"/>
        <v>-0.23203654336571378</v>
      </c>
      <c r="AT65">
        <f t="shared" si="21"/>
        <v>-0.24371530858781676</v>
      </c>
      <c r="AU65">
        <f t="shared" si="21"/>
        <v>-0.25675865969918177</v>
      </c>
      <c r="AV65">
        <f t="shared" si="21"/>
        <v>-0.27163467023435417</v>
      </c>
      <c r="AW65">
        <f t="shared" si="21"/>
        <v>-0.28911206800195755</v>
      </c>
      <c r="AX65">
        <f t="shared" si="21"/>
        <v>-0.31059830683895806</v>
      </c>
      <c r="AY65">
        <f t="shared" si="21"/>
        <v>-0.33916051795902336</v>
      </c>
      <c r="AZ65">
        <f t="shared" si="21"/>
        <v>-0.38417809783272483</v>
      </c>
      <c r="BA65">
        <f t="shared" si="21"/>
        <v>-0.42537799837318602</v>
      </c>
    </row>
    <row r="66" spans="1:53">
      <c r="A66" s="3" t="s">
        <v>80</v>
      </c>
      <c r="B66" s="1">
        <v>102.389999</v>
      </c>
      <c r="C66" s="1">
        <v>103.44000200000001</v>
      </c>
      <c r="D66" s="1">
        <v>102</v>
      </c>
      <c r="E66" s="1">
        <v>103.08000199999999</v>
      </c>
      <c r="F66" s="1">
        <v>103.08000199999999</v>
      </c>
      <c r="G66" s="1">
        <v>18230200</v>
      </c>
      <c r="H66" s="4">
        <v>44972</v>
      </c>
      <c r="I66" s="2">
        <v>62.040000999999997</v>
      </c>
      <c r="J66" s="2">
        <v>65.900002000000001</v>
      </c>
      <c r="K66" s="2">
        <v>61.700001</v>
      </c>
      <c r="L66" s="2">
        <v>65.809997999999993</v>
      </c>
      <c r="M66" s="2">
        <v>65.809997999999993</v>
      </c>
      <c r="N66" s="2">
        <v>4427200</v>
      </c>
      <c r="O66">
        <f t="shared" si="14"/>
        <v>0.389661898276985</v>
      </c>
      <c r="P66">
        <f t="shared" si="15"/>
        <v>0.61033810172301495</v>
      </c>
      <c r="Q66">
        <f t="shared" si="16"/>
        <v>194.83094913849249</v>
      </c>
      <c r="R66">
        <f t="shared" si="17"/>
        <v>305.16905086150746</v>
      </c>
      <c r="S66">
        <f t="shared" si="5"/>
        <v>499.99999999999994</v>
      </c>
      <c r="T66" s="10">
        <f t="shared" si="18"/>
        <v>-1.0938389839393717E-2</v>
      </c>
      <c r="U66" s="11">
        <f t="shared" si="19"/>
        <v>2.4599018000979959E-2</v>
      </c>
      <c r="V66">
        <f t="shared" si="10"/>
        <v>1.0751444202056541E-2</v>
      </c>
      <c r="W66">
        <v>60</v>
      </c>
      <c r="X66">
        <f t="shared" si="8"/>
        <v>1.464948867510711E-3</v>
      </c>
      <c r="Y66">
        <f t="shared" si="11"/>
        <v>2.4117163323310523E-6</v>
      </c>
      <c r="Z66">
        <f t="shared" si="12"/>
        <v>5.368825860098844E-6</v>
      </c>
      <c r="AA66">
        <f t="shared" si="13"/>
        <v>2.7653099408300187E-6</v>
      </c>
      <c r="AC66" s="10">
        <v>63</v>
      </c>
      <c r="AD66">
        <f>MC($AC66,0,$T$128,$AE$2,AD$3)+MC($AC66,0,$U$128,$AE$2,AD$3)-MC($AC66,0,$V$128,$AE$2,AD$3)</f>
        <v>-1.2750446431353923E-2</v>
      </c>
      <c r="AE66">
        <f>MC($AC66,0,$T$128,$AE$2,AE$3)+MC($AC66,0,$U$128,$AE$2,AE$3)-MC($AC66,0,$V$128,$AE$2,AE$3)</f>
        <v>-1.3407491044209241E-2</v>
      </c>
      <c r="AF66">
        <f>MC($AC66,0,$T$128,$AE$2,AF$3)+MC($AC66,0,$U$128,$AE$2,AF$3)-MC($AC66,0,$V$128,$AE$2,AF$3)</f>
        <v>-1.5535481675437612E-2</v>
      </c>
      <c r="AG66">
        <f>MC($AC66,0,$T$128,$AE$2,AG$3)+MC($AC66,0,$U$128,$AE$2,AG$3)-MC($AC66,0,$V$128,$AE$2,AG$3)</f>
        <v>-1.4367275692587445E-2</v>
      </c>
      <c r="AH66">
        <f>MC($AC66,0,$T$128,$AE$2,AH$3)+MC($AC66,0,$U$128,$AE$2,AH$3)-MC($AC66,0,$V$128,$AE$2,AH$3)</f>
        <v>-1.6701787293418757E-2</v>
      </c>
      <c r="AI66">
        <f>MC($AC66,0,$T$128,$AE$2,AI$3)+MC($AC66,0,$U$128,$AE$2,AI$3)-MC($AC66,0,$V$128,$AE$2,AI$3)</f>
        <v>-1.8481640062016025E-2</v>
      </c>
      <c r="AJ66">
        <f>MC($AC66,0,$T$128,$AE$2,AJ$3)+MC($AC66,0,$U$128,$AE$2,AJ$3)-MC($AC66,0,$V$128,$AE$2,AJ$3)</f>
        <v>-2.1040493065451749E-2</v>
      </c>
      <c r="AK66">
        <f>MC($AC66,0,$T$128,$AE$2,AK$3)+MC($AC66,0,$U$128,$AE$2,AK$3)-MC($AC66,0,$V$128,$AE$2,AK$3)</f>
        <v>-1.894738656754269E-2</v>
      </c>
      <c r="AL66">
        <f>MC($AC66,0,$T$128,$AE$2,AL$3)+MC($AC66,0,$U$128,$AE$2,AL$3)-MC($AC66,0,$V$128,$AE$2,AL$3)</f>
        <v>-1.8792345471517313E-2</v>
      </c>
      <c r="AM66">
        <f>MC($AC66,0,$T$128,$AE$2,AM$3)+MC($AC66,0,$U$128,$AE$2,AM$3)-MC($AC66,0,$V$128,$AE$2,AM$3)</f>
        <v>-2.3745715542937029E-2</v>
      </c>
      <c r="AN66">
        <f>MC($AC66,0,$T$128,$AE$2,AN$3)+MC($AC66,0,$U$128,$AE$2,AN$3)-MC($AC66,0,$V$128,$AE$2,AN$3)</f>
        <v>-1.9675288051133055E-2</v>
      </c>
      <c r="AP66" s="10">
        <v>63</v>
      </c>
      <c r="AQ66">
        <f t="shared" si="22"/>
        <v>-0.21333811783574186</v>
      </c>
      <c r="AR66">
        <f t="shared" si="21"/>
        <v>-0.22319363735060938</v>
      </c>
      <c r="AS66">
        <f t="shared" si="21"/>
        <v>-0.23390032064266075</v>
      </c>
      <c r="AT66">
        <f t="shared" si="21"/>
        <v>-0.2456728927148748</v>
      </c>
      <c r="AU66">
        <f t="shared" si="21"/>
        <v>-0.25882101138165992</v>
      </c>
      <c r="AV66">
        <f t="shared" si="21"/>
        <v>-0.27381650986474315</v>
      </c>
      <c r="AW66">
        <f t="shared" si="21"/>
        <v>-0.29143429059249115</v>
      </c>
      <c r="AX66">
        <f t="shared" si="21"/>
        <v>-0.31309311243357629</v>
      </c>
      <c r="AY66">
        <f t="shared" si="21"/>
        <v>-0.34188474258950907</v>
      </c>
      <c r="AZ66">
        <f t="shared" si="21"/>
        <v>-0.38726391525896042</v>
      </c>
      <c r="BA66">
        <f t="shared" si="21"/>
        <v>-0.42879474401152962</v>
      </c>
    </row>
    <row r="67" spans="1:53">
      <c r="A67" s="3" t="s">
        <v>81</v>
      </c>
      <c r="B67" s="1">
        <v>102.709999</v>
      </c>
      <c r="C67" s="1">
        <v>104.519997</v>
      </c>
      <c r="D67" s="1">
        <v>102.029999</v>
      </c>
      <c r="E67" s="1">
        <v>103.110001</v>
      </c>
      <c r="F67" s="1">
        <v>103.110001</v>
      </c>
      <c r="G67" s="1">
        <v>21747100</v>
      </c>
      <c r="H67" s="4">
        <v>44973</v>
      </c>
      <c r="I67" s="2">
        <v>66.940002000000007</v>
      </c>
      <c r="J67" s="2">
        <v>69.769997000000004</v>
      </c>
      <c r="K67" s="2">
        <v>65.180000000000007</v>
      </c>
      <c r="L67" s="2">
        <v>66.830001999999993</v>
      </c>
      <c r="M67" s="2">
        <v>66.830001999999993</v>
      </c>
      <c r="N67" s="2">
        <v>6071500</v>
      </c>
      <c r="O67">
        <f t="shared" si="14"/>
        <v>0.39325644827721934</v>
      </c>
      <c r="P67">
        <f t="shared" si="15"/>
        <v>0.60674355172278072</v>
      </c>
      <c r="Q67">
        <f t="shared" si="16"/>
        <v>196.62822413860968</v>
      </c>
      <c r="R67">
        <f t="shared" si="17"/>
        <v>303.37177586139035</v>
      </c>
      <c r="S67">
        <f t="shared" si="5"/>
        <v>500</v>
      </c>
      <c r="T67" s="10">
        <f t="shared" si="18"/>
        <v>2.9102638162544528E-4</v>
      </c>
      <c r="U67" s="11">
        <f t="shared" si="19"/>
        <v>1.5499225512816461E-2</v>
      </c>
      <c r="V67">
        <f t="shared" si="10"/>
        <v>9.51850313779159E-3</v>
      </c>
      <c r="W67">
        <v>59</v>
      </c>
      <c r="X67">
        <f t="shared" si="8"/>
        <v>1.5584562420326712E-3</v>
      </c>
      <c r="Y67">
        <f t="shared" si="11"/>
        <v>1.260720676168479E-6</v>
      </c>
      <c r="Z67">
        <f t="shared" si="12"/>
        <v>7.0051485847519079E-6</v>
      </c>
      <c r="AA67">
        <f t="shared" si="13"/>
        <v>2.885463431822827E-6</v>
      </c>
      <c r="AC67" s="10">
        <v>64</v>
      </c>
      <c r="AD67">
        <f>MC($AC67,0,$T$128,$AE$2,AD$3)+MC($AC67,0,$U$128,$AE$2,AD$3)-MC($AC67,0,$V$128,$AE$2,AD$3)</f>
        <v>-1.0011876507564299E-2</v>
      </c>
      <c r="AE67">
        <f>MC($AC67,0,$T$128,$AE$2,AE$3)+MC($AC67,0,$U$128,$AE$2,AE$3)-MC($AC67,0,$V$128,$AE$2,AE$3)</f>
        <v>-1.2305840040819804E-2</v>
      </c>
      <c r="AF67">
        <f>MC($AC67,0,$T$128,$AE$2,AF$3)+MC($AC67,0,$U$128,$AE$2,AF$3)-MC($AC67,0,$V$128,$AE$2,AF$3)</f>
        <v>-1.6083959702646089E-2</v>
      </c>
      <c r="AG67">
        <f>MC($AC67,0,$T$128,$AE$2,AG$3)+MC($AC67,0,$U$128,$AE$2,AG$3)-MC($AC67,0,$V$128,$AE$2,AG$3)</f>
        <v>-1.5522079146105705E-2</v>
      </c>
      <c r="AH67">
        <f>MC($AC67,0,$T$128,$AE$2,AH$3)+MC($AC67,0,$U$128,$AE$2,AH$3)-MC($AC67,0,$V$128,$AE$2,AH$3)</f>
        <v>-1.4648843031414671E-2</v>
      </c>
      <c r="AI67">
        <f>MC($AC67,0,$T$128,$AE$2,AI$3)+MC($AC67,0,$U$128,$AE$2,AI$3)-MC($AC67,0,$V$128,$AE$2,AI$3)</f>
        <v>-1.9824646584126082E-2</v>
      </c>
      <c r="AJ67">
        <f>MC($AC67,0,$T$128,$AE$2,AJ$3)+MC($AC67,0,$U$128,$AE$2,AJ$3)-MC($AC67,0,$V$128,$AE$2,AJ$3)</f>
        <v>-1.7519928551381847E-2</v>
      </c>
      <c r="AK67">
        <f>MC($AC67,0,$T$128,$AE$2,AK$3)+MC($AC67,0,$U$128,$AE$2,AK$3)-MC($AC67,0,$V$128,$AE$2,AK$3)</f>
        <v>-1.7083113993749954E-2</v>
      </c>
      <c r="AL67">
        <f>MC($AC67,0,$T$128,$AE$2,AL$3)+MC($AC67,0,$U$128,$AE$2,AL$3)-MC($AC67,0,$V$128,$AE$2,AL$3)</f>
        <v>-2.7591644340965837E-2</v>
      </c>
      <c r="AM67">
        <f>MC($AC67,0,$T$128,$AE$2,AM$3)+MC($AC67,0,$U$128,$AE$2,AM$3)-MC($AC67,0,$V$128,$AE$2,AM$3)</f>
        <v>-2.0941725414003853E-2</v>
      </c>
      <c r="AN67">
        <f>MC($AC67,0,$T$128,$AE$2,AN$3)+MC($AC67,0,$U$128,$AE$2,AN$3)-MC($AC67,0,$V$128,$AE$2,AN$3)</f>
        <v>-2.4843440366876912E-2</v>
      </c>
      <c r="AP67" s="10">
        <v>64</v>
      </c>
      <c r="AQ67">
        <f t="shared" si="22"/>
        <v>-0.2150246114148443</v>
      </c>
      <c r="AR67">
        <f t="shared" si="21"/>
        <v>-0.22495804138729514</v>
      </c>
      <c r="AS67">
        <f t="shared" si="21"/>
        <v>-0.23574936380904699</v>
      </c>
      <c r="AT67">
        <f t="shared" si="21"/>
        <v>-0.24761500114034696</v>
      </c>
      <c r="AU67">
        <f t="shared" si="21"/>
        <v>-0.26086705912155828</v>
      </c>
      <c r="AV67">
        <f t="shared" si="21"/>
        <v>-0.27598110093934292</v>
      </c>
      <c r="AW67">
        <f t="shared" si="21"/>
        <v>-0.29373815482829058</v>
      </c>
      <c r="AX67">
        <f t="shared" si="21"/>
        <v>-0.31556819531673452</v>
      </c>
      <c r="AY67">
        <f t="shared" si="21"/>
        <v>-0.34458743083397103</v>
      </c>
      <c r="AZ67">
        <f t="shared" si="21"/>
        <v>-0.39032533772358147</v>
      </c>
      <c r="BA67">
        <f t="shared" si="21"/>
        <v>-0.43218447853185138</v>
      </c>
    </row>
    <row r="68" spans="1:53">
      <c r="A68" s="3" t="s">
        <v>82</v>
      </c>
      <c r="B68" s="1">
        <v>101</v>
      </c>
      <c r="C68" s="1">
        <v>101.089996</v>
      </c>
      <c r="D68" s="1">
        <v>99.25</v>
      </c>
      <c r="E68" s="1">
        <v>100.010002</v>
      </c>
      <c r="F68" s="1">
        <v>100.010002</v>
      </c>
      <c r="G68" s="1">
        <v>18121600</v>
      </c>
      <c r="H68" s="4">
        <v>44974</v>
      </c>
      <c r="I68" s="2">
        <v>65.989998</v>
      </c>
      <c r="J68" s="2">
        <v>66.069999999999993</v>
      </c>
      <c r="K68" s="2">
        <v>63.748001000000002</v>
      </c>
      <c r="L68" s="2">
        <v>65.010002</v>
      </c>
      <c r="M68" s="2">
        <v>65.010002</v>
      </c>
      <c r="N68" s="2">
        <v>5187200</v>
      </c>
      <c r="O68">
        <f t="shared" ref="O68:O99" si="23">M68/(F68+M68)</f>
        <v>0.39395225078288082</v>
      </c>
      <c r="P68">
        <f t="shared" ref="P68:P99" si="24">F68/(F68+M68)</f>
        <v>0.60604774921711912</v>
      </c>
      <c r="Q68">
        <f t="shared" ref="Q68:Q99" si="25">$R$2*O68</f>
        <v>196.97612539144041</v>
      </c>
      <c r="R68">
        <f t="shared" ref="R68:R99" si="26">$R$2*P68</f>
        <v>303.02387460855954</v>
      </c>
      <c r="S68">
        <f t="shared" si="5"/>
        <v>499.99999999999994</v>
      </c>
      <c r="T68" s="10">
        <f t="shared" si="18"/>
        <v>-3.0064969158520298E-2</v>
      </c>
      <c r="U68" s="11">
        <f t="shared" si="19"/>
        <v>-2.7233277652752328E-2</v>
      </c>
      <c r="V68">
        <f t="shared" si="10"/>
        <v>-2.8348828894972384E-2</v>
      </c>
      <c r="W68">
        <v>58</v>
      </c>
      <c r="X68">
        <f t="shared" si="8"/>
        <v>1.6579321723751823E-3</v>
      </c>
      <c r="Y68">
        <f t="shared" si="11"/>
        <v>5.5624463542084333E-6</v>
      </c>
      <c r="Z68">
        <f t="shared" si="12"/>
        <v>1.9074779333210966E-5</v>
      </c>
      <c r="AA68">
        <f t="shared" si="13"/>
        <v>1.0424693304270153E-5</v>
      </c>
      <c r="AC68" s="10">
        <v>65</v>
      </c>
      <c r="AD68">
        <f>MC($AC68,0,$T$128,$AE$2,AD$3)+MC($AC68,0,$U$128,$AE$2,AD$3)-MC($AC68,0,$V$128,$AE$2,AD$3)</f>
        <v>-1.4216646797467369E-2</v>
      </c>
      <c r="AE68">
        <f>MC($AC68,0,$T$128,$AE$2,AE$3)+MC($AC68,0,$U$128,$AE$2,AE$3)-MC($AC68,0,$V$128,$AE$2,AE$3)</f>
        <v>-1.2631537848786234E-2</v>
      </c>
      <c r="AF68">
        <f>MC($AC68,0,$T$128,$AE$2,AF$3)+MC($AC68,0,$U$128,$AE$2,AF$3)-MC($AC68,0,$V$128,$AE$2,AF$3)</f>
        <v>-1.448110103884237E-2</v>
      </c>
      <c r="AG68">
        <f>MC($AC68,0,$T$128,$AE$2,AG$3)+MC($AC68,0,$U$128,$AE$2,AG$3)-MC($AC68,0,$V$128,$AE$2,AG$3)</f>
        <v>-1.7458632191971857E-2</v>
      </c>
      <c r="AH68">
        <f>MC($AC68,0,$T$128,$AE$2,AH$3)+MC($AC68,0,$U$128,$AE$2,AH$3)-MC($AC68,0,$V$128,$AE$2,AH$3)</f>
        <v>-9.3690975489153505E-3</v>
      </c>
      <c r="AI68">
        <f>MC($AC68,0,$T$128,$AE$2,AI$3)+MC($AC68,0,$U$128,$AE$2,AI$3)-MC($AC68,0,$V$128,$AE$2,AI$3)</f>
        <v>-1.6244722401430156E-2</v>
      </c>
      <c r="AJ68">
        <f>MC($AC68,0,$T$128,$AE$2,AJ$3)+MC($AC68,0,$U$128,$AE$2,AJ$3)-MC($AC68,0,$V$128,$AE$2,AJ$3)</f>
        <v>-1.8160145435945019E-2</v>
      </c>
      <c r="AK68">
        <f>MC($AC68,0,$T$128,$AE$2,AK$3)+MC($AC68,0,$U$128,$AE$2,AK$3)-MC($AC68,0,$V$128,$AE$2,AK$3)</f>
        <v>-2.1321935693894734E-2</v>
      </c>
      <c r="AL68">
        <f>MC($AC68,0,$T$128,$AE$2,AL$3)+MC($AC68,0,$U$128,$AE$2,AL$3)-MC($AC68,0,$V$128,$AE$2,AL$3)</f>
        <v>-2.0188743161515532E-2</v>
      </c>
      <c r="AM68">
        <f>MC($AC68,0,$T$128,$AE$2,AM$3)+MC($AC68,0,$U$128,$AE$2,AM$3)-MC($AC68,0,$V$128,$AE$2,AM$3)</f>
        <v>-2.4032947587718345E-2</v>
      </c>
      <c r="AN68">
        <f>MC($AC68,0,$T$128,$AE$2,AN$3)+MC($AC68,0,$U$128,$AE$2,AN$3)-MC($AC68,0,$V$128,$AE$2,AN$3)</f>
        <v>-2.3087093829819771E-2</v>
      </c>
      <c r="AP68" s="10">
        <v>65</v>
      </c>
      <c r="AQ68">
        <f t="shared" si="22"/>
        <v>-0.21669797993177653</v>
      </c>
      <c r="AR68">
        <f t="shared" si="21"/>
        <v>-0.22670871402709825</v>
      </c>
      <c r="AS68">
        <f t="shared" si="21"/>
        <v>-0.23758401687824271</v>
      </c>
      <c r="AT68">
        <f t="shared" si="21"/>
        <v>-0.24954199519233955</v>
      </c>
      <c r="AU68">
        <f t="shared" si="21"/>
        <v>-0.26289718358482983</v>
      </c>
      <c r="AV68">
        <f t="shared" si="21"/>
        <v>-0.27812884617902256</v>
      </c>
      <c r="AW68">
        <f t="shared" si="21"/>
        <v>-0.29602408934191304</v>
      </c>
      <c r="AX68">
        <f t="shared" si="21"/>
        <v>-0.31802401597611674</v>
      </c>
      <c r="AY68">
        <f t="shared" si="21"/>
        <v>-0.34726908552593405</v>
      </c>
      <c r="AZ68">
        <f t="shared" si="21"/>
        <v>-0.39336293480239903</v>
      </c>
      <c r="BA68">
        <f t="shared" si="21"/>
        <v>-0.43554783259222352</v>
      </c>
    </row>
    <row r="69" spans="1:53">
      <c r="A69" s="3" t="s">
        <v>83</v>
      </c>
      <c r="B69" s="1">
        <v>96.5</v>
      </c>
      <c r="C69" s="1">
        <v>97.625</v>
      </c>
      <c r="D69" s="1">
        <v>94.699996999999996</v>
      </c>
      <c r="E69" s="1">
        <v>95.099997999999999</v>
      </c>
      <c r="F69" s="1">
        <v>95.099997999999999</v>
      </c>
      <c r="G69" s="1">
        <v>27172700</v>
      </c>
      <c r="H69" s="4">
        <v>44978</v>
      </c>
      <c r="I69" s="2">
        <v>63.009998000000003</v>
      </c>
      <c r="J69" s="2">
        <v>64.849997999999999</v>
      </c>
      <c r="K69" s="2">
        <v>62.150002000000001</v>
      </c>
      <c r="L69" s="2">
        <v>62.91</v>
      </c>
      <c r="M69" s="2">
        <v>62.91</v>
      </c>
      <c r="N69" s="2">
        <v>4987300</v>
      </c>
      <c r="O69">
        <f t="shared" si="23"/>
        <v>0.39813936330788385</v>
      </c>
      <c r="P69">
        <f t="shared" si="24"/>
        <v>0.6018606366921162</v>
      </c>
      <c r="Q69">
        <f t="shared" si="25"/>
        <v>199.06968165394193</v>
      </c>
      <c r="R69">
        <f t="shared" si="26"/>
        <v>300.93031834605813</v>
      </c>
      <c r="S69">
        <f t="shared" ref="S69:S126" si="27">Q69+R69</f>
        <v>500.00000000000006</v>
      </c>
      <c r="T69" s="10">
        <f t="shared" ref="T69:T100" si="28">(F69-F68)/F68</f>
        <v>-4.9095129505146905E-2</v>
      </c>
      <c r="U69" s="11">
        <f t="shared" ref="U69:U100" si="29">(M69-M68)/M68</f>
        <v>-3.2302752428772473E-2</v>
      </c>
      <c r="V69">
        <f t="shared" si="10"/>
        <v>-3.8988458746386095E-2</v>
      </c>
      <c r="W69">
        <v>57</v>
      </c>
      <c r="X69">
        <f t="shared" ref="X69:X125" si="30">(1-$X$2)*$X$2^W69</f>
        <v>1.7637576301863642E-3</v>
      </c>
      <c r="Y69">
        <f t="shared" si="11"/>
        <v>1.0215444463447391E-5</v>
      </c>
      <c r="Z69">
        <f t="shared" si="12"/>
        <v>2.1300199356249014E-5</v>
      </c>
      <c r="AA69">
        <f t="shared" si="13"/>
        <v>1.377770158997787E-5</v>
      </c>
      <c r="AC69" s="10">
        <v>66</v>
      </c>
      <c r="AD69">
        <f>MC($AC69,0,$T$128,$AE$2,AD$3)+MC($AC69,0,$U$128,$AE$2,AD$3)-MC($AC69,0,$V$128,$AE$2,AD$3)</f>
        <v>-1.0279119322735619E-2</v>
      </c>
      <c r="AE69">
        <f>MC($AC69,0,$T$128,$AE$2,AE$3)+MC($AC69,0,$U$128,$AE$2,AE$3)-MC($AC69,0,$V$128,$AE$2,AE$3)</f>
        <v>-1.5464825689995187E-2</v>
      </c>
      <c r="AF69">
        <f>MC($AC69,0,$T$128,$AE$2,AF$3)+MC($AC69,0,$U$128,$AE$2,AF$3)-MC($AC69,0,$V$128,$AE$2,AF$3)</f>
        <v>-1.5879931200626141E-2</v>
      </c>
      <c r="AG69">
        <f>MC($AC69,0,$T$128,$AE$2,AG$3)+MC($AC69,0,$U$128,$AE$2,AG$3)-MC($AC69,0,$V$128,$AE$2,AG$3)</f>
        <v>-1.6283540595856572E-2</v>
      </c>
      <c r="AH69">
        <f>MC($AC69,0,$T$128,$AE$2,AH$3)+MC($AC69,0,$U$128,$AE$2,AH$3)-MC($AC69,0,$V$128,$AE$2,AH$3)</f>
        <v>-1.5300666472656932E-2</v>
      </c>
      <c r="AI69">
        <f>MC($AC69,0,$T$128,$AE$2,AI$3)+MC($AC69,0,$U$128,$AE$2,AI$3)-MC($AC69,0,$V$128,$AE$2,AI$3)</f>
        <v>-2.043421539013246E-2</v>
      </c>
      <c r="AJ69">
        <f>MC($AC69,0,$T$128,$AE$2,AJ$3)+MC($AC69,0,$U$128,$AE$2,AJ$3)-MC($AC69,0,$V$128,$AE$2,AJ$3)</f>
        <v>-1.7253209842362338E-2</v>
      </c>
      <c r="AK69">
        <f>MC($AC69,0,$T$128,$AE$2,AK$3)+MC($AC69,0,$U$128,$AE$2,AK$3)-MC($AC69,0,$V$128,$AE$2,AK$3)</f>
        <v>-1.8453370547977244E-2</v>
      </c>
      <c r="AL69">
        <f>MC($AC69,0,$T$128,$AE$2,AL$3)+MC($AC69,0,$U$128,$AE$2,AL$3)-MC($AC69,0,$V$128,$AE$2,AL$3)</f>
        <v>-1.7020394571895192E-2</v>
      </c>
      <c r="AM69">
        <f>MC($AC69,0,$T$128,$AE$2,AM$3)+MC($AC69,0,$U$128,$AE$2,AM$3)-MC($AC69,0,$V$128,$AE$2,AM$3)</f>
        <v>-2.4686763730170425E-2</v>
      </c>
      <c r="AN69">
        <f>MC($AC69,0,$T$128,$AE$2,AN$3)+MC($AC69,0,$U$128,$AE$2,AN$3)-MC($AC69,0,$V$128,$AE$2,AN$3)</f>
        <v>-2.8496613219655798E-2</v>
      </c>
      <c r="AP69" s="10">
        <v>66</v>
      </c>
      <c r="AQ69">
        <f t="shared" si="22"/>
        <v>-0.21835852513451481</v>
      </c>
      <c r="AR69">
        <f t="shared" si="21"/>
        <v>-0.22844597095775887</v>
      </c>
      <c r="AS69">
        <f t="shared" si="21"/>
        <v>-0.23940461068164909</v>
      </c>
      <c r="AT69">
        <f t="shared" si="21"/>
        <v>-0.25145422235351944</v>
      </c>
      <c r="AU69">
        <f t="shared" si="21"/>
        <v>-0.26491175085099739</v>
      </c>
      <c r="AV69">
        <f t="shared" si="21"/>
        <v>-0.28026013287311702</v>
      </c>
      <c r="AW69">
        <f t="shared" si="21"/>
        <v>-0.29829250634149218</v>
      </c>
      <c r="AX69">
        <f t="shared" si="21"/>
        <v>-0.32046101725435172</v>
      </c>
      <c r="AY69">
        <f t="shared" si="21"/>
        <v>-0.34993019023125205</v>
      </c>
      <c r="AZ69">
        <f t="shared" si="21"/>
        <v>-0.39637725424610981</v>
      </c>
      <c r="BA69">
        <f t="shared" si="21"/>
        <v>-0.43888541268504078</v>
      </c>
    </row>
    <row r="70" spans="1:53">
      <c r="A70" s="3" t="s">
        <v>84</v>
      </c>
      <c r="B70" s="1">
        <v>95.574996999999996</v>
      </c>
      <c r="C70" s="1">
        <v>95.889999000000003</v>
      </c>
      <c r="D70" s="1">
        <v>93.555000000000007</v>
      </c>
      <c r="E70" s="1">
        <v>94.779999000000004</v>
      </c>
      <c r="F70" s="1">
        <v>94.779999000000004</v>
      </c>
      <c r="G70" s="1">
        <v>24484000</v>
      </c>
      <c r="H70" s="4">
        <v>44979</v>
      </c>
      <c r="I70" s="2">
        <v>63.220001000000003</v>
      </c>
      <c r="J70" s="2">
        <v>64.059997999999993</v>
      </c>
      <c r="K70" s="2">
        <v>61.799999</v>
      </c>
      <c r="L70" s="2">
        <v>63.299999</v>
      </c>
      <c r="M70" s="2">
        <v>63.299999</v>
      </c>
      <c r="N70" s="2">
        <v>3229400</v>
      </c>
      <c r="O70">
        <f t="shared" si="23"/>
        <v>0.40043016068358001</v>
      </c>
      <c r="P70">
        <f t="shared" si="24"/>
        <v>0.59956983931642005</v>
      </c>
      <c r="Q70">
        <f t="shared" si="25"/>
        <v>200.21508034179001</v>
      </c>
      <c r="R70">
        <f t="shared" si="26"/>
        <v>299.78491965821001</v>
      </c>
      <c r="S70">
        <f t="shared" si="27"/>
        <v>500</v>
      </c>
      <c r="T70" s="10">
        <f t="shared" si="28"/>
        <v>-3.3648686301759514E-3</v>
      </c>
      <c r="U70" s="11">
        <f t="shared" si="29"/>
        <v>6.1993164838658899E-3</v>
      </c>
      <c r="V70">
        <f t="shared" ref="V70:V126" si="31">O70*T70+P70*U70</f>
        <v>2.3695283018426118E-3</v>
      </c>
      <c r="W70">
        <v>56</v>
      </c>
      <c r="X70">
        <f t="shared" si="30"/>
        <v>1.8763379044535789E-3</v>
      </c>
      <c r="Y70">
        <f t="shared" ref="Y70:Y126" si="32">((SQRT(X70)*T70)-$T$127)^2</f>
        <v>1.6385591759513204E-6</v>
      </c>
      <c r="Z70">
        <f t="shared" ref="Z70:Z126" si="33">((SQRT($X70)*U70)-$U$127)^2</f>
        <v>8.9404437016814439E-6</v>
      </c>
      <c r="AA70">
        <f t="shared" ref="AA70:AA126" si="34">((SQRT($X70)*V70)-$V$127)^2</f>
        <v>3.8879545924781674E-6</v>
      </c>
      <c r="AC70" s="10">
        <v>67</v>
      </c>
      <c r="AD70">
        <f>MC($AC70,0,$T$128,$AE$2,AD$3)+MC($AC70,0,$U$128,$AE$2,AD$3)-MC($AC70,0,$V$128,$AE$2,AD$3)</f>
        <v>-1.4249462024873649E-2</v>
      </c>
      <c r="AE70">
        <f>MC($AC70,0,$T$128,$AE$2,AE$3)+MC($AC70,0,$U$128,$AE$2,AE$3)-MC($AC70,0,$V$128,$AE$2,AE$3)</f>
        <v>-1.4192167535228339E-2</v>
      </c>
      <c r="AF70">
        <f>MC($AC70,0,$T$128,$AE$2,AF$3)+MC($AC70,0,$U$128,$AE$2,AF$3)-MC($AC70,0,$V$128,$AE$2,AF$3)</f>
        <v>-1.5642931954859218E-2</v>
      </c>
      <c r="AG70">
        <f>MC($AC70,0,$T$128,$AE$2,AG$3)+MC($AC70,0,$U$128,$AE$2,AG$3)-MC($AC70,0,$V$128,$AE$2,AG$3)</f>
        <v>-1.6947767254842816E-2</v>
      </c>
      <c r="AH70">
        <f>MC($AC70,0,$T$128,$AE$2,AH$3)+MC($AC70,0,$U$128,$AE$2,AH$3)-MC($AC70,0,$V$128,$AE$2,AH$3)</f>
        <v>-1.7384184942881742E-2</v>
      </c>
      <c r="AI70">
        <f>MC($AC70,0,$T$128,$AE$2,AI$3)+MC($AC70,0,$U$128,$AE$2,AI$3)-MC($AC70,0,$V$128,$AE$2,AI$3)</f>
        <v>-1.8092866761820092E-2</v>
      </c>
      <c r="AJ70">
        <f>MC($AC70,0,$T$128,$AE$2,AJ$3)+MC($AC70,0,$U$128,$AE$2,AJ$3)-MC($AC70,0,$V$128,$AE$2,AJ$3)</f>
        <v>-1.5837322262039599E-2</v>
      </c>
      <c r="AK70">
        <f>MC($AC70,0,$T$128,$AE$2,AK$3)+MC($AC70,0,$U$128,$AE$2,AK$3)-MC($AC70,0,$V$128,$AE$2,AK$3)</f>
        <v>-1.7549544054976218E-2</v>
      </c>
      <c r="AL70">
        <f>MC($AC70,0,$T$128,$AE$2,AL$3)+MC($AC70,0,$U$128,$AE$2,AL$3)-MC($AC70,0,$V$128,$AE$2,AL$3)</f>
        <v>-2.3669080719842084E-2</v>
      </c>
      <c r="AM70">
        <f>MC($AC70,0,$T$128,$AE$2,AM$3)+MC($AC70,0,$U$128,$AE$2,AM$3)-MC($AC70,0,$V$128,$AE$2,AM$3)</f>
        <v>-2.675564433399602E-2</v>
      </c>
      <c r="AN70">
        <f>MC($AC70,0,$T$128,$AE$2,AN$3)+MC($AC70,0,$U$128,$AE$2,AN$3)-MC($AC70,0,$V$128,$AE$2,AN$3)</f>
        <v>-2.1398716835307807E-2</v>
      </c>
      <c r="AP70" s="10">
        <v>67</v>
      </c>
      <c r="AQ70">
        <f t="shared" si="22"/>
        <v>-0.22000653738316145</v>
      </c>
      <c r="AR70">
        <f t="shared" si="21"/>
        <v>-0.23017011595306158</v>
      </c>
      <c r="AS70">
        <f t="shared" si="21"/>
        <v>-0.24121146356519352</v>
      </c>
      <c r="AT70">
        <f t="shared" si="21"/>
        <v>-0.25335201699266729</v>
      </c>
      <c r="AU70">
        <f t="shared" si="21"/>
        <v>-0.26691111318385752</v>
      </c>
      <c r="AV70">
        <f t="shared" si="21"/>
        <v>-0.28237533369478263</v>
      </c>
      <c r="AW70">
        <f t="shared" si="21"/>
        <v>-0.30054380247855594</v>
      </c>
      <c r="AX70">
        <f t="shared" si="21"/>
        <v>-0.32287962528132752</v>
      </c>
      <c r="AY70">
        <f t="shared" si="21"/>
        <v>-0.35257121026615612</v>
      </c>
      <c r="AZ70">
        <f t="shared" si="21"/>
        <v>-0.39936882313347088</v>
      </c>
      <c r="BA70">
        <f t="shared" si="21"/>
        <v>-0.4421978024138673</v>
      </c>
    </row>
    <row r="71" spans="1:53">
      <c r="A71" s="3" t="s">
        <v>85</v>
      </c>
      <c r="B71" s="1">
        <v>100.099998</v>
      </c>
      <c r="C71" s="1">
        <v>100.470001</v>
      </c>
      <c r="D71" s="1">
        <v>92.129997000000003</v>
      </c>
      <c r="E71" s="1">
        <v>94.160004000000001</v>
      </c>
      <c r="F71" s="1">
        <v>94.160004000000001</v>
      </c>
      <c r="G71" s="1">
        <v>40482900</v>
      </c>
      <c r="H71" s="4">
        <v>44980</v>
      </c>
      <c r="I71" s="2">
        <v>64.964995999999999</v>
      </c>
      <c r="J71" s="2">
        <v>65.129997000000003</v>
      </c>
      <c r="K71" s="2">
        <v>61.900002000000001</v>
      </c>
      <c r="L71" s="2">
        <v>62.380001</v>
      </c>
      <c r="M71" s="2">
        <v>62.380001</v>
      </c>
      <c r="N71" s="2">
        <v>5143700</v>
      </c>
      <c r="O71">
        <f t="shared" si="23"/>
        <v>0.39849239176911994</v>
      </c>
      <c r="P71">
        <f t="shared" si="24"/>
        <v>0.60150760823088001</v>
      </c>
      <c r="Q71">
        <f t="shared" si="25"/>
        <v>199.24619588455997</v>
      </c>
      <c r="R71">
        <f t="shared" si="26"/>
        <v>300.75380411544</v>
      </c>
      <c r="S71">
        <f t="shared" si="27"/>
        <v>500</v>
      </c>
      <c r="T71" s="10">
        <f t="shared" si="28"/>
        <v>-6.5414117592468317E-3</v>
      </c>
      <c r="U71" s="11">
        <f t="shared" si="29"/>
        <v>-1.4533933878893105E-2</v>
      </c>
      <c r="V71">
        <f t="shared" si="31"/>
        <v>-1.1348974623167665E-2</v>
      </c>
      <c r="W71">
        <v>55</v>
      </c>
      <c r="X71">
        <f t="shared" si="30"/>
        <v>1.99610415367402E-3</v>
      </c>
      <c r="Y71">
        <f t="shared" si="32"/>
        <v>2.0350816558610194E-6</v>
      </c>
      <c r="Z71">
        <f t="shared" si="33"/>
        <v>1.5271959315261079E-5</v>
      </c>
      <c r="AA71">
        <f t="shared" si="34"/>
        <v>6.6640229103032864E-6</v>
      </c>
      <c r="AC71" s="10">
        <v>68</v>
      </c>
      <c r="AD71">
        <f>MC($AC71,0,$T$128,$AE$2,AD$3)+MC($AC71,0,$U$128,$AE$2,AD$3)-MC($AC71,0,$V$128,$AE$2,AD$3)</f>
        <v>-1.4620899029685219E-2</v>
      </c>
      <c r="AE71">
        <f>MC($AC71,0,$T$128,$AE$2,AE$3)+MC($AC71,0,$U$128,$AE$2,AE$3)-MC($AC71,0,$V$128,$AE$2,AE$3)</f>
        <v>-1.4228506095951055E-2</v>
      </c>
      <c r="AF71">
        <f>MC($AC71,0,$T$128,$AE$2,AF$3)+MC($AC71,0,$U$128,$AE$2,AF$3)-MC($AC71,0,$V$128,$AE$2,AF$3)</f>
        <v>-1.5416576674503579E-2</v>
      </c>
      <c r="AG71">
        <f>MC($AC71,0,$T$128,$AE$2,AG$3)+MC($AC71,0,$U$128,$AE$2,AG$3)-MC($AC71,0,$V$128,$AE$2,AG$3)</f>
        <v>-1.2425570423046928E-2</v>
      </c>
      <c r="AH71">
        <f>MC($AC71,0,$T$128,$AE$2,AH$3)+MC($AC71,0,$U$128,$AE$2,AH$3)-MC($AC71,0,$V$128,$AE$2,AH$3)</f>
        <v>-1.787499744488974E-2</v>
      </c>
      <c r="AI71">
        <f>MC($AC71,0,$T$128,$AE$2,AI$3)+MC($AC71,0,$U$128,$AE$2,AI$3)-MC($AC71,0,$V$128,$AE$2,AI$3)</f>
        <v>-2.1742857505137492E-2</v>
      </c>
      <c r="AJ71">
        <f>MC($AC71,0,$T$128,$AE$2,AJ$3)+MC($AC71,0,$U$128,$AE$2,AJ$3)-MC($AC71,0,$V$128,$AE$2,AJ$3)</f>
        <v>-1.9537851067506606E-2</v>
      </c>
      <c r="AK71">
        <f>MC($AC71,0,$T$128,$AE$2,AK$3)+MC($AC71,0,$U$128,$AE$2,AK$3)-MC($AC71,0,$V$128,$AE$2,AK$3)</f>
        <v>-2.2926363620218604E-2</v>
      </c>
      <c r="AL71">
        <f>MC($AC71,0,$T$128,$AE$2,AL$3)+MC($AC71,0,$U$128,$AE$2,AL$3)-MC($AC71,0,$V$128,$AE$2,AL$3)</f>
        <v>-2.1268258910728033E-2</v>
      </c>
      <c r="AM71">
        <f>MC($AC71,0,$T$128,$AE$2,AM$3)+MC($AC71,0,$U$128,$AE$2,AM$3)-MC($AC71,0,$V$128,$AE$2,AM$3)</f>
        <v>-2.2549016873995464E-2</v>
      </c>
      <c r="AN71">
        <f>MC($AC71,0,$T$128,$AE$2,AN$3)+MC($AC71,0,$U$128,$AE$2,AN$3)-MC($AC71,0,$V$128,$AE$2,AN$3)</f>
        <v>-2.5024111302429208E-2</v>
      </c>
      <c r="AP71" s="10">
        <v>68</v>
      </c>
      <c r="AQ71">
        <f t="shared" si="22"/>
        <v>-0.22164229624269882</v>
      </c>
      <c r="AR71">
        <f t="shared" si="21"/>
        <v>-0.23188144149297174</v>
      </c>
      <c r="AS71">
        <f t="shared" si="21"/>
        <v>-0.24300488203921644</v>
      </c>
      <c r="AT71">
        <f t="shared" si="21"/>
        <v>-0.25523570104727189</v>
      </c>
      <c r="AU71">
        <f t="shared" si="21"/>
        <v>-0.26889560975060789</v>
      </c>
      <c r="AV71">
        <f t="shared" si="21"/>
        <v>-0.28447480746178999</v>
      </c>
      <c r="AW71">
        <f t="shared" si="21"/>
        <v>-0.302778359657769</v>
      </c>
      <c r="AX71">
        <f t="shared" si="21"/>
        <v>-0.32528025034411012</v>
      </c>
      <c r="AY71">
        <f t="shared" si="21"/>
        <v>-0.35519259364717037</v>
      </c>
      <c r="AZ71">
        <f t="shared" si="21"/>
        <v>-0.40233814894730302</v>
      </c>
      <c r="BA71">
        <f t="shared" si="21"/>
        <v>-0.44548556368482783</v>
      </c>
    </row>
    <row r="72" spans="1:53">
      <c r="A72" s="3" t="s">
        <v>86</v>
      </c>
      <c r="B72" s="1">
        <v>90.07</v>
      </c>
      <c r="C72" s="1">
        <v>91.68</v>
      </c>
      <c r="D72" s="1">
        <v>88.029999000000004</v>
      </c>
      <c r="E72" s="1">
        <v>89</v>
      </c>
      <c r="F72" s="1">
        <v>89</v>
      </c>
      <c r="G72" s="1">
        <v>36174500</v>
      </c>
      <c r="H72" s="4">
        <v>44981</v>
      </c>
      <c r="I72" s="2">
        <v>60.200001</v>
      </c>
      <c r="J72" s="2">
        <v>60.540000999999997</v>
      </c>
      <c r="K72" s="2">
        <v>57.950001</v>
      </c>
      <c r="L72" s="2">
        <v>60.009998000000003</v>
      </c>
      <c r="M72" s="2">
        <v>60.009998000000003</v>
      </c>
      <c r="N72" s="2">
        <v>4608600</v>
      </c>
      <c r="O72">
        <f t="shared" si="23"/>
        <v>0.4027246413358116</v>
      </c>
      <c r="P72">
        <f t="shared" si="24"/>
        <v>0.59727535866418846</v>
      </c>
      <c r="Q72">
        <f t="shared" si="25"/>
        <v>201.36232066790581</v>
      </c>
      <c r="R72">
        <f t="shared" si="26"/>
        <v>298.63767933209425</v>
      </c>
      <c r="S72">
        <f t="shared" si="27"/>
        <v>500.00000000000006</v>
      </c>
      <c r="T72" s="10">
        <f t="shared" si="28"/>
        <v>-5.4800379999983863E-2</v>
      </c>
      <c r="U72" s="11">
        <f t="shared" si="29"/>
        <v>-3.7992993940477768E-2</v>
      </c>
      <c r="V72">
        <f t="shared" si="31"/>
        <v>-4.4761742463084883E-2</v>
      </c>
      <c r="W72">
        <v>54</v>
      </c>
      <c r="X72">
        <f t="shared" si="30"/>
        <v>2.1235150571000212E-3</v>
      </c>
      <c r="Y72">
        <f t="shared" si="32"/>
        <v>1.3392650353707572E-5</v>
      </c>
      <c r="Z72">
        <f t="shared" si="33"/>
        <v>2.5093787308086298E-5</v>
      </c>
      <c r="AA72">
        <f t="shared" si="34"/>
        <v>1.7115788135251009E-5</v>
      </c>
      <c r="AC72" s="10">
        <v>69</v>
      </c>
      <c r="AD72">
        <f>MC($AC72,0,$T$128,$AE$2,AD$3)+MC($AC72,0,$U$128,$AE$2,AD$3)-MC($AC72,0,$V$128,$AE$2,AD$3)</f>
        <v>-1.3225158757901756E-2</v>
      </c>
      <c r="AE72">
        <f>MC($AC72,0,$T$128,$AE$2,AE$3)+MC($AC72,0,$U$128,$AE$2,AE$3)-MC($AC72,0,$V$128,$AE$2,AE$3)</f>
        <v>-1.4030101236270687E-2</v>
      </c>
      <c r="AF72">
        <f>MC($AC72,0,$T$128,$AE$2,AF$3)+MC($AC72,0,$U$128,$AE$2,AF$3)-MC($AC72,0,$V$128,$AE$2,AF$3)</f>
        <v>-1.2388307572795076E-2</v>
      </c>
      <c r="AG72">
        <f>MC($AC72,0,$T$128,$AE$2,AG$3)+MC($AC72,0,$U$128,$AE$2,AG$3)-MC($AC72,0,$V$128,$AE$2,AG$3)</f>
        <v>-1.731580933233956E-2</v>
      </c>
      <c r="AH72">
        <f>MC($AC72,0,$T$128,$AE$2,AH$3)+MC($AC72,0,$U$128,$AE$2,AH$3)-MC($AC72,0,$V$128,$AE$2,AH$3)</f>
        <v>-1.8729870430662432E-2</v>
      </c>
      <c r="AI72">
        <f>MC($AC72,0,$T$128,$AE$2,AI$3)+MC($AC72,0,$U$128,$AE$2,AI$3)-MC($AC72,0,$V$128,$AE$2,AI$3)</f>
        <v>-1.9389644042168586E-2</v>
      </c>
      <c r="AJ72">
        <f>MC($AC72,0,$T$128,$AE$2,AJ$3)+MC($AC72,0,$U$128,$AE$2,AJ$3)-MC($AC72,0,$V$128,$AE$2,AJ$3)</f>
        <v>-1.5918902358737608E-2</v>
      </c>
      <c r="AK72">
        <f>MC($AC72,0,$T$128,$AE$2,AK$3)+MC($AC72,0,$U$128,$AE$2,AK$3)-MC($AC72,0,$V$128,$AE$2,AK$3)</f>
        <v>-2.1396826204988617E-2</v>
      </c>
      <c r="AL72">
        <f>MC($AC72,0,$T$128,$AE$2,AL$3)+MC($AC72,0,$U$128,$AE$2,AL$3)-MC($AC72,0,$V$128,$AE$2,AL$3)</f>
        <v>-2.5683961092239915E-2</v>
      </c>
      <c r="AM72">
        <f>MC($AC72,0,$T$128,$AE$2,AM$3)+MC($AC72,0,$U$128,$AE$2,AM$3)-MC($AC72,0,$V$128,$AE$2,AM$3)</f>
        <v>-2.2733224801432028E-2</v>
      </c>
      <c r="AN72">
        <f>MC($AC72,0,$T$128,$AE$2,AN$3)+MC($AC72,0,$U$128,$AE$2,AN$3)-MC($AC72,0,$V$128,$AE$2,AN$3)</f>
        <v>-3.3806643585428064E-2</v>
      </c>
      <c r="AP72" s="10">
        <v>69</v>
      </c>
      <c r="AQ72">
        <f t="shared" si="22"/>
        <v>-0.22326607103665397</v>
      </c>
      <c r="AR72">
        <f t="shared" si="21"/>
        <v>-0.23358022934287725</v>
      </c>
      <c r="AS72">
        <f t="shared" si="21"/>
        <v>-0.24478516138549811</v>
      </c>
      <c r="AT72">
        <f t="shared" si="21"/>
        <v>-0.25710558466111144</v>
      </c>
      <c r="AU72">
        <f t="shared" si="21"/>
        <v>-0.27086556729354938</v>
      </c>
      <c r="AV72">
        <f t="shared" si="21"/>
        <v>-0.28655889984714333</v>
      </c>
      <c r="AW72">
        <f t="shared" si="21"/>
        <v>-0.30499654579327529</v>
      </c>
      <c r="AX72">
        <f t="shared" si="21"/>
        <v>-0.32766328769949749</v>
      </c>
      <c r="AY72">
        <f t="shared" si="21"/>
        <v>-0.35779477197838683</v>
      </c>
      <c r="AZ72">
        <f t="shared" si="21"/>
        <v>-0.40528572057953249</v>
      </c>
      <c r="BA72">
        <f t="shared" si="21"/>
        <v>-0.44874923781943532</v>
      </c>
    </row>
    <row r="73" spans="1:53">
      <c r="A73" s="3" t="s">
        <v>87</v>
      </c>
      <c r="B73" s="1">
        <v>90.849997999999999</v>
      </c>
      <c r="C73" s="1">
        <v>91.239998</v>
      </c>
      <c r="D73" s="1">
        <v>88.894997000000004</v>
      </c>
      <c r="E73" s="1">
        <v>89.25</v>
      </c>
      <c r="F73" s="1">
        <v>89.25</v>
      </c>
      <c r="G73" s="1">
        <v>25840000</v>
      </c>
      <c r="H73" s="4">
        <v>44984</v>
      </c>
      <c r="I73" s="2">
        <v>60.700001</v>
      </c>
      <c r="J73" s="2">
        <v>61.080002</v>
      </c>
      <c r="K73" s="2">
        <v>59.84</v>
      </c>
      <c r="L73" s="2">
        <v>59.98</v>
      </c>
      <c r="M73" s="2">
        <v>59.98</v>
      </c>
      <c r="N73" s="2">
        <v>3185800</v>
      </c>
      <c r="O73">
        <f t="shared" si="23"/>
        <v>0.40192990685518998</v>
      </c>
      <c r="P73">
        <f t="shared" si="24"/>
        <v>0.59807009314481008</v>
      </c>
      <c r="Q73">
        <f t="shared" si="25"/>
        <v>200.96495342759499</v>
      </c>
      <c r="R73">
        <f t="shared" si="26"/>
        <v>299.03504657240507</v>
      </c>
      <c r="S73">
        <f t="shared" si="27"/>
        <v>500.00000000000006</v>
      </c>
      <c r="T73" s="10">
        <f t="shared" si="28"/>
        <v>2.8089887640449437E-3</v>
      </c>
      <c r="U73" s="11">
        <f t="shared" si="29"/>
        <v>-4.9988336943464294E-4</v>
      </c>
      <c r="V73">
        <f t="shared" si="31"/>
        <v>8.3005129897054087E-4</v>
      </c>
      <c r="W73">
        <v>53</v>
      </c>
      <c r="X73">
        <f t="shared" si="30"/>
        <v>2.2590585713830012E-3</v>
      </c>
      <c r="Y73">
        <f t="shared" si="32"/>
        <v>1.0015948991327583E-6</v>
      </c>
      <c r="Z73">
        <f t="shared" si="33"/>
        <v>1.0773826390355198E-5</v>
      </c>
      <c r="AA73">
        <f t="shared" si="34"/>
        <v>4.1411350907965524E-6</v>
      </c>
      <c r="AC73" s="10">
        <v>70</v>
      </c>
      <c r="AD73">
        <f>MC($AC73,0,$T$128,$AE$2,AD$3)+MC($AC73,0,$U$128,$AE$2,AD$3)-MC($AC73,0,$V$128,$AE$2,AD$3)</f>
        <v>-1.493103979544097E-2</v>
      </c>
      <c r="AE73">
        <f>MC($AC73,0,$T$128,$AE$2,AE$3)+MC($AC73,0,$U$128,$AE$2,AE$3)-MC($AC73,0,$V$128,$AE$2,AE$3)</f>
        <v>-1.4956079383823928E-2</v>
      </c>
      <c r="AF73">
        <f>MC($AC73,0,$T$128,$AE$2,AF$3)+MC($AC73,0,$U$128,$AE$2,AF$3)-MC($AC73,0,$V$128,$AE$2,AF$3)</f>
        <v>-1.4313275151265126E-2</v>
      </c>
      <c r="AG73">
        <f>MC($AC73,0,$T$128,$AE$2,AG$3)+MC($AC73,0,$U$128,$AE$2,AG$3)-MC($AC73,0,$V$128,$AE$2,AG$3)</f>
        <v>-1.7908993921338379E-2</v>
      </c>
      <c r="AH73">
        <f>MC($AC73,0,$T$128,$AE$2,AH$3)+MC($AC73,0,$U$128,$AE$2,AH$3)-MC($AC73,0,$V$128,$AE$2,AH$3)</f>
        <v>-1.9339081139920999E-2</v>
      </c>
      <c r="AI73">
        <f>MC($AC73,0,$T$128,$AE$2,AI$3)+MC($AC73,0,$U$128,$AE$2,AI$3)-MC($AC73,0,$V$128,$AE$2,AI$3)</f>
        <v>-1.858454830354006E-2</v>
      </c>
      <c r="AJ73">
        <f>MC($AC73,0,$T$128,$AE$2,AJ$3)+MC($AC73,0,$U$128,$AE$2,AJ$3)-MC($AC73,0,$V$128,$AE$2,AJ$3)</f>
        <v>-2.0174861520165344E-2</v>
      </c>
      <c r="AK73">
        <f>MC($AC73,0,$T$128,$AE$2,AK$3)+MC($AC73,0,$U$128,$AE$2,AK$3)-MC($AC73,0,$V$128,$AE$2,AK$3)</f>
        <v>-1.7581476751162839E-2</v>
      </c>
      <c r="AL73">
        <f>MC($AC73,0,$T$128,$AE$2,AL$3)+MC($AC73,0,$U$128,$AE$2,AL$3)-MC($AC73,0,$V$128,$AE$2,AL$3)</f>
        <v>-1.8063397419793459E-2</v>
      </c>
      <c r="AM73">
        <f>MC($AC73,0,$T$128,$AE$2,AM$3)+MC($AC73,0,$U$128,$AE$2,AM$3)-MC($AC73,0,$V$128,$AE$2,AM$3)</f>
        <v>-3.0314739200140606E-2</v>
      </c>
      <c r="AN73">
        <f>MC($AC73,0,$T$128,$AE$2,AN$3)+MC($AC73,0,$U$128,$AE$2,AN$3)-MC($AC73,0,$V$128,$AE$2,AN$3)</f>
        <v>-2.9332465145804232E-2</v>
      </c>
      <c r="AP73" s="10">
        <v>70</v>
      </c>
      <c r="AQ73">
        <f t="shared" si="22"/>
        <v>-0.22487812136477869</v>
      </c>
      <c r="AR73">
        <f t="shared" si="21"/>
        <v>-0.23526675109518513</v>
      </c>
      <c r="AS73">
        <f t="shared" si="21"/>
        <v>-0.24655258622483578</v>
      </c>
      <c r="AT73">
        <f t="shared" si="21"/>
        <v>-0.25896196678039729</v>
      </c>
      <c r="AU73">
        <f t="shared" si="21"/>
        <v>-0.27282130075813638</v>
      </c>
      <c r="AV73">
        <f t="shared" si="21"/>
        <v>-0.28862794404351755</v>
      </c>
      <c r="AW73">
        <f t="shared" si="21"/>
        <v>-0.30719871551588518</v>
      </c>
      <c r="AX73">
        <f t="shared" si="21"/>
        <v>-0.33002911833376192</v>
      </c>
      <c r="AY73">
        <f t="shared" si="21"/>
        <v>-0.36037816128107369</v>
      </c>
      <c r="AZ73">
        <f t="shared" si="21"/>
        <v>-0.40821200927091705</v>
      </c>
      <c r="BA73">
        <f t="shared" si="21"/>
        <v>-0.45198934659509327</v>
      </c>
    </row>
    <row r="74" spans="1:53">
      <c r="A74" s="3" t="s">
        <v>88</v>
      </c>
      <c r="B74" s="1">
        <v>88.459998999999996</v>
      </c>
      <c r="C74" s="1">
        <v>89.339995999999999</v>
      </c>
      <c r="D74" s="1">
        <v>87.269997000000004</v>
      </c>
      <c r="E74" s="1">
        <v>87.790001000000004</v>
      </c>
      <c r="F74" s="1">
        <v>87.790001000000004</v>
      </c>
      <c r="G74" s="1">
        <v>24597200</v>
      </c>
      <c r="H74" s="4">
        <v>44985</v>
      </c>
      <c r="I74" s="2">
        <v>60.189999</v>
      </c>
      <c r="J74" s="2">
        <v>63.310001</v>
      </c>
      <c r="K74" s="2">
        <v>59.900002000000001</v>
      </c>
      <c r="L74" s="2">
        <v>62.490001999999997</v>
      </c>
      <c r="M74" s="2">
        <v>62.490001999999997</v>
      </c>
      <c r="N74" s="2">
        <v>3407100</v>
      </c>
      <c r="O74">
        <f t="shared" si="23"/>
        <v>0.41582380058909102</v>
      </c>
      <c r="P74">
        <f t="shared" si="24"/>
        <v>0.58417619941090904</v>
      </c>
      <c r="Q74">
        <f t="shared" si="25"/>
        <v>207.91190029454552</v>
      </c>
      <c r="R74">
        <f t="shared" si="26"/>
        <v>292.08809970545451</v>
      </c>
      <c r="S74">
        <f t="shared" si="27"/>
        <v>500</v>
      </c>
      <c r="T74" s="10">
        <f t="shared" si="28"/>
        <v>-1.6358532212885111E-2</v>
      </c>
      <c r="U74" s="11">
        <f t="shared" si="29"/>
        <v>4.1847315771923979E-2</v>
      </c>
      <c r="V74">
        <f t="shared" si="31"/>
        <v>1.7643938846369781E-2</v>
      </c>
      <c r="W74">
        <v>52</v>
      </c>
      <c r="X74">
        <f t="shared" si="30"/>
        <v>2.4032537993436188E-3</v>
      </c>
      <c r="Y74">
        <f t="shared" si="32"/>
        <v>3.7490691739809181E-6</v>
      </c>
      <c r="Z74">
        <f t="shared" si="33"/>
        <v>1.457116623262698E-6</v>
      </c>
      <c r="AA74">
        <f t="shared" si="34"/>
        <v>1.4628205716253413E-6</v>
      </c>
      <c r="AC74" s="10">
        <v>71</v>
      </c>
      <c r="AD74">
        <f>MC($AC74,0,$T$128,$AE$2,AD$3)+MC($AC74,0,$U$128,$AE$2,AD$3)-MC($AC74,0,$V$128,$AE$2,AD$3)</f>
        <v>-1.4519234152084781E-2</v>
      </c>
      <c r="AE74">
        <f>MC($AC74,0,$T$128,$AE$2,AE$3)+MC($AC74,0,$U$128,$AE$2,AE$3)-MC($AC74,0,$V$128,$AE$2,AE$3)</f>
        <v>-1.5208160931637016E-2</v>
      </c>
      <c r="AF74">
        <f>MC($AC74,0,$T$128,$AE$2,AF$3)+MC($AC74,0,$U$128,$AE$2,AF$3)-MC($AC74,0,$V$128,$AE$2,AF$3)</f>
        <v>-1.6081141344750804E-2</v>
      </c>
      <c r="AG74">
        <f>MC($AC74,0,$T$128,$AE$2,AG$3)+MC($AC74,0,$U$128,$AE$2,AG$3)-MC($AC74,0,$V$128,$AE$2,AG$3)</f>
        <v>-1.3314517356482147E-2</v>
      </c>
      <c r="AH74">
        <f>MC($AC74,0,$T$128,$AE$2,AH$3)+MC($AC74,0,$U$128,$AE$2,AH$3)-MC($AC74,0,$V$128,$AE$2,AH$3)</f>
        <v>-1.3906626234459152E-2</v>
      </c>
      <c r="AI74">
        <f>MC($AC74,0,$T$128,$AE$2,AI$3)+MC($AC74,0,$U$128,$AE$2,AI$3)-MC($AC74,0,$V$128,$AE$2,AI$3)</f>
        <v>-1.6342747760236032E-2</v>
      </c>
      <c r="AJ74">
        <f>MC($AC74,0,$T$128,$AE$2,AJ$3)+MC($AC74,0,$U$128,$AE$2,AJ$3)-MC($AC74,0,$V$128,$AE$2,AJ$3)</f>
        <v>-1.7856285511435033E-2</v>
      </c>
      <c r="AK74">
        <f>MC($AC74,0,$T$128,$AE$2,AK$3)+MC($AC74,0,$U$128,$AE$2,AK$3)-MC($AC74,0,$V$128,$AE$2,AK$3)</f>
        <v>-1.9819770160308003E-2</v>
      </c>
      <c r="AL74">
        <f>MC($AC74,0,$T$128,$AE$2,AL$3)+MC($AC74,0,$U$128,$AE$2,AL$3)-MC($AC74,0,$V$128,$AE$2,AL$3)</f>
        <v>-2.5395498784116288E-2</v>
      </c>
      <c r="AM74">
        <f>MC($AC74,0,$T$128,$AE$2,AM$3)+MC($AC74,0,$U$128,$AE$2,AM$3)-MC($AC74,0,$V$128,$AE$2,AM$3)</f>
        <v>-2.9048675906016674E-2</v>
      </c>
      <c r="AN74">
        <f>MC($AC74,0,$T$128,$AE$2,AN$3)+MC($AC74,0,$U$128,$AE$2,AN$3)-MC($AC74,0,$V$128,$AE$2,AN$3)</f>
        <v>-3.2120394753514692E-2</v>
      </c>
      <c r="AP74" s="10">
        <v>71</v>
      </c>
      <c r="AQ74">
        <f t="shared" si="22"/>
        <v>-0.22647869758756545</v>
      </c>
      <c r="AR74">
        <f t="shared" si="21"/>
        <v>-0.23694126867621923</v>
      </c>
      <c r="AS74">
        <f t="shared" si="21"/>
        <v>-0.24830743104825892</v>
      </c>
      <c r="AT74">
        <f t="shared" si="21"/>
        <v>-0.2608051357117247</v>
      </c>
      <c r="AU74">
        <f t="shared" si="21"/>
        <v>-0.27476311388078767</v>
      </c>
      <c r="AV74">
        <f t="shared" si="21"/>
        <v>-0.29068226138512587</v>
      </c>
      <c r="AW74">
        <f t="shared" si="21"/>
        <v>-0.30938521083495529</v>
      </c>
      <c r="AX74">
        <f t="shared" si="21"/>
        <v>-0.33237810967372194</v>
      </c>
      <c r="AY74">
        <f t="shared" si="21"/>
        <v>-0.36294316277013594</v>
      </c>
      <c r="AZ74">
        <f t="shared" si="21"/>
        <v>-0.41111746949056771</v>
      </c>
      <c r="BA74">
        <f t="shared" si="21"/>
        <v>-0.45520639321893808</v>
      </c>
    </row>
    <row r="75" spans="1:53">
      <c r="A75" s="3" t="s">
        <v>89</v>
      </c>
      <c r="B75" s="1">
        <v>92.919998000000007</v>
      </c>
      <c r="C75" s="1">
        <v>92.919998000000007</v>
      </c>
      <c r="D75" s="1">
        <v>89.730002999999996</v>
      </c>
      <c r="E75" s="1">
        <v>89.949996999999996</v>
      </c>
      <c r="F75" s="1">
        <v>89.949996999999996</v>
      </c>
      <c r="G75" s="1">
        <v>35434900</v>
      </c>
      <c r="H75" s="4">
        <v>44986</v>
      </c>
      <c r="I75" s="2">
        <v>64.010002</v>
      </c>
      <c r="J75" s="2">
        <v>64.290001000000004</v>
      </c>
      <c r="K75" s="2">
        <v>61.970001000000003</v>
      </c>
      <c r="L75" s="2">
        <v>62.07</v>
      </c>
      <c r="M75" s="2">
        <v>62.07</v>
      </c>
      <c r="N75" s="2">
        <v>4008800</v>
      </c>
      <c r="O75">
        <f t="shared" si="23"/>
        <v>0.40830154732867152</v>
      </c>
      <c r="P75">
        <f t="shared" si="24"/>
        <v>0.59169845267132848</v>
      </c>
      <c r="Q75">
        <f t="shared" si="25"/>
        <v>204.15077366433576</v>
      </c>
      <c r="R75">
        <f t="shared" si="26"/>
        <v>295.84922633566424</v>
      </c>
      <c r="S75">
        <f t="shared" si="27"/>
        <v>500</v>
      </c>
      <c r="T75" s="10">
        <f t="shared" si="28"/>
        <v>2.4604123196216757E-2</v>
      </c>
      <c r="U75" s="11">
        <f t="shared" si="29"/>
        <v>-6.7211071620704487E-3</v>
      </c>
      <c r="V75">
        <f t="shared" si="31"/>
        <v>6.0690328636452935E-3</v>
      </c>
      <c r="W75">
        <v>51</v>
      </c>
      <c r="X75">
        <f t="shared" si="30"/>
        <v>2.5566529780251257E-3</v>
      </c>
      <c r="Y75">
        <f t="shared" si="32"/>
        <v>1.2047241176460636E-8</v>
      </c>
      <c r="Z75">
        <f t="shared" si="33"/>
        <v>1.2948721798898429E-5</v>
      </c>
      <c r="AA75">
        <f t="shared" si="34"/>
        <v>3.1242655539776871E-6</v>
      </c>
      <c r="AC75" s="10">
        <v>72</v>
      </c>
      <c r="AD75">
        <f>MC($AC75,0,$T$128,$AE$2,AD$3)+MC($AC75,0,$U$128,$AE$2,AD$3)-MC($AC75,0,$V$128,$AE$2,AD$3)</f>
        <v>-1.5359251768453985E-2</v>
      </c>
      <c r="AE75">
        <f>MC($AC75,0,$T$128,$AE$2,AE$3)+MC($AC75,0,$U$128,$AE$2,AE$3)-MC($AC75,0,$V$128,$AE$2,AE$3)</f>
        <v>-1.5623902650024224E-2</v>
      </c>
      <c r="AF75">
        <f>MC($AC75,0,$T$128,$AE$2,AF$3)+MC($AC75,0,$U$128,$AE$2,AF$3)-MC($AC75,0,$V$128,$AE$2,AF$3)</f>
        <v>-1.7454691363256059E-2</v>
      </c>
      <c r="AG75">
        <f>MC($AC75,0,$T$128,$AE$2,AG$3)+MC($AC75,0,$U$128,$AE$2,AG$3)-MC($AC75,0,$V$128,$AE$2,AG$3)</f>
        <v>-1.7192124946554088E-2</v>
      </c>
      <c r="AH75">
        <f>MC($AC75,0,$T$128,$AE$2,AH$3)+MC($AC75,0,$U$128,$AE$2,AH$3)-MC($AC75,0,$V$128,$AE$2,AH$3)</f>
        <v>-1.6672157337223936E-2</v>
      </c>
      <c r="AI75">
        <f>MC($AC75,0,$T$128,$AE$2,AI$3)+MC($AC75,0,$U$128,$AE$2,AI$3)-MC($AC75,0,$V$128,$AE$2,AI$3)</f>
        <v>-1.954649106108608E-2</v>
      </c>
      <c r="AJ75">
        <f>MC($AC75,0,$T$128,$AE$2,AJ$3)+MC($AC75,0,$U$128,$AE$2,AJ$3)-MC($AC75,0,$V$128,$AE$2,AJ$3)</f>
        <v>-1.9891368474701521E-2</v>
      </c>
      <c r="AK75">
        <f>MC($AC75,0,$T$128,$AE$2,AK$3)+MC($AC75,0,$U$128,$AE$2,AK$3)-MC($AC75,0,$V$128,$AE$2,AK$3)</f>
        <v>-2.4786696162811594E-2</v>
      </c>
      <c r="AL75">
        <f>MC($AC75,0,$T$128,$AE$2,AL$3)+MC($AC75,0,$U$128,$AE$2,AL$3)-MC($AC75,0,$V$128,$AE$2,AL$3)</f>
        <v>-2.442560461251464E-2</v>
      </c>
      <c r="AM75">
        <f>MC($AC75,0,$T$128,$AE$2,AM$3)+MC($AC75,0,$U$128,$AE$2,AM$3)-MC($AC75,0,$V$128,$AE$2,AM$3)</f>
        <v>-3.4395669969578435E-2</v>
      </c>
      <c r="AN75">
        <f>MC($AC75,0,$T$128,$AE$2,AN$3)+MC($AC75,0,$U$128,$AE$2,AN$3)-MC($AC75,0,$V$128,$AE$2,AN$3)</f>
        <v>-3.6991625405162099E-2</v>
      </c>
      <c r="AP75" s="10">
        <v>72</v>
      </c>
      <c r="AQ75">
        <f t="shared" si="22"/>
        <v>-0.22806804128015801</v>
      </c>
      <c r="AR75">
        <f t="shared" si="21"/>
        <v>-0.2386040348211006</v>
      </c>
      <c r="AS75">
        <f t="shared" si="21"/>
        <v>-0.25004996071468721</v>
      </c>
      <c r="AT75">
        <f t="shared" si="21"/>
        <v>-0.26263536964478096</v>
      </c>
      <c r="AU75">
        <f t="shared" si="21"/>
        <v>-0.27669129973956874</v>
      </c>
      <c r="AV75">
        <f t="shared" si="21"/>
        <v>-0.29272216193030776</v>
      </c>
      <c r="AW75">
        <f t="shared" si="21"/>
        <v>-0.31155636175846257</v>
      </c>
      <c r="AX75">
        <f t="shared" si="21"/>
        <v>-0.33471061625289578</v>
      </c>
      <c r="AY75">
        <f t="shared" si="21"/>
        <v>-0.36549016358152686</v>
      </c>
      <c r="AZ75">
        <f t="shared" si="21"/>
        <v>-0.41400253975991075</v>
      </c>
      <c r="BA75">
        <f t="shared" si="21"/>
        <v>-0.45840086324016593</v>
      </c>
    </row>
    <row r="76" spans="1:53">
      <c r="A76" s="3" t="s">
        <v>90</v>
      </c>
      <c r="B76" s="1">
        <v>88.959998999999996</v>
      </c>
      <c r="C76" s="1">
        <v>90.918998999999999</v>
      </c>
      <c r="D76" s="1">
        <v>87.970000999999996</v>
      </c>
      <c r="E76" s="1">
        <v>89.75</v>
      </c>
      <c r="F76" s="1">
        <v>89.75</v>
      </c>
      <c r="G76" s="1">
        <v>24829000</v>
      </c>
      <c r="H76" s="4">
        <v>44987</v>
      </c>
      <c r="I76" s="2">
        <v>61.810001</v>
      </c>
      <c r="J76" s="2">
        <v>63.634998000000003</v>
      </c>
      <c r="K76" s="2">
        <v>61.490001999999997</v>
      </c>
      <c r="L76" s="2">
        <v>63.560001</v>
      </c>
      <c r="M76" s="2">
        <v>63.560001</v>
      </c>
      <c r="N76" s="2">
        <v>3101700</v>
      </c>
      <c r="O76">
        <f t="shared" si="23"/>
        <v>0.41458483194452528</v>
      </c>
      <c r="P76">
        <f t="shared" si="24"/>
        <v>0.58541516805547478</v>
      </c>
      <c r="Q76">
        <f t="shared" si="25"/>
        <v>207.29241597226263</v>
      </c>
      <c r="R76">
        <f t="shared" si="26"/>
        <v>292.70758402773737</v>
      </c>
      <c r="S76">
        <f t="shared" si="27"/>
        <v>500</v>
      </c>
      <c r="T76" s="10">
        <f t="shared" si="28"/>
        <v>-2.2234241986689141E-3</v>
      </c>
      <c r="U76" s="11">
        <f t="shared" si="29"/>
        <v>2.4005171580473651E-2</v>
      </c>
      <c r="V76">
        <f t="shared" si="31"/>
        <v>1.3131193607236946E-2</v>
      </c>
      <c r="W76">
        <v>50</v>
      </c>
      <c r="X76">
        <f t="shared" si="30"/>
        <v>2.7198435936437513E-3</v>
      </c>
      <c r="Y76">
        <f t="shared" si="32"/>
        <v>1.5631585745259124E-6</v>
      </c>
      <c r="Z76">
        <f t="shared" si="33"/>
        <v>4.0267282006596681E-6</v>
      </c>
      <c r="AA76">
        <f t="shared" si="34"/>
        <v>1.9310167759433099E-6</v>
      </c>
      <c r="AC76" s="10">
        <v>73</v>
      </c>
      <c r="AD76">
        <f>MC($AC76,0,$T$128,$AE$2,AD$3)+MC($AC76,0,$U$128,$AE$2,AD$3)-MC($AC76,0,$V$128,$AE$2,AD$3)</f>
        <v>-1.2939088681855671E-2</v>
      </c>
      <c r="AE76">
        <f>MC($AC76,0,$T$128,$AE$2,AE$3)+MC($AC76,0,$U$128,$AE$2,AE$3)-MC($AC76,0,$V$128,$AE$2,AE$3)</f>
        <v>-1.6186226100502799E-2</v>
      </c>
      <c r="AF76">
        <f>MC($AC76,0,$T$128,$AE$2,AF$3)+MC($AC76,0,$U$128,$AE$2,AF$3)-MC($AC76,0,$V$128,$AE$2,AF$3)</f>
        <v>-1.7808493532943448E-2</v>
      </c>
      <c r="AG76">
        <f>MC($AC76,0,$T$128,$AE$2,AG$3)+MC($AC76,0,$U$128,$AE$2,AG$3)-MC($AC76,0,$V$128,$AE$2,AG$3)</f>
        <v>-1.4397341494702509E-2</v>
      </c>
      <c r="AH76">
        <f>MC($AC76,0,$T$128,$AE$2,AH$3)+MC($AC76,0,$U$128,$AE$2,AH$3)-MC($AC76,0,$V$128,$AE$2,AH$3)</f>
        <v>-2.0278774447584302E-2</v>
      </c>
      <c r="AI76">
        <f>MC($AC76,0,$T$128,$AE$2,AI$3)+MC($AC76,0,$U$128,$AE$2,AI$3)-MC($AC76,0,$V$128,$AE$2,AI$3)</f>
        <v>-2.1106717917414253E-2</v>
      </c>
      <c r="AJ76">
        <f>MC($AC76,0,$T$128,$AE$2,AJ$3)+MC($AC76,0,$U$128,$AE$2,AJ$3)-MC($AC76,0,$V$128,$AE$2,AJ$3)</f>
        <v>-2.0007363031285363E-2</v>
      </c>
      <c r="AK76">
        <f>MC($AC76,0,$T$128,$AE$2,AK$3)+MC($AC76,0,$U$128,$AE$2,AK$3)-MC($AC76,0,$V$128,$AE$2,AK$3)</f>
        <v>-1.7605556966825642E-2</v>
      </c>
      <c r="AL76">
        <f>MC($AC76,0,$T$128,$AE$2,AL$3)+MC($AC76,0,$U$128,$AE$2,AL$3)-MC($AC76,0,$V$128,$AE$2,AL$3)</f>
        <v>-2.5033752216008454E-2</v>
      </c>
      <c r="AM76">
        <f>MC($AC76,0,$T$128,$AE$2,AM$3)+MC($AC76,0,$U$128,$AE$2,AM$3)-MC($AC76,0,$V$128,$AE$2,AM$3)</f>
        <v>-2.1124686818505323E-2</v>
      </c>
      <c r="AN76">
        <f>MC($AC76,0,$T$128,$AE$2,AN$3)+MC($AC76,0,$U$128,$AE$2,AN$3)-MC($AC76,0,$V$128,$AE$2,AN$3)</f>
        <v>-3.5026114576567791E-2</v>
      </c>
      <c r="AP76" s="10">
        <v>73</v>
      </c>
      <c r="AQ76">
        <f t="shared" si="22"/>
        <v>-0.22964638565798434</v>
      </c>
      <c r="AR76">
        <f t="shared" si="21"/>
        <v>-0.24025529351904307</v>
      </c>
      <c r="AS76">
        <f t="shared" si="21"/>
        <v>-0.25178043091759028</v>
      </c>
      <c r="AT76">
        <f t="shared" si="21"/>
        <v>-0.26445293714249096</v>
      </c>
      <c r="AU76">
        <f t="shared" si="21"/>
        <v>-0.27860614127057026</v>
      </c>
      <c r="AV76">
        <f t="shared" si="21"/>
        <v>-0.29474794500782509</v>
      </c>
      <c r="AW76">
        <f t="shared" si="21"/>
        <v>-0.31371248687444675</v>
      </c>
      <c r="AX76">
        <f t="shared" si="21"/>
        <v>-0.33702698033615919</v>
      </c>
      <c r="AY76">
        <f t="shared" si="21"/>
        <v>-0.36801953745434901</v>
      </c>
      <c r="AZ76">
        <f t="shared" si="21"/>
        <v>-0.41686764342532623</v>
      </c>
      <c r="BA76">
        <f t="shared" si="21"/>
        <v>-0.46157322540553025</v>
      </c>
    </row>
    <row r="77" spans="1:53">
      <c r="A77" s="3" t="s">
        <v>91</v>
      </c>
      <c r="B77" s="1">
        <v>90.110000999999997</v>
      </c>
      <c r="C77" s="1">
        <v>90.459998999999996</v>
      </c>
      <c r="D77" s="1">
        <v>88.400002000000001</v>
      </c>
      <c r="E77" s="1">
        <v>89.699996999999996</v>
      </c>
      <c r="F77" s="1">
        <v>89.699996999999996</v>
      </c>
      <c r="G77" s="1">
        <v>25834300</v>
      </c>
      <c r="H77" s="4">
        <v>44988</v>
      </c>
      <c r="I77" s="2">
        <v>64.410004000000001</v>
      </c>
      <c r="J77" s="2">
        <v>66.029999000000004</v>
      </c>
      <c r="K77" s="2">
        <v>64.269997000000004</v>
      </c>
      <c r="L77" s="2">
        <v>65.669998000000007</v>
      </c>
      <c r="M77" s="2">
        <v>65.669998000000007</v>
      </c>
      <c r="N77" s="2">
        <v>3946700</v>
      </c>
      <c r="O77">
        <f t="shared" si="23"/>
        <v>0.42266846954587339</v>
      </c>
      <c r="P77">
        <f t="shared" si="24"/>
        <v>0.57733153045412655</v>
      </c>
      <c r="Q77">
        <f t="shared" si="25"/>
        <v>211.3342347729367</v>
      </c>
      <c r="R77">
        <f t="shared" si="26"/>
        <v>288.66576522706328</v>
      </c>
      <c r="S77">
        <f t="shared" si="27"/>
        <v>500</v>
      </c>
      <c r="T77" s="10">
        <f t="shared" si="28"/>
        <v>-5.5713649025073862E-4</v>
      </c>
      <c r="U77" s="11">
        <f t="shared" si="29"/>
        <v>3.3196931510432279E-2</v>
      </c>
      <c r="V77">
        <f t="shared" si="31"/>
        <v>1.8930151247636248E-2</v>
      </c>
      <c r="W77">
        <v>49</v>
      </c>
      <c r="X77">
        <f t="shared" si="30"/>
        <v>2.8934506315359061E-3</v>
      </c>
      <c r="Y77">
        <f t="shared" si="32"/>
        <v>1.3555384573568398E-6</v>
      </c>
      <c r="Z77">
        <f t="shared" si="33"/>
        <v>2.1694398891847007E-6</v>
      </c>
      <c r="AA77">
        <f t="shared" si="34"/>
        <v>1.115477781387235E-6</v>
      </c>
      <c r="AC77" s="10">
        <v>74</v>
      </c>
      <c r="AD77">
        <f>MC($AC77,0,$T$128,$AE$2,AD$3)+MC($AC77,0,$U$128,$AE$2,AD$3)-MC($AC77,0,$V$128,$AE$2,AD$3)</f>
        <v>-1.4886953949507786E-2</v>
      </c>
      <c r="AE77">
        <f>MC($AC77,0,$T$128,$AE$2,AE$3)+MC($AC77,0,$U$128,$AE$2,AE$3)-MC($AC77,0,$V$128,$AE$2,AE$3)</f>
        <v>-1.2536510014014679E-2</v>
      </c>
      <c r="AF77">
        <f>MC($AC77,0,$T$128,$AE$2,AF$3)+MC($AC77,0,$U$128,$AE$2,AF$3)-MC($AC77,0,$V$128,$AE$2,AF$3)</f>
        <v>-1.5455074977043681E-2</v>
      </c>
      <c r="AG77">
        <f>MC($AC77,0,$T$128,$AE$2,AG$3)+MC($AC77,0,$U$128,$AE$2,AG$3)-MC($AC77,0,$V$128,$AE$2,AG$3)</f>
        <v>-1.3753858102259819E-2</v>
      </c>
      <c r="AH77">
        <f>MC($AC77,0,$T$128,$AE$2,AH$3)+MC($AC77,0,$U$128,$AE$2,AH$3)-MC($AC77,0,$V$128,$AE$2,AH$3)</f>
        <v>-1.9496389212531273E-2</v>
      </c>
      <c r="AI77">
        <f>MC($AC77,0,$T$128,$AE$2,AI$3)+MC($AC77,0,$U$128,$AE$2,AI$3)-MC($AC77,0,$V$128,$AE$2,AI$3)</f>
        <v>-1.3878156744842496E-2</v>
      </c>
      <c r="AJ77">
        <f>MC($AC77,0,$T$128,$AE$2,AJ$3)+MC($AC77,0,$U$128,$AE$2,AJ$3)-MC($AC77,0,$V$128,$AE$2,AJ$3)</f>
        <v>-2.018649055432542E-2</v>
      </c>
      <c r="AK77">
        <f>MC($AC77,0,$T$128,$AE$2,AK$3)+MC($AC77,0,$U$128,$AE$2,AK$3)-MC($AC77,0,$V$128,$AE$2,AK$3)</f>
        <v>-2.273744882317108E-2</v>
      </c>
      <c r="AL77">
        <f>MC($AC77,0,$T$128,$AE$2,AL$3)+MC($AC77,0,$U$128,$AE$2,AL$3)-MC($AC77,0,$V$128,$AE$2,AL$3)</f>
        <v>-2.265992724211241E-2</v>
      </c>
      <c r="AM77">
        <f>MC($AC77,0,$T$128,$AE$2,AM$3)+MC($AC77,0,$U$128,$AE$2,AM$3)-MC($AC77,0,$V$128,$AE$2,AM$3)</f>
        <v>-2.44173055003718E-2</v>
      </c>
      <c r="AN77">
        <f>MC($AC77,0,$T$128,$AE$2,AN$3)+MC($AC77,0,$U$128,$AE$2,AN$3)-MC($AC77,0,$V$128,$AE$2,AN$3)</f>
        <v>-1.9289162415270233E-2</v>
      </c>
      <c r="AP77" s="10">
        <v>74</v>
      </c>
      <c r="AQ77">
        <f t="shared" si="22"/>
        <v>-0.23121395597624206</v>
      </c>
      <c r="AR77">
        <f t="shared" si="21"/>
        <v>-0.24189528043129371</v>
      </c>
      <c r="AS77">
        <f t="shared" si="21"/>
        <v>-0.25349908862297366</v>
      </c>
      <c r="AT77">
        <f t="shared" si="21"/>
        <v>-0.26625809760104935</v>
      </c>
      <c r="AU77">
        <f t="shared" si="21"/>
        <v>-0.2805079117525604</v>
      </c>
      <c r="AV77">
        <f t="shared" si="21"/>
        <v>-0.29675989972959382</v>
      </c>
      <c r="AW77">
        <f t="shared" si="21"/>
        <v>-0.31585389389673524</v>
      </c>
      <c r="AX77">
        <f t="shared" si="21"/>
        <v>-0.33932753250602343</v>
      </c>
      <c r="AY77">
        <f t="shared" si="21"/>
        <v>-0.37053164537104644</v>
      </c>
      <c r="AZ77">
        <f t="shared" si="21"/>
        <v>-0.41971318938331392</v>
      </c>
      <c r="BA77">
        <f t="shared" si="21"/>
        <v>-0.46472393246227361</v>
      </c>
    </row>
    <row r="78" spans="1:53">
      <c r="A78" s="3" t="s">
        <v>92</v>
      </c>
      <c r="B78" s="1">
        <v>89.584998999999996</v>
      </c>
      <c r="C78" s="1">
        <v>91.300003000000004</v>
      </c>
      <c r="D78" s="1">
        <v>88.029999000000004</v>
      </c>
      <c r="E78" s="1">
        <v>89.620002999999997</v>
      </c>
      <c r="F78" s="1">
        <v>89.620002999999997</v>
      </c>
      <c r="G78" s="1">
        <v>16983900</v>
      </c>
      <c r="H78" s="4">
        <v>44991</v>
      </c>
      <c r="I78" s="2">
        <v>66.339995999999999</v>
      </c>
      <c r="J78" s="2">
        <v>67.559997999999993</v>
      </c>
      <c r="K78" s="2">
        <v>64.699996999999996</v>
      </c>
      <c r="L78" s="2">
        <v>65.709998999999996</v>
      </c>
      <c r="M78" s="2">
        <v>65.709998999999996</v>
      </c>
      <c r="N78" s="2">
        <v>8168000</v>
      </c>
      <c r="O78">
        <f t="shared" si="23"/>
        <v>0.42303481718876179</v>
      </c>
      <c r="P78">
        <f t="shared" si="24"/>
        <v>0.57696518281123832</v>
      </c>
      <c r="Q78">
        <f t="shared" si="25"/>
        <v>211.5174085943809</v>
      </c>
      <c r="R78">
        <f t="shared" si="26"/>
        <v>288.48259140561913</v>
      </c>
      <c r="S78">
        <f t="shared" si="27"/>
        <v>500</v>
      </c>
      <c r="T78" s="10">
        <f t="shared" si="28"/>
        <v>-8.9179490162077967E-4</v>
      </c>
      <c r="U78" s="11">
        <f t="shared" si="29"/>
        <v>6.0912138294856523E-4</v>
      </c>
      <c r="V78">
        <f t="shared" si="31"/>
        <v>-2.581846310986311E-5</v>
      </c>
      <c r="W78">
        <v>48</v>
      </c>
      <c r="X78">
        <f t="shared" si="30"/>
        <v>3.0781389697190488E-3</v>
      </c>
      <c r="Y78">
        <f t="shared" si="32"/>
        <v>1.4013463834095038E-6</v>
      </c>
      <c r="Z78">
        <f t="shared" si="33"/>
        <v>1.0399314770469328E-5</v>
      </c>
      <c r="AA78">
        <f t="shared" si="34"/>
        <v>4.309204335860197E-6</v>
      </c>
      <c r="AC78" s="10">
        <v>75</v>
      </c>
      <c r="AD78">
        <f>MC($AC78,0,$T$128,$AE$2,AD$3)+MC($AC78,0,$U$128,$AE$2,AD$3)-MC($AC78,0,$V$128,$AE$2,AD$3)</f>
        <v>-1.1371068793419425E-2</v>
      </c>
      <c r="AE78">
        <f>MC($AC78,0,$T$128,$AE$2,AE$3)+MC($AC78,0,$U$128,$AE$2,AE$3)-MC($AC78,0,$V$128,$AE$2,AE$3)</f>
        <v>-1.3934880257027604E-2</v>
      </c>
      <c r="AF78">
        <f>MC($AC78,0,$T$128,$AE$2,AF$3)+MC($AC78,0,$U$128,$AE$2,AF$3)-MC($AC78,0,$V$128,$AE$2,AF$3)</f>
        <v>-1.8354281859626731E-2</v>
      </c>
      <c r="AG78">
        <f>MC($AC78,0,$T$128,$AE$2,AG$3)+MC($AC78,0,$U$128,$AE$2,AG$3)-MC($AC78,0,$V$128,$AE$2,AG$3)</f>
        <v>-1.9194476126878524E-2</v>
      </c>
      <c r="AH78">
        <f>MC($AC78,0,$T$128,$AE$2,AH$3)+MC($AC78,0,$U$128,$AE$2,AH$3)-MC($AC78,0,$V$128,$AE$2,AH$3)</f>
        <v>-2.0304203907865359E-2</v>
      </c>
      <c r="AI78">
        <f>MC($AC78,0,$T$128,$AE$2,AI$3)+MC($AC78,0,$U$128,$AE$2,AI$3)-MC($AC78,0,$V$128,$AE$2,AI$3)</f>
        <v>-2.2376097193862021E-2</v>
      </c>
      <c r="AJ78">
        <f>MC($AC78,0,$T$128,$AE$2,AJ$3)+MC($AC78,0,$U$128,$AE$2,AJ$3)-MC($AC78,0,$V$128,$AE$2,AJ$3)</f>
        <v>-2.1519885402314864E-2</v>
      </c>
      <c r="AK78">
        <f>MC($AC78,0,$T$128,$AE$2,AK$3)+MC($AC78,0,$U$128,$AE$2,AK$3)-MC($AC78,0,$V$128,$AE$2,AK$3)</f>
        <v>-2.3819256439205683E-2</v>
      </c>
      <c r="AL78">
        <f>MC($AC78,0,$T$128,$AE$2,AL$3)+MC($AC78,0,$U$128,$AE$2,AL$3)-MC($AC78,0,$V$128,$AE$2,AL$3)</f>
        <v>-2.1998548243335803E-2</v>
      </c>
      <c r="AM78">
        <f>MC($AC78,0,$T$128,$AE$2,AM$3)+MC($AC78,0,$U$128,$AE$2,AM$3)-MC($AC78,0,$V$128,$AE$2,AM$3)</f>
        <v>-2.1962585546064339E-2</v>
      </c>
      <c r="AN78">
        <f>MC($AC78,0,$T$128,$AE$2,AN$3)+MC($AC78,0,$U$128,$AE$2,AN$3)-MC($AC78,0,$V$128,$AE$2,AN$3)</f>
        <v>-2.8768018444051302E-2</v>
      </c>
      <c r="AP78" s="10">
        <v>75</v>
      </c>
      <c r="AQ78">
        <f t="shared" si="22"/>
        <v>-0.23277096990516566</v>
      </c>
      <c r="AR78">
        <f t="shared" si="21"/>
        <v>-0.24352422328373591</v>
      </c>
      <c r="AS78">
        <f t="shared" si="21"/>
        <v>-0.25520617248081801</v>
      </c>
      <c r="AT78">
        <f t="shared" si="21"/>
        <v>-0.26805110168206647</v>
      </c>
      <c r="AU78">
        <f t="shared" si="21"/>
        <v>-0.2823968752622581</v>
      </c>
      <c r="AV78">
        <f t="shared" si="21"/>
        <v>-0.29875830547233562</v>
      </c>
      <c r="AW78">
        <f t="shared" si="21"/>
        <v>-0.31798088017758286</v>
      </c>
      <c r="AX78">
        <f t="shared" si="21"/>
        <v>-0.34161259221337692</v>
      </c>
      <c r="AY78">
        <f t="shared" si="21"/>
        <v>-0.37302683615878984</v>
      </c>
      <c r="AZ78">
        <f t="shared" si="21"/>
        <v>-0.42253957276170251</v>
      </c>
      <c r="BA78">
        <f t="shared" si="21"/>
        <v>-0.46785342191239221</v>
      </c>
    </row>
    <row r="79" spans="1:53">
      <c r="A79" s="3" t="s">
        <v>93</v>
      </c>
      <c r="B79" s="1">
        <v>89.519997000000004</v>
      </c>
      <c r="C79" s="1">
        <v>90.050003000000004</v>
      </c>
      <c r="D79" s="1">
        <v>88.199996999999996</v>
      </c>
      <c r="E79" s="1">
        <v>88.730002999999996</v>
      </c>
      <c r="F79" s="1">
        <v>88.730002999999996</v>
      </c>
      <c r="G79" s="1">
        <v>14514700</v>
      </c>
      <c r="H79" s="4">
        <v>44992</v>
      </c>
      <c r="I79" s="2">
        <v>70.639999000000003</v>
      </c>
      <c r="J79" s="2">
        <v>81.519997000000004</v>
      </c>
      <c r="K79" s="2">
        <v>68.690002000000007</v>
      </c>
      <c r="L79" s="2">
        <v>80.059997999999993</v>
      </c>
      <c r="M79" s="2">
        <v>80.059997999999993</v>
      </c>
      <c r="N79" s="2">
        <v>50929300</v>
      </c>
      <c r="O79">
        <f t="shared" si="23"/>
        <v>0.47431718422704433</v>
      </c>
      <c r="P79">
        <f t="shared" si="24"/>
        <v>0.52568281577295561</v>
      </c>
      <c r="Q79">
        <f t="shared" si="25"/>
        <v>237.15859211352216</v>
      </c>
      <c r="R79">
        <f t="shared" si="26"/>
        <v>262.84140788647778</v>
      </c>
      <c r="S79">
        <f t="shared" si="27"/>
        <v>499.99999999999994</v>
      </c>
      <c r="T79" s="10">
        <f t="shared" si="28"/>
        <v>-9.9308186811821533E-3</v>
      </c>
      <c r="U79" s="11">
        <f t="shared" si="29"/>
        <v>0.21838379574469324</v>
      </c>
      <c r="V79">
        <f t="shared" si="31"/>
        <v>0.1100902507123287</v>
      </c>
      <c r="W79">
        <v>47</v>
      </c>
      <c r="X79">
        <f t="shared" si="30"/>
        <v>3.2746159252330302E-3</v>
      </c>
      <c r="Y79">
        <f t="shared" si="32"/>
        <v>2.8988156590321964E-6</v>
      </c>
      <c r="Z79">
        <f t="shared" si="33"/>
        <v>8.5345440177633496E-5</v>
      </c>
      <c r="AA79">
        <f t="shared" si="34"/>
        <v>1.7854032586188372E-5</v>
      </c>
      <c r="AC79" s="10">
        <v>76</v>
      </c>
      <c r="AD79">
        <f>MC($AC79,0,$T$128,$AE$2,AD$3)+MC($AC79,0,$U$128,$AE$2,AD$3)-MC($AC79,0,$V$128,$AE$2,AD$3)</f>
        <v>-1.4498920593414288E-2</v>
      </c>
      <c r="AE79">
        <f>MC($AC79,0,$T$128,$AE$2,AE$3)+MC($AC79,0,$U$128,$AE$2,AE$3)-MC($AC79,0,$V$128,$AE$2,AE$3)</f>
        <v>-1.5565648754708006E-2</v>
      </c>
      <c r="AF79">
        <f>MC($AC79,0,$T$128,$AE$2,AF$3)+MC($AC79,0,$U$128,$AE$2,AF$3)-MC($AC79,0,$V$128,$AE$2,AF$3)</f>
        <v>-1.488627757457639E-2</v>
      </c>
      <c r="AG79">
        <f>MC($AC79,0,$T$128,$AE$2,AG$3)+MC($AC79,0,$U$128,$AE$2,AG$3)-MC($AC79,0,$V$128,$AE$2,AG$3)</f>
        <v>-1.5807886042409347E-2</v>
      </c>
      <c r="AH79">
        <f>MC($AC79,0,$T$128,$AE$2,AH$3)+MC($AC79,0,$U$128,$AE$2,AH$3)-MC($AC79,0,$V$128,$AE$2,AH$3)</f>
        <v>-1.4424486179246854E-2</v>
      </c>
      <c r="AI79">
        <f>MC($AC79,0,$T$128,$AE$2,AI$3)+MC($AC79,0,$U$128,$AE$2,AI$3)-MC($AC79,0,$V$128,$AE$2,AI$3)</f>
        <v>-1.6598435532205746E-2</v>
      </c>
      <c r="AJ79">
        <f>MC($AC79,0,$T$128,$AE$2,AJ$3)+MC($AC79,0,$U$128,$AE$2,AJ$3)-MC($AC79,0,$V$128,$AE$2,AJ$3)</f>
        <v>-1.9720807955414532E-2</v>
      </c>
      <c r="AK79">
        <f>MC($AC79,0,$T$128,$AE$2,AK$3)+MC($AC79,0,$U$128,$AE$2,AK$3)-MC($AC79,0,$V$128,$AE$2,AK$3)</f>
        <v>-1.7180920486880247E-2</v>
      </c>
      <c r="AL79">
        <f>MC($AC79,0,$T$128,$AE$2,AL$3)+MC($AC79,0,$U$128,$AE$2,AL$3)-MC($AC79,0,$V$128,$AE$2,AL$3)</f>
        <v>-2.171348372928783E-2</v>
      </c>
      <c r="AM79">
        <f>MC($AC79,0,$T$128,$AE$2,AM$3)+MC($AC79,0,$U$128,$AE$2,AM$3)-MC($AC79,0,$V$128,$AE$2,AM$3)</f>
        <v>-3.2145360843062187E-2</v>
      </c>
      <c r="AN79">
        <f>MC($AC79,0,$T$128,$AE$2,AN$3)+MC($AC79,0,$U$128,$AE$2,AN$3)-MC($AC79,0,$V$128,$AE$2,AN$3)</f>
        <v>-2.8187114799229862E-2</v>
      </c>
      <c r="AP79" s="10">
        <v>76</v>
      </c>
      <c r="AQ79">
        <f t="shared" si="22"/>
        <v>-0.23431763788285209</v>
      </c>
      <c r="AR79">
        <f t="shared" si="21"/>
        <v>-0.24514234223601494</v>
      </c>
      <c r="AS79">
        <f t="shared" si="21"/>
        <v>-0.25690191321191014</v>
      </c>
      <c r="AT79">
        <f t="shared" si="21"/>
        <v>-0.2698321917188703</v>
      </c>
      <c r="AU79">
        <f t="shared" si="21"/>
        <v>-0.28427328710238065</v>
      </c>
      <c r="AV79">
        <f t="shared" si="21"/>
        <v>-0.30074343233042355</v>
      </c>
      <c r="AW79">
        <f t="shared" si="21"/>
        <v>-0.32009373318965562</v>
      </c>
      <c r="AX79">
        <f t="shared" si="21"/>
        <v>-0.3438824682952879</v>
      </c>
      <c r="AY79">
        <f t="shared" si="21"/>
        <v>-0.37550544705489786</v>
      </c>
      <c r="AZ79">
        <f t="shared" si="21"/>
        <v>-0.42534717556011903</v>
      </c>
      <c r="BA79">
        <f t="shared" si="21"/>
        <v>-0.47096211672179122</v>
      </c>
    </row>
    <row r="80" spans="1:53">
      <c r="A80" s="3" t="s">
        <v>94</v>
      </c>
      <c r="B80" s="1">
        <v>87.389999000000003</v>
      </c>
      <c r="C80" s="1">
        <v>87.769997000000004</v>
      </c>
      <c r="D80" s="1">
        <v>86.449996999999996</v>
      </c>
      <c r="E80" s="1">
        <v>86.949996999999996</v>
      </c>
      <c r="F80" s="1">
        <v>86.949996999999996</v>
      </c>
      <c r="G80" s="1">
        <v>14721500</v>
      </c>
      <c r="H80" s="4">
        <v>44993</v>
      </c>
      <c r="I80" s="2">
        <v>79.180000000000007</v>
      </c>
      <c r="J80" s="2">
        <v>80.669998000000007</v>
      </c>
      <c r="K80" s="2">
        <v>77.260002</v>
      </c>
      <c r="L80" s="2">
        <v>79.809997999999993</v>
      </c>
      <c r="M80" s="2">
        <v>79.809997999999993</v>
      </c>
      <c r="N80" s="2">
        <v>13572000</v>
      </c>
      <c r="O80">
        <f t="shared" si="23"/>
        <v>0.47859199084288767</v>
      </c>
      <c r="P80">
        <f t="shared" si="24"/>
        <v>0.52140800915711227</v>
      </c>
      <c r="Q80">
        <f t="shared" si="25"/>
        <v>239.29599542144385</v>
      </c>
      <c r="R80">
        <f t="shared" si="26"/>
        <v>260.70400457855612</v>
      </c>
      <c r="S80">
        <f t="shared" si="27"/>
        <v>500</v>
      </c>
      <c r="T80" s="10">
        <f t="shared" si="28"/>
        <v>-2.0060925727681991E-2</v>
      </c>
      <c r="U80" s="11">
        <f t="shared" si="29"/>
        <v>-3.1226580845030751E-3</v>
      </c>
      <c r="V80">
        <f t="shared" si="31"/>
        <v>-1.1229177317281739E-2</v>
      </c>
      <c r="W80">
        <v>46</v>
      </c>
      <c r="X80">
        <f t="shared" si="30"/>
        <v>3.4836339630138625E-3</v>
      </c>
      <c r="Y80">
        <f t="shared" si="32"/>
        <v>5.3747441474815032E-6</v>
      </c>
      <c r="Z80">
        <f t="shared" si="33"/>
        <v>1.1853546806879991E-5</v>
      </c>
      <c r="AA80">
        <f t="shared" si="34"/>
        <v>7.49227449688786E-6</v>
      </c>
      <c r="AC80" s="10">
        <v>77</v>
      </c>
      <c r="AD80">
        <f>MC($AC80,0,$T$128,$AE$2,AD$3)+MC($AC80,0,$U$128,$AE$2,AD$3)-MC($AC80,0,$V$128,$AE$2,AD$3)</f>
        <v>-1.5040289458856382E-2</v>
      </c>
      <c r="AE80">
        <f>MC($AC80,0,$T$128,$AE$2,AE$3)+MC($AC80,0,$U$128,$AE$2,AE$3)-MC($AC80,0,$V$128,$AE$2,AE$3)</f>
        <v>-1.4046039461576232E-2</v>
      </c>
      <c r="AF80">
        <f>MC($AC80,0,$T$128,$AE$2,AF$3)+MC($AC80,0,$U$128,$AE$2,AF$3)-MC($AC80,0,$V$128,$AE$2,AF$3)</f>
        <v>-1.5874320591924729E-2</v>
      </c>
      <c r="AG80">
        <f>MC($AC80,0,$T$128,$AE$2,AG$3)+MC($AC80,0,$U$128,$AE$2,AG$3)-MC($AC80,0,$V$128,$AE$2,AG$3)</f>
        <v>-1.6848659140095146E-2</v>
      </c>
      <c r="AH80">
        <f>MC($AC80,0,$T$128,$AE$2,AH$3)+MC($AC80,0,$U$128,$AE$2,AH$3)-MC($AC80,0,$V$128,$AE$2,AH$3)</f>
        <v>-1.6069718068768557E-2</v>
      </c>
      <c r="AI80">
        <f>MC($AC80,0,$T$128,$AE$2,AI$3)+MC($AC80,0,$U$128,$AE$2,AI$3)-MC($AC80,0,$V$128,$AE$2,AI$3)</f>
        <v>-2.064487073243737E-2</v>
      </c>
      <c r="AJ80">
        <f>MC($AC80,0,$T$128,$AE$2,AJ$3)+MC($AC80,0,$U$128,$AE$2,AJ$3)-MC($AC80,0,$V$128,$AE$2,AJ$3)</f>
        <v>-2.0402933872272655E-2</v>
      </c>
      <c r="AK80">
        <f>MC($AC80,0,$T$128,$AE$2,AK$3)+MC($AC80,0,$U$128,$AE$2,AK$3)-MC($AC80,0,$V$128,$AE$2,AK$3)</f>
        <v>-2.209441926132949E-2</v>
      </c>
      <c r="AL80">
        <f>MC($AC80,0,$T$128,$AE$2,AL$3)+MC($AC80,0,$U$128,$AE$2,AL$3)-MC($AC80,0,$V$128,$AE$2,AL$3)</f>
        <v>-2.1101151375976679E-2</v>
      </c>
      <c r="AM80">
        <f>MC($AC80,0,$T$128,$AE$2,AM$3)+MC($AC80,0,$U$128,$AE$2,AM$3)-MC($AC80,0,$V$128,$AE$2,AM$3)</f>
        <v>-2.8380449720684986E-2</v>
      </c>
      <c r="AN80">
        <f>MC($AC80,0,$T$128,$AE$2,AN$3)+MC($AC80,0,$U$128,$AE$2,AN$3)-MC($AC80,0,$V$128,$AE$2,AN$3)</f>
        <v>-3.1061439117703316E-2</v>
      </c>
      <c r="AP80" s="10">
        <v>77</v>
      </c>
      <c r="AQ80">
        <f t="shared" si="22"/>
        <v>-0.23585416344726085</v>
      </c>
      <c r="AR80">
        <f t="shared" si="21"/>
        <v>-0.24674985022887463</v>
      </c>
      <c r="AS80">
        <f t="shared" si="21"/>
        <v>-0.25858653397184184</v>
      </c>
      <c r="AT80">
        <f t="shared" si="21"/>
        <v>-0.27160160209882533</v>
      </c>
      <c r="AU80">
        <f t="shared" si="21"/>
        <v>-0.28613739420442352</v>
      </c>
      <c r="AV80">
        <f t="shared" si="21"/>
        <v>-0.30271554154200053</v>
      </c>
      <c r="AW80">
        <f t="shared" si="21"/>
        <v>-0.32219273097956513</v>
      </c>
      <c r="AX80">
        <f t="shared" si="21"/>
        <v>-0.34613745946224317</v>
      </c>
      <c r="AY80">
        <f t="shared" si="21"/>
        <v>-0.37796780423887999</v>
      </c>
      <c r="AZ80">
        <f t="shared" si="21"/>
        <v>-0.42813636725265369</v>
      </c>
      <c r="BA80">
        <f t="shared" si="21"/>
        <v>-0.47405042598757885</v>
      </c>
    </row>
    <row r="81" spans="1:53">
      <c r="A81" s="3" t="s">
        <v>95</v>
      </c>
      <c r="B81" s="1">
        <v>85.120002999999997</v>
      </c>
      <c r="C81" s="1">
        <v>85.690002000000007</v>
      </c>
      <c r="D81" s="1">
        <v>82.875</v>
      </c>
      <c r="E81" s="1">
        <v>83.370002999999997</v>
      </c>
      <c r="F81" s="1">
        <v>83.370002999999997</v>
      </c>
      <c r="G81" s="1">
        <v>24327700</v>
      </c>
      <c r="H81" s="4">
        <v>44994</v>
      </c>
      <c r="I81" s="2">
        <v>79.5</v>
      </c>
      <c r="J81" s="2">
        <v>80.879997000000003</v>
      </c>
      <c r="K81" s="2">
        <v>76.300003000000004</v>
      </c>
      <c r="L81" s="2">
        <v>77.569999999999993</v>
      </c>
      <c r="M81" s="2">
        <v>77.569999999999993</v>
      </c>
      <c r="N81" s="2">
        <v>8146800</v>
      </c>
      <c r="O81">
        <f t="shared" si="23"/>
        <v>0.481980853448847</v>
      </c>
      <c r="P81">
        <f t="shared" si="24"/>
        <v>0.518019146551153</v>
      </c>
      <c r="Q81">
        <f t="shared" si="25"/>
        <v>240.99042672442351</v>
      </c>
      <c r="R81">
        <f t="shared" si="26"/>
        <v>259.00957327557649</v>
      </c>
      <c r="S81">
        <f t="shared" si="27"/>
        <v>500</v>
      </c>
      <c r="T81" s="10">
        <f t="shared" si="28"/>
        <v>-4.1173020396998973E-2</v>
      </c>
      <c r="U81" s="11">
        <f t="shared" si="29"/>
        <v>-2.8066633957314471E-2</v>
      </c>
      <c r="V81">
        <f t="shared" si="31"/>
        <v>-3.4383661279144002E-2</v>
      </c>
      <c r="W81">
        <v>45</v>
      </c>
      <c r="X81">
        <f t="shared" si="30"/>
        <v>3.7059935776743214E-3</v>
      </c>
      <c r="Y81">
        <f t="shared" si="32"/>
        <v>1.3255365082324392E-5</v>
      </c>
      <c r="Z81">
        <f t="shared" si="33"/>
        <v>2.4673079794863055E-5</v>
      </c>
      <c r="AA81">
        <f t="shared" si="34"/>
        <v>1.7368886707202289E-5</v>
      </c>
      <c r="AC81" s="10">
        <v>78</v>
      </c>
      <c r="AD81">
        <f>MC($AC81,0,$T$128,$AE$2,AD$3)+MC($AC81,0,$U$128,$AE$2,AD$3)-MC($AC81,0,$V$128,$AE$2,AD$3)</f>
        <v>-1.7275665863309753E-2</v>
      </c>
      <c r="AE81">
        <f>MC($AC81,0,$T$128,$AE$2,AE$3)+MC($AC81,0,$U$128,$AE$2,AE$3)-MC($AC81,0,$V$128,$AE$2,AE$3)</f>
        <v>-1.7104726277041626E-2</v>
      </c>
      <c r="AF81">
        <f>MC($AC81,0,$T$128,$AE$2,AF$3)+MC($AC81,0,$U$128,$AE$2,AF$3)-MC($AC81,0,$V$128,$AE$2,AF$3)</f>
        <v>-1.949235357942225E-2</v>
      </c>
      <c r="AG81">
        <f>MC($AC81,0,$T$128,$AE$2,AG$3)+MC($AC81,0,$U$128,$AE$2,AG$3)-MC($AC81,0,$V$128,$AE$2,AG$3)</f>
        <v>-1.971315172493382E-2</v>
      </c>
      <c r="AH81">
        <f>MC($AC81,0,$T$128,$AE$2,AH$3)+MC($AC81,0,$U$128,$AE$2,AH$3)-MC($AC81,0,$V$128,$AE$2,AH$3)</f>
        <v>-1.6451956189149408E-2</v>
      </c>
      <c r="AI81">
        <f>MC($AC81,0,$T$128,$AE$2,AI$3)+MC($AC81,0,$U$128,$AE$2,AI$3)-MC($AC81,0,$V$128,$AE$2,AI$3)</f>
        <v>-1.5411475592916668E-2</v>
      </c>
      <c r="AJ81">
        <f>MC($AC81,0,$T$128,$AE$2,AJ$3)+MC($AC81,0,$U$128,$AE$2,AJ$3)-MC($AC81,0,$V$128,$AE$2,AJ$3)</f>
        <v>-1.9304150903149742E-2</v>
      </c>
      <c r="AK81">
        <f>MC($AC81,0,$T$128,$AE$2,AK$3)+MC($AC81,0,$U$128,$AE$2,AK$3)-MC($AC81,0,$V$128,$AE$2,AK$3)</f>
        <v>-2.2152006376682021E-2</v>
      </c>
      <c r="AL81">
        <f>MC($AC81,0,$T$128,$AE$2,AL$3)+MC($AC81,0,$U$128,$AE$2,AL$3)-MC($AC81,0,$V$128,$AE$2,AL$3)</f>
        <v>-1.6528607098157844E-2</v>
      </c>
      <c r="AM81">
        <f>MC($AC81,0,$T$128,$AE$2,AM$3)+MC($AC81,0,$U$128,$AE$2,AM$3)-MC($AC81,0,$V$128,$AE$2,AM$3)</f>
        <v>-3.0308285189635686E-2</v>
      </c>
      <c r="AN81">
        <f>MC($AC81,0,$T$128,$AE$2,AN$3)+MC($AC81,0,$U$128,$AE$2,AN$3)-MC($AC81,0,$V$128,$AE$2,AN$3)</f>
        <v>-2.7145810071905307E-2</v>
      </c>
      <c r="AP81" s="10">
        <v>78</v>
      </c>
      <c r="AQ81">
        <f t="shared" si="22"/>
        <v>-0.23738074354887173</v>
      </c>
      <c r="AR81">
        <f t="shared" si="21"/>
        <v>-0.24834695331125922</v>
      </c>
      <c r="AS81">
        <f t="shared" si="21"/>
        <v>-0.26026025069380343</v>
      </c>
      <c r="AT81">
        <f t="shared" si="21"/>
        <v>-0.27335955962338021</v>
      </c>
      <c r="AU81">
        <f t="shared" si="21"/>
        <v>-0.2879894355079764</v>
      </c>
      <c r="AV81">
        <f t="shared" si="21"/>
        <v>-0.30467488589027059</v>
      </c>
      <c r="AW81">
        <f t="shared" si="21"/>
        <v>-0.324278142594981</v>
      </c>
      <c r="AX81">
        <f t="shared" si="21"/>
        <v>-0.34837785475700478</v>
      </c>
      <c r="AY81">
        <f t="shared" si="21"/>
        <v>-0.38041422333348984</v>
      </c>
      <c r="AZ81">
        <f t="shared" si="21"/>
        <v>-0.43090750535541589</v>
      </c>
      <c r="BA81">
        <f t="shared" si="21"/>
        <v>-0.47711874556648937</v>
      </c>
    </row>
    <row r="82" spans="1:53">
      <c r="A82" s="3" t="s">
        <v>96</v>
      </c>
      <c r="B82" s="1">
        <v>82.639999000000003</v>
      </c>
      <c r="C82" s="1">
        <v>84.519997000000004</v>
      </c>
      <c r="D82" s="1">
        <v>82.330001999999993</v>
      </c>
      <c r="E82" s="1">
        <v>82.959998999999996</v>
      </c>
      <c r="F82" s="1">
        <v>82.959998999999996</v>
      </c>
      <c r="G82" s="1">
        <v>18123100</v>
      </c>
      <c r="H82" s="4">
        <v>44995</v>
      </c>
      <c r="I82" s="2">
        <v>76.050003000000004</v>
      </c>
      <c r="J82" s="2">
        <v>76.760002</v>
      </c>
      <c r="K82" s="2">
        <v>72.150002000000001</v>
      </c>
      <c r="L82" s="2">
        <v>73.449996999999996</v>
      </c>
      <c r="M82" s="2">
        <v>73.449996999999996</v>
      </c>
      <c r="N82" s="2">
        <v>8538900</v>
      </c>
      <c r="O82">
        <f t="shared" si="23"/>
        <v>0.46959912331945847</v>
      </c>
      <c r="P82">
        <f t="shared" si="24"/>
        <v>0.53040087668054159</v>
      </c>
      <c r="Q82">
        <f t="shared" si="25"/>
        <v>234.79956165972922</v>
      </c>
      <c r="R82">
        <f t="shared" si="26"/>
        <v>265.20043834027081</v>
      </c>
      <c r="S82">
        <f t="shared" si="27"/>
        <v>500</v>
      </c>
      <c r="T82" s="10">
        <f t="shared" si="28"/>
        <v>-4.9178839540164193E-3</v>
      </c>
      <c r="U82" s="11">
        <f t="shared" si="29"/>
        <v>-5.3113355678741744E-2</v>
      </c>
      <c r="V82">
        <f t="shared" si="31"/>
        <v>-3.0480804408842987E-2</v>
      </c>
      <c r="W82">
        <v>44</v>
      </c>
      <c r="X82">
        <f t="shared" si="30"/>
        <v>3.9425463592280023E-3</v>
      </c>
      <c r="Y82">
        <f t="shared" si="32"/>
        <v>2.0825363761487455E-6</v>
      </c>
      <c r="Z82">
        <f t="shared" si="33"/>
        <v>4.3475074991195429E-5</v>
      </c>
      <c r="AA82">
        <f t="shared" si="34"/>
        <v>1.5906620055402896E-5</v>
      </c>
      <c r="AC82" s="10">
        <v>79</v>
      </c>
      <c r="AD82">
        <f>MC($AC82,0,$T$128,$AE$2,AD$3)+MC($AC82,0,$U$128,$AE$2,AD$3)-MC($AC82,0,$V$128,$AE$2,AD$3)</f>
        <v>-1.420080652982425E-2</v>
      </c>
      <c r="AE82">
        <f>MC($AC82,0,$T$128,$AE$2,AE$3)+MC($AC82,0,$U$128,$AE$2,AE$3)-MC($AC82,0,$V$128,$AE$2,AE$3)</f>
        <v>-1.5668962064830705E-2</v>
      </c>
      <c r="AF82">
        <f>MC($AC82,0,$T$128,$AE$2,AF$3)+MC($AC82,0,$U$128,$AE$2,AF$3)-MC($AC82,0,$V$128,$AE$2,AF$3)</f>
        <v>-1.6401569142895367E-2</v>
      </c>
      <c r="AG82">
        <f>MC($AC82,0,$T$128,$AE$2,AG$3)+MC($AC82,0,$U$128,$AE$2,AG$3)-MC($AC82,0,$V$128,$AE$2,AG$3)</f>
        <v>-1.5814965804135772E-2</v>
      </c>
      <c r="AH82">
        <f>MC($AC82,0,$T$128,$AE$2,AH$3)+MC($AC82,0,$U$128,$AE$2,AH$3)-MC($AC82,0,$V$128,$AE$2,AH$3)</f>
        <v>-2.0889846950124857E-2</v>
      </c>
      <c r="AI82">
        <f>MC($AC82,0,$T$128,$AE$2,AI$3)+MC($AC82,0,$U$128,$AE$2,AI$3)-MC($AC82,0,$V$128,$AE$2,AI$3)</f>
        <v>-1.6341947523864864E-2</v>
      </c>
      <c r="AJ82">
        <f>MC($AC82,0,$T$128,$AE$2,AJ$3)+MC($AC82,0,$U$128,$AE$2,AJ$3)-MC($AC82,0,$V$128,$AE$2,AJ$3)</f>
        <v>-2.1023930969452209E-2</v>
      </c>
      <c r="AK82">
        <f>MC($AC82,0,$T$128,$AE$2,AK$3)+MC($AC82,0,$U$128,$AE$2,AK$3)-MC($AC82,0,$V$128,$AE$2,AK$3)</f>
        <v>-1.5895793535168012E-2</v>
      </c>
      <c r="AL82">
        <f>MC($AC82,0,$T$128,$AE$2,AL$3)+MC($AC82,0,$U$128,$AE$2,AL$3)-MC($AC82,0,$V$128,$AE$2,AL$3)</f>
        <v>-2.3060447989912802E-2</v>
      </c>
      <c r="AM82">
        <f>MC($AC82,0,$T$128,$AE$2,AM$3)+MC($AC82,0,$U$128,$AE$2,AM$3)-MC($AC82,0,$V$128,$AE$2,AM$3)</f>
        <v>-3.4141221727047366E-2</v>
      </c>
      <c r="AN82">
        <f>MC($AC82,0,$T$128,$AE$2,AN$3)+MC($AC82,0,$U$128,$AE$2,AN$3)-MC($AC82,0,$V$128,$AE$2,AN$3)</f>
        <v>-3.3010535295681764E-2</v>
      </c>
      <c r="AP82" s="10">
        <v>79</v>
      </c>
      <c r="AQ82">
        <f t="shared" si="22"/>
        <v>-0.23889756884535895</v>
      </c>
      <c r="AR82">
        <f t="shared" si="21"/>
        <v>-0.24993385094860066</v>
      </c>
      <c r="AS82">
        <f t="shared" si="21"/>
        <v>-0.26192327241165902</v>
      </c>
      <c r="AT82">
        <f t="shared" si="21"/>
        <v>-0.2751062838474031</v>
      </c>
      <c r="AU82">
        <f t="shared" si="21"/>
        <v>-0.28982964231822128</v>
      </c>
      <c r="AV82">
        <f t="shared" si="21"/>
        <v>-0.30662171008170958</v>
      </c>
      <c r="AW82">
        <f t="shared" si="21"/>
        <v>-0.32635022848717421</v>
      </c>
      <c r="AX82">
        <f t="shared" si="21"/>
        <v>-0.35060393398706946</v>
      </c>
      <c r="AY82">
        <f t="shared" si="21"/>
        <v>-0.38284500987695269</v>
      </c>
      <c r="AZ82">
        <f t="shared" si="21"/>
        <v>-0.43366093596144495</v>
      </c>
      <c r="BA82">
        <f t="shared" si="21"/>
        <v>-0.48016745866715649</v>
      </c>
    </row>
    <row r="83" spans="1:53">
      <c r="A83" s="3" t="s">
        <v>97</v>
      </c>
      <c r="B83" s="1">
        <v>83.010002</v>
      </c>
      <c r="C83" s="1">
        <v>83.754997000000003</v>
      </c>
      <c r="D83" s="1">
        <v>81.970000999999996</v>
      </c>
      <c r="E83" s="1">
        <v>82.900002000000001</v>
      </c>
      <c r="F83" s="1">
        <v>82.900002000000001</v>
      </c>
      <c r="G83" s="1">
        <v>17848300</v>
      </c>
      <c r="H83" s="4">
        <v>44998</v>
      </c>
      <c r="I83" s="2">
        <v>72</v>
      </c>
      <c r="J83" s="2">
        <v>75.220000999999996</v>
      </c>
      <c r="K83" s="2">
        <v>71.080001999999993</v>
      </c>
      <c r="L83" s="2">
        <v>74.790001000000004</v>
      </c>
      <c r="M83" s="2">
        <v>74.790001000000004</v>
      </c>
      <c r="N83" s="2">
        <v>5485600</v>
      </c>
      <c r="O83">
        <f t="shared" si="23"/>
        <v>0.4742849868548738</v>
      </c>
      <c r="P83">
        <f t="shared" si="24"/>
        <v>0.52571501314512625</v>
      </c>
      <c r="Q83">
        <f t="shared" si="25"/>
        <v>237.1424934274369</v>
      </c>
      <c r="R83">
        <f t="shared" si="26"/>
        <v>262.85750657256312</v>
      </c>
      <c r="S83">
        <f t="shared" si="27"/>
        <v>500</v>
      </c>
      <c r="T83" s="10">
        <f t="shared" si="28"/>
        <v>-7.2320396243008198E-4</v>
      </c>
      <c r="U83" s="11">
        <f t="shared" si="29"/>
        <v>1.8243758403421143E-2</v>
      </c>
      <c r="V83">
        <f t="shared" si="31"/>
        <v>9.2480129070565097E-3</v>
      </c>
      <c r="W83">
        <v>43</v>
      </c>
      <c r="X83">
        <f t="shared" si="30"/>
        <v>4.1941982544978747E-3</v>
      </c>
      <c r="Y83">
        <f t="shared" si="32"/>
        <v>1.3951004582386231E-6</v>
      </c>
      <c r="Z83">
        <f t="shared" si="33"/>
        <v>4.3142519000561989E-6</v>
      </c>
      <c r="AA83">
        <f t="shared" si="34"/>
        <v>2.1771127591583394E-6</v>
      </c>
      <c r="AC83" s="10">
        <v>80</v>
      </c>
      <c r="AD83">
        <f>MC($AC83,0,$T$128,$AE$2,AD$3)+MC($AC83,0,$U$128,$AE$2,AD$3)-MC($AC83,0,$V$128,$AE$2,AD$3)</f>
        <v>-1.3317092341702308E-2</v>
      </c>
      <c r="AE83">
        <f>MC($AC83,0,$T$128,$AE$2,AE$3)+MC($AC83,0,$U$128,$AE$2,AE$3)-MC($AC83,0,$V$128,$AE$2,AE$3)</f>
        <v>-1.6996287401676691E-2</v>
      </c>
      <c r="AF83">
        <f>MC($AC83,0,$T$128,$AE$2,AF$3)+MC($AC83,0,$U$128,$AE$2,AF$3)-MC($AC83,0,$V$128,$AE$2,AF$3)</f>
        <v>-1.944219492655419E-2</v>
      </c>
      <c r="AG83">
        <f>MC($AC83,0,$T$128,$AE$2,AG$3)+MC($AC83,0,$U$128,$AE$2,AG$3)-MC($AC83,0,$V$128,$AE$2,AG$3)</f>
        <v>-1.7508771173530446E-2</v>
      </c>
      <c r="AH83">
        <f>MC($AC83,0,$T$128,$AE$2,AH$3)+MC($AC83,0,$U$128,$AE$2,AH$3)-MC($AC83,0,$V$128,$AE$2,AH$3)</f>
        <v>-1.7470475614506542E-2</v>
      </c>
      <c r="AI83">
        <f>MC($AC83,0,$T$128,$AE$2,AI$3)+MC($AC83,0,$U$128,$AE$2,AI$3)-MC($AC83,0,$V$128,$AE$2,AI$3)</f>
        <v>-2.0693332178757018E-2</v>
      </c>
      <c r="AJ83">
        <f>MC($AC83,0,$T$128,$AE$2,AJ$3)+MC($AC83,0,$U$128,$AE$2,AJ$3)-MC($AC83,0,$V$128,$AE$2,AJ$3)</f>
        <v>-1.5371428117364472E-2</v>
      </c>
      <c r="AK83">
        <f>MC($AC83,0,$T$128,$AE$2,AK$3)+MC($AC83,0,$U$128,$AE$2,AK$3)-MC($AC83,0,$V$128,$AE$2,AK$3)</f>
        <v>-2.3785400822346148E-2</v>
      </c>
      <c r="AL83">
        <f>MC($AC83,0,$T$128,$AE$2,AL$3)+MC($AC83,0,$U$128,$AE$2,AL$3)-MC($AC83,0,$V$128,$AE$2,AL$3)</f>
        <v>-2.1112756249308973E-2</v>
      </c>
      <c r="AM83">
        <f>MC($AC83,0,$T$128,$AE$2,AM$3)+MC($AC83,0,$U$128,$AE$2,AM$3)-MC($AC83,0,$V$128,$AE$2,AM$3)</f>
        <v>-2.857131660714729E-2</v>
      </c>
      <c r="AN83">
        <f>MC($AC83,0,$T$128,$AE$2,AN$3)+MC($AC83,0,$U$128,$AE$2,AN$3)-MC($AC83,0,$V$128,$AE$2,AN$3)</f>
        <v>-3.5056634735464165E-2</v>
      </c>
      <c r="AP83" s="10">
        <v>80</v>
      </c>
      <c r="AQ83">
        <f t="shared" si="22"/>
        <v>-0.24040482397953444</v>
      </c>
      <c r="AR83">
        <f t="shared" si="21"/>
        <v>-0.25151073631360132</v>
      </c>
      <c r="AS83">
        <f t="shared" si="21"/>
        <v>-0.26357580156467875</v>
      </c>
      <c r="AT83">
        <f t="shared" si="21"/>
        <v>-0.27684198739925181</v>
      </c>
      <c r="AU83">
        <f t="shared" si="21"/>
        <v>-0.29165823864313034</v>
      </c>
      <c r="AV83">
        <f t="shared" si="21"/>
        <v>-0.30855625110280072</v>
      </c>
      <c r="AW83">
        <f t="shared" si="21"/>
        <v>-0.32840924089070778</v>
      </c>
      <c r="AX83">
        <f t="shared" si="21"/>
        <v>-0.35281596813257465</v>
      </c>
      <c r="AY83">
        <f t="shared" si="21"/>
        <v>-0.38526045976838286</v>
      </c>
      <c r="AZ83">
        <f t="shared" si="21"/>
        <v>-0.43639699424524547</v>
      </c>
      <c r="BA83">
        <f t="shared" si="21"/>
        <v>-0.48319693640875916</v>
      </c>
    </row>
    <row r="84" spans="1:53">
      <c r="A84" s="3" t="s">
        <v>98</v>
      </c>
      <c r="B84" s="1">
        <v>82.860000999999997</v>
      </c>
      <c r="C84" s="1">
        <v>83.910004000000001</v>
      </c>
      <c r="D84" s="1">
        <v>82.160004000000001</v>
      </c>
      <c r="E84" s="1">
        <v>83.849997999999999</v>
      </c>
      <c r="F84" s="1">
        <v>83.849997999999999</v>
      </c>
      <c r="G84" s="1">
        <v>20126100</v>
      </c>
      <c r="H84" s="4">
        <v>44999</v>
      </c>
      <c r="I84" s="2">
        <v>75.989998</v>
      </c>
      <c r="J84" s="2">
        <v>78.510002</v>
      </c>
      <c r="K84" s="2">
        <v>75.819999999999993</v>
      </c>
      <c r="L84" s="2">
        <v>76.639999000000003</v>
      </c>
      <c r="M84" s="2">
        <v>76.639999000000003</v>
      </c>
      <c r="N84" s="2">
        <v>4608000</v>
      </c>
      <c r="O84">
        <f t="shared" si="23"/>
        <v>0.47753754397540427</v>
      </c>
      <c r="P84">
        <f t="shared" si="24"/>
        <v>0.52246245602459562</v>
      </c>
      <c r="Q84">
        <f t="shared" si="25"/>
        <v>238.76877198770214</v>
      </c>
      <c r="R84">
        <f t="shared" si="26"/>
        <v>261.23122801229783</v>
      </c>
      <c r="S84">
        <f t="shared" si="27"/>
        <v>500</v>
      </c>
      <c r="T84" s="10">
        <f t="shared" si="28"/>
        <v>1.1459541339938673E-2</v>
      </c>
      <c r="U84" s="11">
        <f t="shared" si="29"/>
        <v>2.4735900190722009E-2</v>
      </c>
      <c r="V84">
        <f t="shared" si="31"/>
        <v>1.839594039218281E-2</v>
      </c>
      <c r="W84">
        <v>42</v>
      </c>
      <c r="X84">
        <f t="shared" si="30"/>
        <v>4.4619130366998667E-3</v>
      </c>
      <c r="Y84">
        <f t="shared" si="32"/>
        <v>1.3604132366545529E-7</v>
      </c>
      <c r="Z84">
        <f t="shared" si="33"/>
        <v>2.5801801344358578E-6</v>
      </c>
      <c r="AA84">
        <f t="shared" si="34"/>
        <v>7.1508346948065298E-7</v>
      </c>
      <c r="AC84" s="10">
        <v>81</v>
      </c>
      <c r="AD84">
        <f>MC($AC84,0,$T$128,$AE$2,AD$3)+MC($AC84,0,$U$128,$AE$2,AD$3)-MC($AC84,0,$V$128,$AE$2,AD$3)</f>
        <v>-1.7092866475947321E-2</v>
      </c>
      <c r="AE84">
        <f>MC($AC84,0,$T$128,$AE$2,AE$3)+MC($AC84,0,$U$128,$AE$2,AE$3)-MC($AC84,0,$V$128,$AE$2,AE$3)</f>
        <v>-1.9281570965252071E-2</v>
      </c>
      <c r="AF84">
        <f>MC($AC84,0,$T$128,$AE$2,AF$3)+MC($AC84,0,$U$128,$AE$2,AF$3)-MC($AC84,0,$V$128,$AE$2,AF$3)</f>
        <v>-1.5413154943347385E-2</v>
      </c>
      <c r="AG84">
        <f>MC($AC84,0,$T$128,$AE$2,AG$3)+MC($AC84,0,$U$128,$AE$2,AG$3)-MC($AC84,0,$V$128,$AE$2,AG$3)</f>
        <v>-1.8061667671442461E-2</v>
      </c>
      <c r="AH84">
        <f>MC($AC84,0,$T$128,$AE$2,AH$3)+MC($AC84,0,$U$128,$AE$2,AH$3)-MC($AC84,0,$V$128,$AE$2,AH$3)</f>
        <v>-2.0142092306162818E-2</v>
      </c>
      <c r="AI84">
        <f>MC($AC84,0,$T$128,$AE$2,AI$3)+MC($AC84,0,$U$128,$AE$2,AI$3)-MC($AC84,0,$V$128,$AE$2,AI$3)</f>
        <v>-2.0081527332815208E-2</v>
      </c>
      <c r="AJ84">
        <f>MC($AC84,0,$T$128,$AE$2,AJ$3)+MC($AC84,0,$U$128,$AE$2,AJ$3)-MC($AC84,0,$V$128,$AE$2,AJ$3)</f>
        <v>-1.8116011093513018E-2</v>
      </c>
      <c r="AK84">
        <f>MC($AC84,0,$T$128,$AE$2,AK$3)+MC($AC84,0,$U$128,$AE$2,AK$3)-MC($AC84,0,$V$128,$AE$2,AK$3)</f>
        <v>-1.7266023752148252E-2</v>
      </c>
      <c r="AL84">
        <f>MC($AC84,0,$T$128,$AE$2,AL$3)+MC($AC84,0,$U$128,$AE$2,AL$3)-MC($AC84,0,$V$128,$AE$2,AL$3)</f>
        <v>-2.4986746452920316E-2</v>
      </c>
      <c r="AM84">
        <f>MC($AC84,0,$T$128,$AE$2,AM$3)+MC($AC84,0,$U$128,$AE$2,AM$3)-MC($AC84,0,$V$128,$AE$2,AM$3)</f>
        <v>-2.4783412038860586E-2</v>
      </c>
      <c r="AN84">
        <f>MC($AC84,0,$T$128,$AE$2,AN$3)+MC($AC84,0,$U$128,$AE$2,AN$3)-MC($AC84,0,$V$128,$AE$2,AN$3)</f>
        <v>-2.7575853057032251E-2</v>
      </c>
      <c r="AP84" s="10">
        <v>81</v>
      </c>
      <c r="AQ84">
        <f t="shared" si="22"/>
        <v>-0.24190268784169977</v>
      </c>
      <c r="AR84">
        <f t="shared" si="21"/>
        <v>-0.25307779656070706</v>
      </c>
      <c r="AS84">
        <f t="shared" si="21"/>
        <v>-0.26521803428517787</v>
      </c>
      <c r="AT84">
        <f t="shared" si="21"/>
        <v>-0.27856687628289034</v>
      </c>
      <c r="AU84">
        <f t="shared" si="21"/>
        <v>-0.29347544151175309</v>
      </c>
      <c r="AV84">
        <f t="shared" si="21"/>
        <v>-0.31047873855676078</v>
      </c>
      <c r="AW84">
        <f t="shared" si="21"/>
        <v>-0.33045542418182683</v>
      </c>
      <c r="AX84">
        <f t="shared" si="21"/>
        <v>-0.35501421973132652</v>
      </c>
      <c r="AY84">
        <f t="shared" si="21"/>
        <v>-0.38766085968821729</v>
      </c>
      <c r="AZ84">
        <f t="shared" si="21"/>
        <v>-0.43911600493902925</v>
      </c>
      <c r="BA84">
        <f t="shared" si="21"/>
        <v>-0.48620753834833286</v>
      </c>
    </row>
    <row r="85" spans="1:53">
      <c r="A85" s="3" t="s">
        <v>99</v>
      </c>
      <c r="B85" s="1">
        <v>81.550003000000004</v>
      </c>
      <c r="C85" s="1">
        <v>82.540001000000004</v>
      </c>
      <c r="D85" s="1">
        <v>80.150002000000001</v>
      </c>
      <c r="E85" s="1">
        <v>81.510002</v>
      </c>
      <c r="F85" s="1">
        <v>81.510002</v>
      </c>
      <c r="G85" s="1">
        <v>21025300</v>
      </c>
      <c r="H85" s="4">
        <v>45000</v>
      </c>
      <c r="I85" s="2">
        <v>75.239998</v>
      </c>
      <c r="J85" s="2">
        <v>76.25</v>
      </c>
      <c r="K85" s="2">
        <v>72.599997999999999</v>
      </c>
      <c r="L85" s="2">
        <v>75.230002999999996</v>
      </c>
      <c r="M85" s="2">
        <v>75.230002999999996</v>
      </c>
      <c r="N85" s="2">
        <v>4121800</v>
      </c>
      <c r="O85">
        <f t="shared" si="23"/>
        <v>0.47996682786886474</v>
      </c>
      <c r="P85">
        <f t="shared" si="24"/>
        <v>0.52003317213113531</v>
      </c>
      <c r="Q85">
        <f t="shared" si="25"/>
        <v>239.98341393443238</v>
      </c>
      <c r="R85">
        <f t="shared" si="26"/>
        <v>260.01658606556765</v>
      </c>
      <c r="S85">
        <f t="shared" si="27"/>
        <v>500</v>
      </c>
      <c r="T85" s="10">
        <f t="shared" si="28"/>
        <v>-2.7906929705591638E-2</v>
      </c>
      <c r="U85" s="11">
        <f t="shared" si="29"/>
        <v>-1.8397651597046687E-2</v>
      </c>
      <c r="V85">
        <f t="shared" si="31"/>
        <v>-2.2961789646127845E-2</v>
      </c>
      <c r="W85">
        <v>41</v>
      </c>
      <c r="X85">
        <f t="shared" si="30"/>
        <v>4.7467159964892196E-3</v>
      </c>
      <c r="Y85">
        <f t="shared" si="32"/>
        <v>9.345215536284495E-6</v>
      </c>
      <c r="Z85">
        <f t="shared" si="33"/>
        <v>2.0485796169244259E-5</v>
      </c>
      <c r="AA85">
        <f t="shared" si="34"/>
        <v>1.3369369671129239E-5</v>
      </c>
      <c r="AC85" s="10">
        <v>82</v>
      </c>
      <c r="AD85">
        <f>MC($AC85,0,$T$128,$AE$2,AD$3)+MC($AC85,0,$U$128,$AE$2,AD$3)-MC($AC85,0,$V$128,$AE$2,AD$3)</f>
        <v>-1.4273205039964099E-2</v>
      </c>
      <c r="AE85">
        <f>MC($AC85,0,$T$128,$AE$2,AE$3)+MC($AC85,0,$U$128,$AE$2,AE$3)-MC($AC85,0,$V$128,$AE$2,AE$3)</f>
        <v>-1.2709816206841085E-2</v>
      </c>
      <c r="AF85">
        <f>MC($AC85,0,$T$128,$AE$2,AF$3)+MC($AC85,0,$U$128,$AE$2,AF$3)-MC($AC85,0,$V$128,$AE$2,AF$3)</f>
        <v>-1.5560687232877068E-2</v>
      </c>
      <c r="AG85">
        <f>MC($AC85,0,$T$128,$AE$2,AG$3)+MC($AC85,0,$U$128,$AE$2,AG$3)-MC($AC85,0,$V$128,$AE$2,AG$3)</f>
        <v>-1.4009888298464945E-2</v>
      </c>
      <c r="AH85">
        <f>MC($AC85,0,$T$128,$AE$2,AH$3)+MC($AC85,0,$U$128,$AE$2,AH$3)-MC($AC85,0,$V$128,$AE$2,AH$3)</f>
        <v>-1.8923753436935531E-2</v>
      </c>
      <c r="AI85">
        <f>MC($AC85,0,$T$128,$AE$2,AI$3)+MC($AC85,0,$U$128,$AE$2,AI$3)-MC($AC85,0,$V$128,$AE$2,AI$3)</f>
        <v>-1.8302419232141709E-2</v>
      </c>
      <c r="AJ85">
        <f>MC($AC85,0,$T$128,$AE$2,AJ$3)+MC($AC85,0,$U$128,$AE$2,AJ$3)-MC($AC85,0,$V$128,$AE$2,AJ$3)</f>
        <v>-1.9277644786726E-2</v>
      </c>
      <c r="AK85">
        <f>MC($AC85,0,$T$128,$AE$2,AK$3)+MC($AC85,0,$U$128,$AE$2,AK$3)-MC($AC85,0,$V$128,$AE$2,AK$3)</f>
        <v>-2.5484609280661763E-2</v>
      </c>
      <c r="AL85">
        <f>MC($AC85,0,$T$128,$AE$2,AL$3)+MC($AC85,0,$U$128,$AE$2,AL$3)-MC($AC85,0,$V$128,$AE$2,AL$3)</f>
        <v>-2.6057413241228788E-2</v>
      </c>
      <c r="AM85">
        <f>MC($AC85,0,$T$128,$AE$2,AM$3)+MC($AC85,0,$U$128,$AE$2,AM$3)-MC($AC85,0,$V$128,$AE$2,AM$3)</f>
        <v>-2.5199709185362407E-2</v>
      </c>
      <c r="AN85">
        <f>MC($AC85,0,$T$128,$AE$2,AN$3)+MC($AC85,0,$U$128,$AE$2,AN$3)-MC($AC85,0,$V$128,$AE$2,AN$3)</f>
        <v>-3.0106299726517571E-2</v>
      </c>
      <c r="AP85" s="10">
        <v>82</v>
      </c>
      <c r="AQ85">
        <f t="shared" si="22"/>
        <v>-0.24339133381746914</v>
      </c>
      <c r="AR85">
        <f t="shared" si="21"/>
        <v>-0.25463521308537673</v>
      </c>
      <c r="AS85">
        <f t="shared" si="21"/>
        <v>-0.26685016067022427</v>
      </c>
      <c r="AT85">
        <f t="shared" si="21"/>
        <v>-0.28028115016327204</v>
      </c>
      <c r="AU85">
        <f t="shared" si="21"/>
        <v>-0.29528146127487176</v>
      </c>
      <c r="AV85">
        <f t="shared" si="21"/>
        <v>-0.312389394981616</v>
      </c>
      <c r="AW85">
        <f t="shared" si="21"/>
        <v>-0.33248901521700103</v>
      </c>
      <c r="AX85">
        <f t="shared" ref="AR85:BA103" si="35">$T$128*SQRT($AP85)*_xlfn.NORM.INV(1-AX$3,0,1)+$U$128*SQRT($AP85)*_xlfn.NORM.INV(1-AX$3,0,1)-$V$128*SQRT($AP85)*_xlfn.NORM.INV(1-AX$3,0,1)</f>
        <v>-0.35719894324250034</v>
      </c>
      <c r="AY85">
        <f t="shared" si="35"/>
        <v>-0.39004648749536197</v>
      </c>
      <c r="AZ85">
        <f t="shared" si="35"/>
        <v>-0.44181828278257318</v>
      </c>
      <c r="BA85">
        <f t="shared" si="35"/>
        <v>-0.48919961297887471</v>
      </c>
    </row>
    <row r="86" spans="1:53">
      <c r="A86" s="3" t="s">
        <v>100</v>
      </c>
      <c r="B86" s="1">
        <v>81.459998999999996</v>
      </c>
      <c r="C86" s="1">
        <v>82.480002999999996</v>
      </c>
      <c r="D86" s="1">
        <v>80.660004000000001</v>
      </c>
      <c r="E86" s="1">
        <v>82.220000999999996</v>
      </c>
      <c r="F86" s="1">
        <v>82.220000999999996</v>
      </c>
      <c r="G86" s="1">
        <v>22877500</v>
      </c>
      <c r="H86" s="4">
        <v>45001</v>
      </c>
      <c r="I86" s="2">
        <v>75.5</v>
      </c>
      <c r="J86" s="2">
        <v>78.510002</v>
      </c>
      <c r="K86" s="2">
        <v>74.199996999999996</v>
      </c>
      <c r="L86" s="2">
        <v>78.269997000000004</v>
      </c>
      <c r="M86" s="2">
        <v>78.269997000000004</v>
      </c>
      <c r="N86" s="2">
        <v>3542300</v>
      </c>
      <c r="O86">
        <f t="shared" si="23"/>
        <v>0.48769392470177486</v>
      </c>
      <c r="P86">
        <f t="shared" si="24"/>
        <v>0.51230607529822503</v>
      </c>
      <c r="Q86">
        <f t="shared" si="25"/>
        <v>243.84696235088742</v>
      </c>
      <c r="R86">
        <f t="shared" si="26"/>
        <v>256.15303764911249</v>
      </c>
      <c r="S86">
        <f t="shared" si="27"/>
        <v>499.99999999999989</v>
      </c>
      <c r="T86" s="10">
        <f t="shared" si="28"/>
        <v>8.7105751757924916E-3</v>
      </c>
      <c r="U86" s="11">
        <f t="shared" si="29"/>
        <v>4.0409329772325107E-2</v>
      </c>
      <c r="V86">
        <f t="shared" si="31"/>
        <v>2.4950039734983685E-2</v>
      </c>
      <c r="W86">
        <v>40</v>
      </c>
      <c r="X86">
        <f t="shared" si="30"/>
        <v>5.0496978686055535E-3</v>
      </c>
      <c r="Y86">
        <f t="shared" si="32"/>
        <v>2.6555775736857799E-7</v>
      </c>
      <c r="Z86">
        <f t="shared" si="33"/>
        <v>1.4981156075170999E-7</v>
      </c>
      <c r="AA86">
        <f t="shared" si="34"/>
        <v>9.0871777276814688E-8</v>
      </c>
      <c r="AC86" s="10">
        <v>83</v>
      </c>
      <c r="AD86">
        <f>MC($AC86,0,$T$128,$AE$2,AD$3)+MC($AC86,0,$U$128,$AE$2,AD$3)-MC($AC86,0,$V$128,$AE$2,AD$3)</f>
        <v>-1.4081510601754887E-2</v>
      </c>
      <c r="AE86">
        <f>MC($AC86,0,$T$128,$AE$2,AE$3)+MC($AC86,0,$U$128,$AE$2,AE$3)-MC($AC86,0,$V$128,$AE$2,AE$3)</f>
        <v>-1.6863469584839974E-2</v>
      </c>
      <c r="AF86">
        <f>MC($AC86,0,$T$128,$AE$2,AF$3)+MC($AC86,0,$U$128,$AE$2,AF$3)-MC($AC86,0,$V$128,$AE$2,AF$3)</f>
        <v>-1.683432906536475E-2</v>
      </c>
      <c r="AG86">
        <f>MC($AC86,0,$T$128,$AE$2,AG$3)+MC($AC86,0,$U$128,$AE$2,AG$3)-MC($AC86,0,$V$128,$AE$2,AG$3)</f>
        <v>-2.1541448717201428E-2</v>
      </c>
      <c r="AH86">
        <f>MC($AC86,0,$T$128,$AE$2,AH$3)+MC($AC86,0,$U$128,$AE$2,AH$3)-MC($AC86,0,$V$128,$AE$2,AH$3)</f>
        <v>-1.7516675715255614E-2</v>
      </c>
      <c r="AI86">
        <f>MC($AC86,0,$T$128,$AE$2,AI$3)+MC($AC86,0,$U$128,$AE$2,AI$3)-MC($AC86,0,$V$128,$AE$2,AI$3)</f>
        <v>-2.3138875636017797E-2</v>
      </c>
      <c r="AJ86">
        <f>MC($AC86,0,$T$128,$AE$2,AJ$3)+MC($AC86,0,$U$128,$AE$2,AJ$3)-MC($AC86,0,$V$128,$AE$2,AJ$3)</f>
        <v>-1.7977335084021329E-2</v>
      </c>
      <c r="AK86">
        <f>MC($AC86,0,$T$128,$AE$2,AK$3)+MC($AC86,0,$U$128,$AE$2,AK$3)-MC($AC86,0,$V$128,$AE$2,AK$3)</f>
        <v>-2.2191301883723646E-2</v>
      </c>
      <c r="AL86">
        <f>MC($AC86,0,$T$128,$AE$2,AL$3)+MC($AC86,0,$U$128,$AE$2,AL$3)-MC($AC86,0,$V$128,$AE$2,AL$3)</f>
        <v>-2.578191500731486E-2</v>
      </c>
      <c r="AM86">
        <f>MC($AC86,0,$T$128,$AE$2,AM$3)+MC($AC86,0,$U$128,$AE$2,AM$3)-MC($AC86,0,$V$128,$AE$2,AM$3)</f>
        <v>-3.2196362112807408E-2</v>
      </c>
      <c r="AN86">
        <f>MC($AC86,0,$T$128,$AE$2,AN$3)+MC($AC86,0,$U$128,$AE$2,AN$3)-MC($AC86,0,$V$128,$AE$2,AN$3)</f>
        <v>-3.8971105788075944E-2</v>
      </c>
      <c r="AP86" s="10">
        <v>83</v>
      </c>
      <c r="AQ86">
        <f t="shared" si="22"/>
        <v>-0.24487093002203142</v>
      </c>
      <c r="AR86">
        <f t="shared" si="35"/>
        <v>-0.25618316176916822</v>
      </c>
      <c r="AS86">
        <f t="shared" si="35"/>
        <v>-0.26847236503848082</v>
      </c>
      <c r="AT86">
        <f t="shared" si="35"/>
        <v>-0.28198500263610893</v>
      </c>
      <c r="AU86">
        <f t="shared" si="35"/>
        <v>-0.2970765018892082</v>
      </c>
      <c r="AV86">
        <f t="shared" si="35"/>
        <v>-0.31428843615087521</v>
      </c>
      <c r="AW86">
        <f t="shared" si="35"/>
        <v>-0.33451024365294335</v>
      </c>
      <c r="AX86">
        <f t="shared" si="35"/>
        <v>-0.35937038539044319</v>
      </c>
      <c r="AY86">
        <f t="shared" si="35"/>
        <v>-0.3924176126026091</v>
      </c>
      <c r="AZ86">
        <f t="shared" si="35"/>
        <v>-0.44450413294846958</v>
      </c>
      <c r="BA86">
        <f t="shared" si="35"/>
        <v>-0.49217349820019352</v>
      </c>
    </row>
    <row r="87" spans="1:53">
      <c r="A87" s="3" t="s">
        <v>101</v>
      </c>
      <c r="B87" s="1">
        <v>84</v>
      </c>
      <c r="C87" s="1">
        <v>84.160004000000001</v>
      </c>
      <c r="D87" s="1">
        <v>80.620002999999997</v>
      </c>
      <c r="E87" s="1">
        <v>81.669998000000007</v>
      </c>
      <c r="F87" s="1">
        <v>81.669998000000007</v>
      </c>
      <c r="G87" s="1">
        <v>23711100</v>
      </c>
      <c r="H87" s="4">
        <v>45002</v>
      </c>
      <c r="I87" s="2">
        <v>79</v>
      </c>
      <c r="J87" s="2">
        <v>79.650002000000001</v>
      </c>
      <c r="K87" s="2">
        <v>77.209998999999996</v>
      </c>
      <c r="L87" s="2">
        <v>78.400002000000001</v>
      </c>
      <c r="M87" s="2">
        <v>78.400002000000001</v>
      </c>
      <c r="N87" s="2">
        <v>3427900</v>
      </c>
      <c r="O87">
        <f t="shared" si="23"/>
        <v>0.4897857312425814</v>
      </c>
      <c r="P87">
        <f t="shared" si="24"/>
        <v>0.51021426875741871</v>
      </c>
      <c r="Q87">
        <f t="shared" si="25"/>
        <v>244.8928656212907</v>
      </c>
      <c r="R87">
        <f t="shared" si="26"/>
        <v>255.10713437870936</v>
      </c>
      <c r="S87">
        <f t="shared" si="27"/>
        <v>500.00000000000006</v>
      </c>
      <c r="T87" s="10">
        <f t="shared" si="28"/>
        <v>-6.6894063890851766E-3</v>
      </c>
      <c r="U87" s="11">
        <f t="shared" si="29"/>
        <v>1.6609812825212837E-3</v>
      </c>
      <c r="V87">
        <f t="shared" si="31"/>
        <v>-2.4289194493755232E-3</v>
      </c>
      <c r="W87">
        <v>39</v>
      </c>
      <c r="X87">
        <f t="shared" si="30"/>
        <v>5.372019009154844E-3</v>
      </c>
      <c r="Y87">
        <f t="shared" si="32"/>
        <v>2.6393279547024883E-6</v>
      </c>
      <c r="Z87">
        <f t="shared" si="33"/>
        <v>9.8398370086901207E-6</v>
      </c>
      <c r="AA87">
        <f t="shared" si="34"/>
        <v>5.0735546170974393E-6</v>
      </c>
      <c r="AC87" s="10">
        <v>84</v>
      </c>
      <c r="AD87">
        <f>MC($AC87,0,$T$128,$AE$2,AD$3)+MC($AC87,0,$U$128,$AE$2,AD$3)-MC($AC87,0,$V$128,$AE$2,AD$3)</f>
        <v>-1.6831662320218488E-2</v>
      </c>
      <c r="AE87">
        <f>MC($AC87,0,$T$128,$AE$2,AE$3)+MC($AC87,0,$U$128,$AE$2,AE$3)-MC($AC87,0,$V$128,$AE$2,AE$3)</f>
        <v>-1.6397921056223952E-2</v>
      </c>
      <c r="AF87">
        <f>MC($AC87,0,$T$128,$AE$2,AF$3)+MC($AC87,0,$U$128,$AE$2,AF$3)-MC($AC87,0,$V$128,$AE$2,AF$3)</f>
        <v>-1.9058959906499862E-2</v>
      </c>
      <c r="AG87">
        <f>MC($AC87,0,$T$128,$AE$2,AG$3)+MC($AC87,0,$U$128,$AE$2,AG$3)-MC($AC87,0,$V$128,$AE$2,AG$3)</f>
        <v>-1.7818676353531959E-2</v>
      </c>
      <c r="AH87">
        <f>MC($AC87,0,$T$128,$AE$2,AH$3)+MC($AC87,0,$U$128,$AE$2,AH$3)-MC($AC87,0,$V$128,$AE$2,AH$3)</f>
        <v>-1.7877898745024767E-2</v>
      </c>
      <c r="AI87">
        <f>MC($AC87,0,$T$128,$AE$2,AI$3)+MC($AC87,0,$U$128,$AE$2,AI$3)-MC($AC87,0,$V$128,$AE$2,AI$3)</f>
        <v>-1.9272775269199682E-2</v>
      </c>
      <c r="AJ87">
        <f>MC($AC87,0,$T$128,$AE$2,AJ$3)+MC($AC87,0,$U$128,$AE$2,AJ$3)-MC($AC87,0,$V$128,$AE$2,AJ$3)</f>
        <v>-2.1805678620822944E-2</v>
      </c>
      <c r="AK87">
        <f>MC($AC87,0,$T$128,$AE$2,AK$3)+MC($AC87,0,$U$128,$AE$2,AK$3)-MC($AC87,0,$V$128,$AE$2,AK$3)</f>
        <v>-2.6443607567570915E-2</v>
      </c>
      <c r="AL87">
        <f>MC($AC87,0,$T$128,$AE$2,AL$3)+MC($AC87,0,$U$128,$AE$2,AL$3)-MC($AC87,0,$V$128,$AE$2,AL$3)</f>
        <v>-2.0462855788018208E-2</v>
      </c>
      <c r="AM87">
        <f>MC($AC87,0,$T$128,$AE$2,AM$3)+MC($AC87,0,$U$128,$AE$2,AM$3)-MC($AC87,0,$V$128,$AE$2,AM$3)</f>
        <v>-2.7903005420872429E-2</v>
      </c>
      <c r="AN87">
        <f>MC($AC87,0,$T$128,$AE$2,AN$3)+MC($AC87,0,$U$128,$AE$2,AN$3)-MC($AC87,0,$V$128,$AE$2,AN$3)</f>
        <v>-3.5082839210204497E-2</v>
      </c>
      <c r="AP87" s="10">
        <v>84</v>
      </c>
      <c r="AQ87">
        <f t="shared" si="22"/>
        <v>-0.24634163952174715</v>
      </c>
      <c r="AR87">
        <f t="shared" si="35"/>
        <v>-0.25772181321157195</v>
      </c>
      <c r="AS87">
        <f t="shared" si="35"/>
        <v>-0.27008482617315999</v>
      </c>
      <c r="AT87">
        <f t="shared" si="35"/>
        <v>-0.28367862148305389</v>
      </c>
      <c r="AU87">
        <f t="shared" si="35"/>
        <v>-0.29886076118626503</v>
      </c>
      <c r="AV87">
        <f t="shared" si="35"/>
        <v>-0.31617607135794656</v>
      </c>
      <c r="AW87">
        <f t="shared" si="35"/>
        <v>-0.33651933224932484</v>
      </c>
      <c r="AX87">
        <f t="shared" si="35"/>
        <v>-0.3615287854898861</v>
      </c>
      <c r="AY87">
        <f t="shared" si="35"/>
        <v>-0.39477449633175798</v>
      </c>
      <c r="AZ87">
        <f t="shared" si="35"/>
        <v>-0.44717385144437838</v>
      </c>
      <c r="BA87">
        <f t="shared" si="35"/>
        <v>-0.49512952176430658</v>
      </c>
    </row>
    <row r="88" spans="1:53">
      <c r="A88" s="3" t="s">
        <v>102</v>
      </c>
      <c r="B88" s="1">
        <v>80.150002000000001</v>
      </c>
      <c r="C88" s="1">
        <v>81.900002000000001</v>
      </c>
      <c r="D88" s="1">
        <v>79.480002999999996</v>
      </c>
      <c r="E88" s="1">
        <v>81</v>
      </c>
      <c r="F88" s="1">
        <v>81</v>
      </c>
      <c r="G88" s="1">
        <v>19536500</v>
      </c>
      <c r="H88" s="4">
        <v>45005</v>
      </c>
      <c r="I88" s="2">
        <v>77.160004000000001</v>
      </c>
      <c r="J88" s="2">
        <v>78.510002</v>
      </c>
      <c r="K88" s="2">
        <v>75.529999000000004</v>
      </c>
      <c r="L88" s="2">
        <v>76.910004000000001</v>
      </c>
      <c r="M88" s="2">
        <v>76.910004000000001</v>
      </c>
      <c r="N88" s="2">
        <v>3292200</v>
      </c>
      <c r="O88">
        <f t="shared" si="23"/>
        <v>0.48704959820025079</v>
      </c>
      <c r="P88">
        <f t="shared" si="24"/>
        <v>0.51295040179974916</v>
      </c>
      <c r="Q88">
        <f t="shared" si="25"/>
        <v>243.52479910012539</v>
      </c>
      <c r="R88">
        <f t="shared" si="26"/>
        <v>256.47520089987455</v>
      </c>
      <c r="S88">
        <f t="shared" si="27"/>
        <v>499.99999999999994</v>
      </c>
      <c r="T88" s="10">
        <f t="shared" si="28"/>
        <v>-8.2037224979484725E-3</v>
      </c>
      <c r="U88" s="11">
        <f t="shared" si="29"/>
        <v>-1.9005076045788875E-2</v>
      </c>
      <c r="V88">
        <f t="shared" si="31"/>
        <v>-1.3744281140294353E-2</v>
      </c>
      <c r="W88">
        <v>38</v>
      </c>
      <c r="X88">
        <f t="shared" si="30"/>
        <v>5.7149138395264304E-3</v>
      </c>
      <c r="Y88">
        <f t="shared" si="32"/>
        <v>3.0782152637421588E-6</v>
      </c>
      <c r="Z88">
        <f t="shared" si="33"/>
        <v>2.2046022158983102E-5</v>
      </c>
      <c r="AA88">
        <f t="shared" si="34"/>
        <v>9.6936143328805887E-6</v>
      </c>
      <c r="AC88" s="10">
        <v>85</v>
      </c>
      <c r="AD88">
        <f>MC($AC88,0,$T$128,$AE$2,AD$3)+MC($AC88,0,$U$128,$AE$2,AD$3)-MC($AC88,0,$V$128,$AE$2,AD$3)</f>
        <v>-1.7227239726805843E-2</v>
      </c>
      <c r="AE88">
        <f>MC($AC88,0,$T$128,$AE$2,AE$3)+MC($AC88,0,$U$128,$AE$2,AE$3)-MC($AC88,0,$V$128,$AE$2,AE$3)</f>
        <v>-1.3806401665079404E-2</v>
      </c>
      <c r="AF88">
        <f>MC($AC88,0,$T$128,$AE$2,AF$3)+MC($AC88,0,$U$128,$AE$2,AF$3)-MC($AC88,0,$V$128,$AE$2,AF$3)</f>
        <v>-1.3038607139467473E-2</v>
      </c>
      <c r="AG88">
        <f>MC($AC88,0,$T$128,$AE$2,AG$3)+MC($AC88,0,$U$128,$AE$2,AG$3)-MC($AC88,0,$V$128,$AE$2,AG$3)</f>
        <v>-1.4993390864412426E-2</v>
      </c>
      <c r="AH88">
        <f>MC($AC88,0,$T$128,$AE$2,AH$3)+MC($AC88,0,$U$128,$AE$2,AH$3)-MC($AC88,0,$V$128,$AE$2,AH$3)</f>
        <v>-1.4918129828069393E-2</v>
      </c>
      <c r="AI88">
        <f>MC($AC88,0,$T$128,$AE$2,AI$3)+MC($AC88,0,$U$128,$AE$2,AI$3)-MC($AC88,0,$V$128,$AE$2,AI$3)</f>
        <v>-2.0241472268084593E-2</v>
      </c>
      <c r="AJ88">
        <f>MC($AC88,0,$T$128,$AE$2,AJ$3)+MC($AC88,0,$U$128,$AE$2,AJ$3)-MC($AC88,0,$V$128,$AE$2,AJ$3)</f>
        <v>-2.2193919268266749E-2</v>
      </c>
      <c r="AK88">
        <f>MC($AC88,0,$T$128,$AE$2,AK$3)+MC($AC88,0,$U$128,$AE$2,AK$3)-MC($AC88,0,$V$128,$AE$2,AK$3)</f>
        <v>-2.5786101503117553E-2</v>
      </c>
      <c r="AL88">
        <f>MC($AC88,0,$T$128,$AE$2,AL$3)+MC($AC88,0,$U$128,$AE$2,AL$3)-MC($AC88,0,$V$128,$AE$2,AL$3)</f>
        <v>-2.8575652863124246E-2</v>
      </c>
      <c r="AM88">
        <f>MC($AC88,0,$T$128,$AE$2,AM$3)+MC($AC88,0,$U$128,$AE$2,AM$3)-MC($AC88,0,$V$128,$AE$2,AM$3)</f>
        <v>-2.4169654640547433E-2</v>
      </c>
      <c r="AN88">
        <f>MC($AC88,0,$T$128,$AE$2,AN$3)+MC($AC88,0,$U$128,$AE$2,AN$3)-MC($AC88,0,$V$128,$AE$2,AN$3)</f>
        <v>-3.3936033195385518E-2</v>
      </c>
      <c r="AP88" s="10">
        <v>85</v>
      </c>
      <c r="AQ88">
        <f t="shared" si="22"/>
        <v>-0.24780362054391047</v>
      </c>
      <c r="AR88">
        <f t="shared" si="35"/>
        <v>-0.25925133294946257</v>
      </c>
      <c r="AS88">
        <f t="shared" si="35"/>
        <v>-0.27168771755200283</v>
      </c>
      <c r="AT88">
        <f t="shared" si="35"/>
        <v>-0.28536218891325726</v>
      </c>
      <c r="AU88">
        <f t="shared" si="35"/>
        <v>-0.30063443112680721</v>
      </c>
      <c r="AV88">
        <f t="shared" si="35"/>
        <v>-0.31805250368536353</v>
      </c>
      <c r="AW88">
        <f t="shared" si="35"/>
        <v>-0.33851649715532584</v>
      </c>
      <c r="AX88">
        <f t="shared" si="35"/>
        <v>-0.3636743757537898</v>
      </c>
      <c r="AY88">
        <f t="shared" si="35"/>
        <v>-0.39711739224976639</v>
      </c>
      <c r="AZ88">
        <f t="shared" si="35"/>
        <v>-0.44982772549380257</v>
      </c>
      <c r="BA88">
        <f t="shared" si="35"/>
        <v>-0.49806800169704357</v>
      </c>
    </row>
    <row r="89" spans="1:53">
      <c r="A89" s="3" t="s">
        <v>103</v>
      </c>
      <c r="B89" s="1">
        <v>82.459998999999996</v>
      </c>
      <c r="C89" s="1">
        <v>84.087997000000001</v>
      </c>
      <c r="D89" s="1">
        <v>82</v>
      </c>
      <c r="E89" s="1">
        <v>83.699996999999996</v>
      </c>
      <c r="F89" s="1">
        <v>83.699996999999996</v>
      </c>
      <c r="G89" s="1">
        <v>16529400</v>
      </c>
      <c r="H89" s="4">
        <v>45006</v>
      </c>
      <c r="I89" s="2">
        <v>77.199996999999996</v>
      </c>
      <c r="J89" s="2">
        <v>80.739998</v>
      </c>
      <c r="K89" s="2">
        <v>76.319999999999993</v>
      </c>
      <c r="L89" s="2">
        <v>79.860000999999997</v>
      </c>
      <c r="M89" s="2">
        <v>79.860000999999997</v>
      </c>
      <c r="N89" s="2">
        <v>4634700</v>
      </c>
      <c r="O89">
        <f t="shared" si="23"/>
        <v>0.48826120063904621</v>
      </c>
      <c r="P89">
        <f t="shared" si="24"/>
        <v>0.51173879936095368</v>
      </c>
      <c r="Q89">
        <f t="shared" si="25"/>
        <v>244.1306003195231</v>
      </c>
      <c r="R89">
        <f t="shared" si="26"/>
        <v>255.86939968047685</v>
      </c>
      <c r="S89">
        <f t="shared" si="27"/>
        <v>499.99999999999994</v>
      </c>
      <c r="T89" s="10">
        <f t="shared" si="28"/>
        <v>3.333329629629625E-2</v>
      </c>
      <c r="U89" s="11">
        <f t="shared" si="29"/>
        <v>3.8356479606996202E-2</v>
      </c>
      <c r="V89">
        <f t="shared" si="31"/>
        <v>3.5903854092683818E-2</v>
      </c>
      <c r="W89">
        <v>37</v>
      </c>
      <c r="X89">
        <f t="shared" si="30"/>
        <v>6.0796955739642871E-3</v>
      </c>
      <c r="Y89">
        <f t="shared" si="32"/>
        <v>2.1455513967304737E-6</v>
      </c>
      <c r="Z89">
        <f t="shared" si="33"/>
        <v>7.1740748855107123E-8</v>
      </c>
      <c r="AA89">
        <f t="shared" si="34"/>
        <v>5.2574084682843988E-7</v>
      </c>
      <c r="AC89" s="10">
        <v>86</v>
      </c>
      <c r="AD89">
        <f>MC($AC89,0,$T$128,$AE$2,AD$3)+MC($AC89,0,$U$128,$AE$2,AD$3)-MC($AC89,0,$V$128,$AE$2,AD$3)</f>
        <v>-1.7196019235310223E-2</v>
      </c>
      <c r="AE89">
        <f>MC($AC89,0,$T$128,$AE$2,AE$3)+MC($AC89,0,$U$128,$AE$2,AE$3)-MC($AC89,0,$V$128,$AE$2,AE$3)</f>
        <v>-1.7606763315609841E-2</v>
      </c>
      <c r="AF89">
        <f>MC($AC89,0,$T$128,$AE$2,AF$3)+MC($AC89,0,$U$128,$AE$2,AF$3)-MC($AC89,0,$V$128,$AE$2,AF$3)</f>
        <v>-2.0237746883810193E-2</v>
      </c>
      <c r="AG89">
        <f>MC($AC89,0,$T$128,$AE$2,AG$3)+MC($AC89,0,$U$128,$AE$2,AG$3)-MC($AC89,0,$V$128,$AE$2,AG$3)</f>
        <v>-1.9576020195455346E-2</v>
      </c>
      <c r="AH89">
        <f>MC($AC89,0,$T$128,$AE$2,AH$3)+MC($AC89,0,$U$128,$AE$2,AH$3)-MC($AC89,0,$V$128,$AE$2,AH$3)</f>
        <v>-2.1846924704119086E-2</v>
      </c>
      <c r="AI89">
        <f>MC($AC89,0,$T$128,$AE$2,AI$3)+MC($AC89,0,$U$128,$AE$2,AI$3)-MC($AC89,0,$V$128,$AE$2,AI$3)</f>
        <v>-1.9133630169024363E-2</v>
      </c>
      <c r="AJ89">
        <f>MC($AC89,0,$T$128,$AE$2,AJ$3)+MC($AC89,0,$U$128,$AE$2,AJ$3)-MC($AC89,0,$V$128,$AE$2,AJ$3)</f>
        <v>-1.5238267541762829E-2</v>
      </c>
      <c r="AK89">
        <f>MC($AC89,0,$T$128,$AE$2,AK$3)+MC($AC89,0,$U$128,$AE$2,AK$3)-MC($AC89,0,$V$128,$AE$2,AK$3)</f>
        <v>-2.0912415676146656E-2</v>
      </c>
      <c r="AL89">
        <f>MC($AC89,0,$T$128,$AE$2,AL$3)+MC($AC89,0,$U$128,$AE$2,AL$3)-MC($AC89,0,$V$128,$AE$2,AL$3)</f>
        <v>-2.590409135633287E-2</v>
      </c>
      <c r="AM89">
        <f>MC($AC89,0,$T$128,$AE$2,AM$3)+MC($AC89,0,$U$128,$AE$2,AM$3)-MC($AC89,0,$V$128,$AE$2,AM$3)</f>
        <v>-2.4758903293164991E-2</v>
      </c>
      <c r="AN89">
        <f>MC($AC89,0,$T$128,$AE$2,AN$3)+MC($AC89,0,$U$128,$AE$2,AN$3)-MC($AC89,0,$V$128,$AE$2,AN$3)</f>
        <v>-3.1927477652176295E-2</v>
      </c>
      <c r="AP89" s="10">
        <v>86</v>
      </c>
      <c r="AQ89">
        <f t="shared" si="22"/>
        <v>-0.24925702667543459</v>
      </c>
      <c r="AR89">
        <f t="shared" si="35"/>
        <v>-0.26077188166496368</v>
      </c>
      <c r="AS89">
        <f t="shared" si="35"/>
        <v>-0.27328120756511542</v>
      </c>
      <c r="AT89">
        <f t="shared" si="35"/>
        <v>-0.2870358817921641</v>
      </c>
      <c r="AU89">
        <f t="shared" si="35"/>
        <v>-0.30239769804190686</v>
      </c>
      <c r="AV89">
        <f t="shared" si="35"/>
        <v>-0.31991793025979465</v>
      </c>
      <c r="AW89">
        <f t="shared" si="35"/>
        <v>-0.34050194818105228</v>
      </c>
      <c r="AX89">
        <f t="shared" si="35"/>
        <v>-0.36580738158493387</v>
      </c>
      <c r="AY89">
        <f t="shared" si="35"/>
        <v>-0.39944654648715761</v>
      </c>
      <c r="AZ89">
        <f t="shared" si="35"/>
        <v>-0.45246603389675144</v>
      </c>
      <c r="BA89">
        <f t="shared" si="35"/>
        <v>-0.50098924669739309</v>
      </c>
    </row>
    <row r="90" spans="1:53">
      <c r="A90" s="3" t="s">
        <v>104</v>
      </c>
      <c r="B90" s="1">
        <v>84.839995999999999</v>
      </c>
      <c r="C90" s="1">
        <v>85.389999000000003</v>
      </c>
      <c r="D90" s="1">
        <v>83.510002</v>
      </c>
      <c r="E90" s="1">
        <v>83.650002000000001</v>
      </c>
      <c r="F90" s="1">
        <v>83.650002000000001</v>
      </c>
      <c r="G90" s="1">
        <v>21204700</v>
      </c>
      <c r="H90" s="4">
        <v>45007</v>
      </c>
      <c r="I90" s="2">
        <v>80.980002999999996</v>
      </c>
      <c r="J90" s="2">
        <v>81.480002999999996</v>
      </c>
      <c r="K90" s="2">
        <v>77.639999000000003</v>
      </c>
      <c r="L90" s="2">
        <v>77.660004000000001</v>
      </c>
      <c r="M90" s="2">
        <v>77.660004000000001</v>
      </c>
      <c r="N90" s="2">
        <v>5069200</v>
      </c>
      <c r="O90">
        <f t="shared" si="23"/>
        <v>0.4814332720314945</v>
      </c>
      <c r="P90">
        <f t="shared" si="24"/>
        <v>0.51856672796850556</v>
      </c>
      <c r="Q90">
        <f t="shared" si="25"/>
        <v>240.71663601574724</v>
      </c>
      <c r="R90">
        <f t="shared" si="26"/>
        <v>259.28336398425279</v>
      </c>
      <c r="S90">
        <f t="shared" si="27"/>
        <v>500</v>
      </c>
      <c r="T90" s="10">
        <f t="shared" si="28"/>
        <v>-5.973118493659632E-4</v>
      </c>
      <c r="U90" s="11">
        <f t="shared" si="29"/>
        <v>-2.7548171455695276E-2</v>
      </c>
      <c r="V90">
        <f t="shared" si="31"/>
        <v>-1.4573130931358721E-2</v>
      </c>
      <c r="W90">
        <v>36</v>
      </c>
      <c r="X90">
        <f t="shared" si="30"/>
        <v>6.4677612488981779E-3</v>
      </c>
      <c r="Y90">
        <f t="shared" si="32"/>
        <v>1.3979381977535031E-6</v>
      </c>
      <c r="Z90">
        <f t="shared" si="33"/>
        <v>2.9965566853719148E-5</v>
      </c>
      <c r="AA90">
        <f t="shared" si="34"/>
        <v>1.053934629009532E-5</v>
      </c>
      <c r="AC90" s="10">
        <v>87</v>
      </c>
      <c r="AD90">
        <f>MC($AC90,0,$T$128,$AE$2,AD$3)+MC($AC90,0,$U$128,$AE$2,AD$3)-MC($AC90,0,$V$128,$AE$2,AD$3)</f>
        <v>-1.5034721291839581E-2</v>
      </c>
      <c r="AE90">
        <f>MC($AC90,0,$T$128,$AE$2,AE$3)+MC($AC90,0,$U$128,$AE$2,AE$3)-MC($AC90,0,$V$128,$AE$2,AE$3)</f>
        <v>-1.1309323405295446E-2</v>
      </c>
      <c r="AF90">
        <f>MC($AC90,0,$T$128,$AE$2,AF$3)+MC($AC90,0,$U$128,$AE$2,AF$3)-MC($AC90,0,$V$128,$AE$2,AF$3)</f>
        <v>-2.0036406890007186E-2</v>
      </c>
      <c r="AG90">
        <f>MC($AC90,0,$T$128,$AE$2,AG$3)+MC($AC90,0,$U$128,$AE$2,AG$3)-MC($AC90,0,$V$128,$AE$2,AG$3)</f>
        <v>-1.5876357123562279E-2</v>
      </c>
      <c r="AH90">
        <f>MC($AC90,0,$T$128,$AE$2,AH$3)+MC($AC90,0,$U$128,$AE$2,AH$3)-MC($AC90,0,$V$128,$AE$2,AH$3)</f>
        <v>-2.1401050483192963E-2</v>
      </c>
      <c r="AI90">
        <f>MC($AC90,0,$T$128,$AE$2,AI$3)+MC($AC90,0,$U$128,$AE$2,AI$3)-MC($AC90,0,$V$128,$AE$2,AI$3)</f>
        <v>-2.295973793221906E-2</v>
      </c>
      <c r="AJ90">
        <f>MC($AC90,0,$T$128,$AE$2,AJ$3)+MC($AC90,0,$U$128,$AE$2,AJ$3)-MC($AC90,0,$V$128,$AE$2,AJ$3)</f>
        <v>-1.9706767416886262E-2</v>
      </c>
      <c r="AK90">
        <f>MC($AC90,0,$T$128,$AE$2,AK$3)+MC($AC90,0,$U$128,$AE$2,AK$3)-MC($AC90,0,$V$128,$AE$2,AK$3)</f>
        <v>-1.9561104383049921E-2</v>
      </c>
      <c r="AL90">
        <f>MC($AC90,0,$T$128,$AE$2,AL$3)+MC($AC90,0,$U$128,$AE$2,AL$3)-MC($AC90,0,$V$128,$AE$2,AL$3)</f>
        <v>-2.3328106047077357E-2</v>
      </c>
      <c r="AM90">
        <f>MC($AC90,0,$T$128,$AE$2,AM$3)+MC($AC90,0,$U$128,$AE$2,AM$3)-MC($AC90,0,$V$128,$AE$2,AM$3)</f>
        <v>-2.2951985518811835E-2</v>
      </c>
      <c r="AN90">
        <f>MC($AC90,0,$T$128,$AE$2,AN$3)+MC($AC90,0,$U$128,$AE$2,AN$3)-MC($AC90,0,$V$128,$AE$2,AN$3)</f>
        <v>-2.8521567580709783E-2</v>
      </c>
      <c r="AP90" s="10">
        <v>87</v>
      </c>
      <c r="AQ90">
        <f t="shared" si="22"/>
        <v>-0.25070200705117252</v>
      </c>
      <c r="AR90">
        <f t="shared" si="35"/>
        <v>-0.26228361538246792</v>
      </c>
      <c r="AS90">
        <f t="shared" si="35"/>
        <v>-0.27486545972143983</v>
      </c>
      <c r="AT90">
        <f t="shared" si="35"/>
        <v>-0.28869987185837942</v>
      </c>
      <c r="AU90">
        <f t="shared" si="35"/>
        <v>-0.30415074286141297</v>
      </c>
      <c r="AV90">
        <f t="shared" si="35"/>
        <v>-0.32177254249375209</v>
      </c>
      <c r="AW90">
        <f t="shared" si="35"/>
        <v>-0.34247588905479465</v>
      </c>
      <c r="AX90">
        <f t="shared" si="35"/>
        <v>-0.36792802185229379</v>
      </c>
      <c r="AY90">
        <f t="shared" si="35"/>
        <v>-0.40176219803980884</v>
      </c>
      <c r="AZ90">
        <f t="shared" si="35"/>
        <v>-0.45508904737159384</v>
      </c>
      <c r="BA90">
        <f t="shared" si="35"/>
        <v>-0.50389355651601297</v>
      </c>
    </row>
    <row r="91" spans="1:53">
      <c r="A91" s="3" t="s">
        <v>105</v>
      </c>
      <c r="B91" s="1">
        <v>87.68</v>
      </c>
      <c r="C91" s="1">
        <v>88.379997000000003</v>
      </c>
      <c r="D91" s="1">
        <v>85.260002</v>
      </c>
      <c r="E91" s="1">
        <v>86.519997000000004</v>
      </c>
      <c r="F91" s="1">
        <v>86.519997000000004</v>
      </c>
      <c r="G91" s="1">
        <v>26861400</v>
      </c>
      <c r="H91" s="4">
        <v>45008</v>
      </c>
      <c r="I91" s="2">
        <v>79.660004000000001</v>
      </c>
      <c r="J91" s="2">
        <v>85.199996999999996</v>
      </c>
      <c r="K91" s="2">
        <v>79</v>
      </c>
      <c r="L91" s="2">
        <v>83.669998000000007</v>
      </c>
      <c r="M91" s="2">
        <v>83.669998000000007</v>
      </c>
      <c r="N91" s="2">
        <v>7812600</v>
      </c>
      <c r="O91">
        <f t="shared" si="23"/>
        <v>0.49162700780383711</v>
      </c>
      <c r="P91">
        <f t="shared" si="24"/>
        <v>0.50837299219616283</v>
      </c>
      <c r="Q91">
        <f t="shared" si="25"/>
        <v>245.81350390191855</v>
      </c>
      <c r="R91">
        <f t="shared" si="26"/>
        <v>254.18649609808142</v>
      </c>
      <c r="S91">
        <f t="shared" si="27"/>
        <v>500</v>
      </c>
      <c r="T91" s="10">
        <f t="shared" si="28"/>
        <v>3.4309562837786939E-2</v>
      </c>
      <c r="U91" s="11">
        <f t="shared" si="29"/>
        <v>7.7388535802805344E-2</v>
      </c>
      <c r="V91">
        <f t="shared" si="31"/>
        <v>5.6209749224750943E-2</v>
      </c>
      <c r="W91">
        <v>35</v>
      </c>
      <c r="X91">
        <f t="shared" si="30"/>
        <v>6.8805970732959331E-3</v>
      </c>
      <c r="Y91">
        <f t="shared" si="32"/>
        <v>2.9297433848693119E-6</v>
      </c>
      <c r="Z91">
        <f t="shared" si="33"/>
        <v>9.990266967476711E-6</v>
      </c>
      <c r="AA91">
        <f t="shared" si="34"/>
        <v>6.6984329427659155E-6</v>
      </c>
      <c r="AC91" s="10">
        <v>88</v>
      </c>
      <c r="AD91">
        <f>MC($AC91,0,$T$128,$AE$2,AD$3)+MC($AC91,0,$U$128,$AE$2,AD$3)-MC($AC91,0,$V$128,$AE$2,AD$3)</f>
        <v>-1.5694767194911474E-2</v>
      </c>
      <c r="AE91">
        <f>MC($AC91,0,$T$128,$AE$2,AE$3)+MC($AC91,0,$U$128,$AE$2,AE$3)-MC($AC91,0,$V$128,$AE$2,AE$3)</f>
        <v>-1.6764161743926032E-2</v>
      </c>
      <c r="AF91">
        <f>MC($AC91,0,$T$128,$AE$2,AF$3)+MC($AC91,0,$U$128,$AE$2,AF$3)-MC($AC91,0,$V$128,$AE$2,AF$3)</f>
        <v>-1.5103690676917081E-2</v>
      </c>
      <c r="AG91">
        <f>MC($AC91,0,$T$128,$AE$2,AG$3)+MC($AC91,0,$U$128,$AE$2,AG$3)-MC($AC91,0,$V$128,$AE$2,AG$3)</f>
        <v>-2.1977048022233436E-2</v>
      </c>
      <c r="AH91">
        <f>MC($AC91,0,$T$128,$AE$2,AH$3)+MC($AC91,0,$U$128,$AE$2,AH$3)-MC($AC91,0,$V$128,$AE$2,AH$3)</f>
        <v>-1.8209063182232699E-2</v>
      </c>
      <c r="AI91">
        <f>MC($AC91,0,$T$128,$AE$2,AI$3)+MC($AC91,0,$U$128,$AE$2,AI$3)-MC($AC91,0,$V$128,$AE$2,AI$3)</f>
        <v>-1.9613553028769992E-2</v>
      </c>
      <c r="AJ91">
        <f>MC($AC91,0,$T$128,$AE$2,AJ$3)+MC($AC91,0,$U$128,$AE$2,AJ$3)-MC($AC91,0,$V$128,$AE$2,AJ$3)</f>
        <v>-1.9255834760384838E-2</v>
      </c>
      <c r="AK91">
        <f>MC($AC91,0,$T$128,$AE$2,AK$3)+MC($AC91,0,$U$128,$AE$2,AK$3)-MC($AC91,0,$V$128,$AE$2,AK$3)</f>
        <v>-1.9362480452642661E-2</v>
      </c>
      <c r="AL91">
        <f>MC($AC91,0,$T$128,$AE$2,AL$3)+MC($AC91,0,$U$128,$AE$2,AL$3)-MC($AC91,0,$V$128,$AE$2,AL$3)</f>
        <v>-2.1256509734366213E-2</v>
      </c>
      <c r="AM91">
        <f>MC($AC91,0,$T$128,$AE$2,AM$3)+MC($AC91,0,$U$128,$AE$2,AM$3)-MC($AC91,0,$V$128,$AE$2,AM$3)</f>
        <v>-2.8752022457659843E-2</v>
      </c>
      <c r="AN91">
        <f>MC($AC91,0,$T$128,$AE$2,AN$3)+MC($AC91,0,$U$128,$AE$2,AN$3)-MC($AC91,0,$V$128,$AE$2,AN$3)</f>
        <v>-1.9318147340031677E-2</v>
      </c>
      <c r="AP91" s="10">
        <v>88</v>
      </c>
      <c r="AQ91">
        <f t="shared" si="22"/>
        <v>-0.25213870653252357</v>
      </c>
      <c r="AR91">
        <f t="shared" si="35"/>
        <v>-0.26378668565549512</v>
      </c>
      <c r="AS91">
        <f t="shared" si="35"/>
        <v>-0.27644063284457532</v>
      </c>
      <c r="AT91">
        <f t="shared" si="35"/>
        <v>-0.29035432592934485</v>
      </c>
      <c r="AU91">
        <f t="shared" si="35"/>
        <v>-0.30589374133063674</v>
      </c>
      <c r="AV91">
        <f t="shared" si="35"/>
        <v>-0.32361652631482862</v>
      </c>
      <c r="AW91">
        <f t="shared" si="35"/>
        <v>-0.34443851766701694</v>
      </c>
      <c r="AX91">
        <f t="shared" si="35"/>
        <v>-0.37003650915316233</v>
      </c>
      <c r="AY91">
        <f t="shared" si="35"/>
        <v>-0.40406457905518067</v>
      </c>
      <c r="AZ91">
        <f t="shared" si="35"/>
        <v>-0.45769702887927233</v>
      </c>
      <c r="BA91">
        <f t="shared" si="35"/>
        <v>-0.50678122231421652</v>
      </c>
    </row>
    <row r="92" spans="1:53">
      <c r="A92" s="3" t="s">
        <v>106</v>
      </c>
      <c r="B92" s="1">
        <v>85.870002999999997</v>
      </c>
      <c r="C92" s="1">
        <v>88.110000999999997</v>
      </c>
      <c r="D92" s="1">
        <v>85.629997000000003</v>
      </c>
      <c r="E92" s="1">
        <v>86.900002000000001</v>
      </c>
      <c r="F92" s="1">
        <v>86.900002000000001</v>
      </c>
      <c r="G92" s="1">
        <v>20332500</v>
      </c>
      <c r="H92" s="4">
        <v>45009</v>
      </c>
      <c r="I92" s="2">
        <v>83.279999000000004</v>
      </c>
      <c r="J92" s="2">
        <v>85.089995999999999</v>
      </c>
      <c r="K92" s="2">
        <v>80.220000999999996</v>
      </c>
      <c r="L92" s="2">
        <v>82.379997000000003</v>
      </c>
      <c r="M92" s="2">
        <v>82.379997000000003</v>
      </c>
      <c r="N92" s="2">
        <v>4150900</v>
      </c>
      <c r="O92">
        <f t="shared" si="23"/>
        <v>0.48664932352699269</v>
      </c>
      <c r="P92">
        <f t="shared" si="24"/>
        <v>0.51335067647300725</v>
      </c>
      <c r="Q92">
        <f t="shared" si="25"/>
        <v>243.32466176349635</v>
      </c>
      <c r="R92">
        <f t="shared" si="26"/>
        <v>256.67533823650365</v>
      </c>
      <c r="S92">
        <f t="shared" si="27"/>
        <v>500</v>
      </c>
      <c r="T92" s="10">
        <f t="shared" si="28"/>
        <v>4.3921060237669335E-3</v>
      </c>
      <c r="U92" s="11">
        <f t="shared" si="29"/>
        <v>-1.5417724761987011E-2</v>
      </c>
      <c r="V92">
        <f t="shared" si="31"/>
        <v>-5.7772840109156579E-3</v>
      </c>
      <c r="W92">
        <v>34</v>
      </c>
      <c r="X92">
        <f t="shared" si="30"/>
        <v>7.3197841205275898E-3</v>
      </c>
      <c r="Y92">
        <f t="shared" si="32"/>
        <v>5.7537875888047005E-7</v>
      </c>
      <c r="Z92">
        <f t="shared" si="33"/>
        <v>2.0955028857218131E-5</v>
      </c>
      <c r="AA92">
        <f t="shared" si="34"/>
        <v>6.5982693624200864E-6</v>
      </c>
      <c r="AC92" s="10">
        <v>89</v>
      </c>
      <c r="AD92">
        <f>MC($AC92,0,$T$128,$AE$2,AD$3)+MC($AC92,0,$U$128,$AE$2,AD$3)-MC($AC92,0,$V$128,$AE$2,AD$3)</f>
        <v>-1.2154021048628838E-2</v>
      </c>
      <c r="AE92">
        <f>MC($AC92,0,$T$128,$AE$2,AE$3)+MC($AC92,0,$U$128,$AE$2,AE$3)-MC($AC92,0,$V$128,$AE$2,AE$3)</f>
        <v>-1.5985925584637073E-2</v>
      </c>
      <c r="AF92">
        <f>MC($AC92,0,$T$128,$AE$2,AF$3)+MC($AC92,0,$U$128,$AE$2,AF$3)-MC($AC92,0,$V$128,$AE$2,AF$3)</f>
        <v>-1.7259342142749379E-2</v>
      </c>
      <c r="AG92">
        <f>MC($AC92,0,$T$128,$AE$2,AG$3)+MC($AC92,0,$U$128,$AE$2,AG$3)-MC($AC92,0,$V$128,$AE$2,AG$3)</f>
        <v>-1.7705614108724843E-2</v>
      </c>
      <c r="AH92">
        <f>MC($AC92,0,$T$128,$AE$2,AH$3)+MC($AC92,0,$U$128,$AE$2,AH$3)-MC($AC92,0,$V$128,$AE$2,AH$3)</f>
        <v>-2.1783911349533058E-2</v>
      </c>
      <c r="AI92">
        <f>MC($AC92,0,$T$128,$AE$2,AI$3)+MC($AC92,0,$U$128,$AE$2,AI$3)-MC($AC92,0,$V$128,$AE$2,AI$3)</f>
        <v>-1.9740510392122657E-2</v>
      </c>
      <c r="AJ92">
        <f>MC($AC92,0,$T$128,$AE$2,AJ$3)+MC($AC92,0,$U$128,$AE$2,AJ$3)-MC($AC92,0,$V$128,$AE$2,AJ$3)</f>
        <v>-2.0155184225212563E-2</v>
      </c>
      <c r="AK92">
        <f>MC($AC92,0,$T$128,$AE$2,AK$3)+MC($AC92,0,$U$128,$AE$2,AK$3)-MC($AC92,0,$V$128,$AE$2,AK$3)</f>
        <v>-2.8139326402808917E-2</v>
      </c>
      <c r="AL92">
        <f>MC($AC92,0,$T$128,$AE$2,AL$3)+MC($AC92,0,$U$128,$AE$2,AL$3)-MC($AC92,0,$V$128,$AE$2,AL$3)</f>
        <v>-2.4491410190266238E-2</v>
      </c>
      <c r="AM92">
        <f>MC($AC92,0,$T$128,$AE$2,AM$3)+MC($AC92,0,$U$128,$AE$2,AM$3)-MC($AC92,0,$V$128,$AE$2,AM$3)</f>
        <v>-3.0630986327837562E-2</v>
      </c>
      <c r="AN92">
        <f>MC($AC92,0,$T$128,$AE$2,AN$3)+MC($AC92,0,$U$128,$AE$2,AN$3)-MC($AC92,0,$V$128,$AE$2,AN$3)</f>
        <v>-3.3926090473145987E-2</v>
      </c>
      <c r="AP92" s="10">
        <v>89</v>
      </c>
      <c r="AQ92">
        <f t="shared" si="22"/>
        <v>-0.25356726587693046</v>
      </c>
      <c r="AR92">
        <f t="shared" si="35"/>
        <v>-0.26528123974401896</v>
      </c>
      <c r="AS92">
        <f t="shared" si="35"/>
        <v>-0.27800688125861206</v>
      </c>
      <c r="AT92">
        <f t="shared" si="35"/>
        <v>-0.29199940609652597</v>
      </c>
      <c r="AU92">
        <f t="shared" si="35"/>
        <v>-0.30762686421598451</v>
      </c>
      <c r="AV92">
        <f t="shared" si="35"/>
        <v>-0.32545006238324625</v>
      </c>
      <c r="AW92">
        <f t="shared" si="35"/>
        <v>-0.34639002630190197</v>
      </c>
      <c r="AX92">
        <f t="shared" si="35"/>
        <v>-0.37213305006190334</v>
      </c>
      <c r="AY92">
        <f t="shared" si="35"/>
        <v>-0.40635391510394281</v>
      </c>
      <c r="AZ92">
        <f t="shared" si="35"/>
        <v>-0.46029023393098623</v>
      </c>
      <c r="BA92">
        <f t="shared" si="35"/>
        <v>-0.50965252700465125</v>
      </c>
    </row>
    <row r="93" spans="1:53">
      <c r="A93" s="3" t="s">
        <v>107</v>
      </c>
      <c r="B93" s="1">
        <v>87.129997000000003</v>
      </c>
      <c r="C93" s="1">
        <v>88.220000999999996</v>
      </c>
      <c r="D93" s="1">
        <v>85.5</v>
      </c>
      <c r="E93" s="1">
        <v>86.120002999999997</v>
      </c>
      <c r="F93" s="1">
        <v>86.120002999999997</v>
      </c>
      <c r="G93" s="1">
        <v>18258300</v>
      </c>
      <c r="H93" s="4">
        <v>45012</v>
      </c>
      <c r="I93" s="2">
        <v>82.489998</v>
      </c>
      <c r="J93" s="2">
        <v>83.93</v>
      </c>
      <c r="K93" s="2">
        <v>81.75</v>
      </c>
      <c r="L93" s="2">
        <v>83.239998</v>
      </c>
      <c r="M93" s="2">
        <v>83.239998</v>
      </c>
      <c r="N93" s="2">
        <v>3459300</v>
      </c>
      <c r="O93">
        <f t="shared" si="23"/>
        <v>0.49149738727268899</v>
      </c>
      <c r="P93">
        <f t="shared" si="24"/>
        <v>0.5085026127273109</v>
      </c>
      <c r="Q93">
        <f t="shared" si="25"/>
        <v>245.74869363634448</v>
      </c>
      <c r="R93">
        <f t="shared" si="26"/>
        <v>254.25130636365546</v>
      </c>
      <c r="S93">
        <f t="shared" si="27"/>
        <v>499.99999999999994</v>
      </c>
      <c r="T93" s="10">
        <f t="shared" si="28"/>
        <v>-8.9758225782319741E-3</v>
      </c>
      <c r="U93" s="11">
        <f t="shared" si="29"/>
        <v>1.0439439564436945E-2</v>
      </c>
      <c r="V93">
        <f t="shared" si="31"/>
        <v>8.9688894810082114E-4</v>
      </c>
      <c r="W93">
        <v>33</v>
      </c>
      <c r="X93">
        <f t="shared" si="30"/>
        <v>7.7870043835399898E-3</v>
      </c>
      <c r="Y93">
        <f t="shared" si="32"/>
        <v>3.7109000196116464E-6</v>
      </c>
      <c r="Z93">
        <f t="shared" si="33"/>
        <v>5.4633151239461093E-6</v>
      </c>
      <c r="AA93">
        <f t="shared" si="34"/>
        <v>3.9811614536780269E-6</v>
      </c>
      <c r="AC93" s="10">
        <v>90</v>
      </c>
      <c r="AD93">
        <f>MC($AC93,0,$T$128,$AE$2,AD$3)+MC($AC93,0,$U$128,$AE$2,AD$3)-MC($AC93,0,$V$128,$AE$2,AD$3)</f>
        <v>-1.7684274680086931E-2</v>
      </c>
      <c r="AE93">
        <f>MC($AC93,0,$T$128,$AE$2,AE$3)+MC($AC93,0,$U$128,$AE$2,AE$3)-MC($AC93,0,$V$128,$AE$2,AE$3)</f>
        <v>-2.0136441338072908E-2</v>
      </c>
      <c r="AF93">
        <f>MC($AC93,0,$T$128,$AE$2,AF$3)+MC($AC93,0,$U$128,$AE$2,AF$3)-MC($AC93,0,$V$128,$AE$2,AF$3)</f>
        <v>-1.6318557663392186E-2</v>
      </c>
      <c r="AG93">
        <f>MC($AC93,0,$T$128,$AE$2,AG$3)+MC($AC93,0,$U$128,$AE$2,AG$3)-MC($AC93,0,$V$128,$AE$2,AG$3)</f>
        <v>-1.8375936883895161E-2</v>
      </c>
      <c r="AH93">
        <f>MC($AC93,0,$T$128,$AE$2,AH$3)+MC($AC93,0,$U$128,$AE$2,AH$3)-MC($AC93,0,$V$128,$AE$2,AH$3)</f>
        <v>-2.0432817844313389E-2</v>
      </c>
      <c r="AI93">
        <f>MC($AC93,0,$T$128,$AE$2,AI$3)+MC($AC93,0,$U$128,$AE$2,AI$3)-MC($AC93,0,$V$128,$AE$2,AI$3)</f>
        <v>-2.0145049968207207E-2</v>
      </c>
      <c r="AJ93">
        <f>MC($AC93,0,$T$128,$AE$2,AJ$3)+MC($AC93,0,$U$128,$AE$2,AJ$3)-MC($AC93,0,$V$128,$AE$2,AJ$3)</f>
        <v>-2.4503576809840499E-2</v>
      </c>
      <c r="AK93">
        <f>MC($AC93,0,$T$128,$AE$2,AK$3)+MC($AC93,0,$U$128,$AE$2,AK$3)-MC($AC93,0,$V$128,$AE$2,AK$3)</f>
        <v>-2.6347349848266699E-2</v>
      </c>
      <c r="AL93">
        <f>MC($AC93,0,$T$128,$AE$2,AL$3)+MC($AC93,0,$U$128,$AE$2,AL$3)-MC($AC93,0,$V$128,$AE$2,AL$3)</f>
        <v>-2.5197862942985427E-2</v>
      </c>
      <c r="AM93">
        <f>MC($AC93,0,$T$128,$AE$2,AM$3)+MC($AC93,0,$U$128,$AE$2,AM$3)-MC($AC93,0,$V$128,$AE$2,AM$3)</f>
        <v>-2.8951792394661391E-2</v>
      </c>
      <c r="AN93">
        <f>MC($AC93,0,$T$128,$AE$2,AN$3)+MC($AC93,0,$U$128,$AE$2,AN$3)-MC($AC93,0,$V$128,$AE$2,AN$3)</f>
        <v>-2.6818690666423395E-2</v>
      </c>
      <c r="AP93" s="10">
        <v>90</v>
      </c>
      <c r="AQ93">
        <f t="shared" si="22"/>
        <v>-0.25498782189883074</v>
      </c>
      <c r="AR93">
        <f t="shared" si="35"/>
        <v>-0.26676742078285387</v>
      </c>
      <c r="AS93">
        <f t="shared" si="35"/>
        <v>-0.2795643549645962</v>
      </c>
      <c r="AT93">
        <f t="shared" si="35"/>
        <v>-0.29363526991075739</v>
      </c>
      <c r="AU93">
        <f t="shared" si="35"/>
        <v>-0.30935027750022281</v>
      </c>
      <c r="AV93">
        <f t="shared" si="35"/>
        <v>-0.32727332629843442</v>
      </c>
      <c r="AW93">
        <f t="shared" si="35"/>
        <v>-0.34833060185721898</v>
      </c>
      <c r="AX93">
        <f t="shared" si="35"/>
        <v>-0.37421784536616032</v>
      </c>
      <c r="AY93">
        <f t="shared" si="35"/>
        <v>-0.40863042543790595</v>
      </c>
      <c r="AZ93">
        <f t="shared" si="35"/>
        <v>-0.46286891088035986</v>
      </c>
      <c r="BA93">
        <f t="shared" si="35"/>
        <v>-0.51250774557479772</v>
      </c>
    </row>
    <row r="94" spans="1:53">
      <c r="A94" s="3" t="s">
        <v>108</v>
      </c>
      <c r="B94" s="1">
        <v>95.349997999999999</v>
      </c>
      <c r="C94" s="1">
        <v>99.510002</v>
      </c>
      <c r="D94" s="1">
        <v>92.059997999999993</v>
      </c>
      <c r="E94" s="1">
        <v>98.400002000000001</v>
      </c>
      <c r="F94" s="1">
        <v>98.400002000000001</v>
      </c>
      <c r="G94" s="1">
        <v>118875200</v>
      </c>
      <c r="H94" s="4">
        <v>45013</v>
      </c>
      <c r="I94" s="2">
        <v>84.970000999999996</v>
      </c>
      <c r="J94" s="2">
        <v>86.230002999999996</v>
      </c>
      <c r="K94" s="2">
        <v>81.400002000000001</v>
      </c>
      <c r="L94" s="2">
        <v>81.75</v>
      </c>
      <c r="M94" s="2">
        <v>81.75</v>
      </c>
      <c r="N94" s="2">
        <v>4928800</v>
      </c>
      <c r="O94">
        <f t="shared" si="23"/>
        <v>0.45378850453745762</v>
      </c>
      <c r="P94">
        <f t="shared" si="24"/>
        <v>0.54621149546254233</v>
      </c>
      <c r="Q94">
        <f t="shared" si="25"/>
        <v>226.89425226872882</v>
      </c>
      <c r="R94">
        <f t="shared" si="26"/>
        <v>273.10574773127115</v>
      </c>
      <c r="S94">
        <f t="shared" si="27"/>
        <v>500</v>
      </c>
      <c r="T94" s="10">
        <f t="shared" si="28"/>
        <v>0.14259171588742287</v>
      </c>
      <c r="U94" s="11">
        <f t="shared" si="29"/>
        <v>-1.7900024456992417E-2</v>
      </c>
      <c r="V94">
        <f t="shared" si="31"/>
        <v>5.492928238451375E-2</v>
      </c>
      <c r="W94">
        <v>32</v>
      </c>
      <c r="X94">
        <f t="shared" si="30"/>
        <v>8.2840472165319028E-3</v>
      </c>
      <c r="Y94">
        <f t="shared" si="32"/>
        <v>1.4027858818254789E-4</v>
      </c>
      <c r="Z94">
        <f t="shared" si="33"/>
        <v>2.3890524367617995E-5</v>
      </c>
      <c r="AA94">
        <f t="shared" si="34"/>
        <v>8.5559433173812478E-6</v>
      </c>
      <c r="AC94" s="10">
        <v>91</v>
      </c>
      <c r="AD94">
        <f>MC($AC94,0,$T$128,$AE$2,AD$3)+MC($AC94,0,$U$128,$AE$2,AD$3)-MC($AC94,0,$V$128,$AE$2,AD$3)</f>
        <v>-1.8526831592313719E-2</v>
      </c>
      <c r="AE94">
        <f>MC($AC94,0,$T$128,$AE$2,AE$3)+MC($AC94,0,$U$128,$AE$2,AE$3)-MC($AC94,0,$V$128,$AE$2,AE$3)</f>
        <v>-1.7942274782949852E-2</v>
      </c>
      <c r="AF94">
        <f>MC($AC94,0,$T$128,$AE$2,AF$3)+MC($AC94,0,$U$128,$AE$2,AF$3)-MC($AC94,0,$V$128,$AE$2,AF$3)</f>
        <v>-1.5807937882447831E-2</v>
      </c>
      <c r="AG94">
        <f>MC($AC94,0,$T$128,$AE$2,AG$3)+MC($AC94,0,$U$128,$AE$2,AG$3)-MC($AC94,0,$V$128,$AE$2,AG$3)</f>
        <v>-1.779462473184279E-2</v>
      </c>
      <c r="AH94">
        <f>MC($AC94,0,$T$128,$AE$2,AH$3)+MC($AC94,0,$U$128,$AE$2,AH$3)-MC($AC94,0,$V$128,$AE$2,AH$3)</f>
        <v>-1.9492901653683115E-2</v>
      </c>
      <c r="AI94">
        <f>MC($AC94,0,$T$128,$AE$2,AI$3)+MC($AC94,0,$U$128,$AE$2,AI$3)-MC($AC94,0,$V$128,$AE$2,AI$3)</f>
        <v>-1.9640228761478751E-2</v>
      </c>
      <c r="AJ94">
        <f>MC($AC94,0,$T$128,$AE$2,AJ$3)+MC($AC94,0,$U$128,$AE$2,AJ$3)-MC($AC94,0,$V$128,$AE$2,AJ$3)</f>
        <v>-2.1236251618892421E-2</v>
      </c>
      <c r="AK94">
        <f>MC($AC94,0,$T$128,$AE$2,AK$3)+MC($AC94,0,$U$128,$AE$2,AK$3)-MC($AC94,0,$V$128,$AE$2,AK$3)</f>
        <v>-1.9182449375531485E-2</v>
      </c>
      <c r="AL94">
        <f>MC($AC94,0,$T$128,$AE$2,AL$3)+MC($AC94,0,$U$128,$AE$2,AL$3)-MC($AC94,0,$V$128,$AE$2,AL$3)</f>
        <v>-2.2818588518547456E-2</v>
      </c>
      <c r="AM94">
        <f>MC($AC94,0,$T$128,$AE$2,AM$3)+MC($AC94,0,$U$128,$AE$2,AM$3)-MC($AC94,0,$V$128,$AE$2,AM$3)</f>
        <v>-2.4028917478883027E-2</v>
      </c>
      <c r="AN94">
        <f>MC($AC94,0,$T$128,$AE$2,AN$3)+MC($AC94,0,$U$128,$AE$2,AN$3)-MC($AC94,0,$V$128,$AE$2,AN$3)</f>
        <v>-3.4316214325649241E-2</v>
      </c>
      <c r="AP94" s="10">
        <v>91</v>
      </c>
      <c r="AQ94">
        <f t="shared" si="22"/>
        <v>-0.25640050762258204</v>
      </c>
      <c r="AR94">
        <f t="shared" si="35"/>
        <v>-0.26824536794164566</v>
      </c>
      <c r="AS94">
        <f t="shared" si="35"/>
        <v>-0.28111319980819405</v>
      </c>
      <c r="AT94">
        <f t="shared" si="35"/>
        <v>-0.2952620705583483</v>
      </c>
      <c r="AU94">
        <f t="shared" si="35"/>
        <v>-0.31106414256800796</v>
      </c>
      <c r="AV94">
        <f t="shared" si="35"/>
        <v>-0.32908648879530777</v>
      </c>
      <c r="AW94">
        <f t="shared" si="35"/>
        <v>-0.35026042605323326</v>
      </c>
      <c r="AX94">
        <f t="shared" si="35"/>
        <v>-0.37629109029129049</v>
      </c>
      <c r="AY94">
        <f t="shared" si="35"/>
        <v>-0.41089432323509412</v>
      </c>
      <c r="AZ94">
        <f t="shared" si="35"/>
        <v>-0.46543330120104098</v>
      </c>
      <c r="BA94">
        <f t="shared" si="35"/>
        <v>-0.5153471453943419</v>
      </c>
    </row>
    <row r="95" spans="1:53">
      <c r="A95" s="3" t="s">
        <v>109</v>
      </c>
      <c r="B95" s="1">
        <v>97.589995999999999</v>
      </c>
      <c r="C95" s="1">
        <v>101.33000199999999</v>
      </c>
      <c r="D95" s="1">
        <v>96.279999000000004</v>
      </c>
      <c r="E95" s="1">
        <v>99.919998000000007</v>
      </c>
      <c r="F95" s="1">
        <v>99.919998000000007</v>
      </c>
      <c r="G95" s="1">
        <v>53695000</v>
      </c>
      <c r="H95" s="4">
        <v>45014</v>
      </c>
      <c r="I95" s="2">
        <v>82.809997999999993</v>
      </c>
      <c r="J95" s="2">
        <v>85.639999000000003</v>
      </c>
      <c r="K95" s="2">
        <v>82.650002000000001</v>
      </c>
      <c r="L95" s="2">
        <v>85.559997999999993</v>
      </c>
      <c r="M95" s="2">
        <v>85.559997999999993</v>
      </c>
      <c r="N95" s="2">
        <v>5908700</v>
      </c>
      <c r="O95">
        <f t="shared" si="23"/>
        <v>0.46128962607913793</v>
      </c>
      <c r="P95">
        <f t="shared" si="24"/>
        <v>0.53871037392086207</v>
      </c>
      <c r="Q95">
        <f t="shared" si="25"/>
        <v>230.64481303956896</v>
      </c>
      <c r="R95">
        <f t="shared" si="26"/>
        <v>269.35518696043101</v>
      </c>
      <c r="S95">
        <f t="shared" si="27"/>
        <v>500</v>
      </c>
      <c r="T95" s="10">
        <f t="shared" si="28"/>
        <v>1.5447113507172552E-2</v>
      </c>
      <c r="U95" s="11">
        <f t="shared" si="29"/>
        <v>4.6605480122324072E-2</v>
      </c>
      <c r="V95">
        <f t="shared" si="31"/>
        <v>3.2232448837184131E-2</v>
      </c>
      <c r="W95">
        <v>31</v>
      </c>
      <c r="X95">
        <f t="shared" si="30"/>
        <v>8.8128161877998965E-3</v>
      </c>
      <c r="Y95">
        <f t="shared" si="32"/>
        <v>9.9739361849595132E-8</v>
      </c>
      <c r="Z95">
        <f t="shared" si="33"/>
        <v>1.2467342537549187E-6</v>
      </c>
      <c r="AA95">
        <f t="shared" si="34"/>
        <v>9.052435086534425E-7</v>
      </c>
      <c r="AC95" s="10">
        <v>92</v>
      </c>
      <c r="AD95">
        <f>MC($AC95,0,$T$128,$AE$2,AD$3)+MC($AC95,0,$U$128,$AE$2,AD$3)-MC($AC95,0,$V$128,$AE$2,AD$3)</f>
        <v>-1.3319245803374402E-2</v>
      </c>
      <c r="AE95">
        <f>MC($AC95,0,$T$128,$AE$2,AE$3)+MC($AC95,0,$U$128,$AE$2,AE$3)-MC($AC95,0,$V$128,$AE$2,AE$3)</f>
        <v>-1.8591543981143488E-2</v>
      </c>
      <c r="AF95">
        <f>MC($AC95,0,$T$128,$AE$2,AF$3)+MC($AC95,0,$U$128,$AE$2,AF$3)-MC($AC95,0,$V$128,$AE$2,AF$3)</f>
        <v>-2.0020500217719617E-2</v>
      </c>
      <c r="AG95">
        <f>MC($AC95,0,$T$128,$AE$2,AG$3)+MC($AC95,0,$U$128,$AE$2,AG$3)-MC($AC95,0,$V$128,$AE$2,AG$3)</f>
        <v>-1.7867697669599281E-2</v>
      </c>
      <c r="AH95">
        <f>MC($AC95,0,$T$128,$AE$2,AH$3)+MC($AC95,0,$U$128,$AE$2,AH$3)-MC($AC95,0,$V$128,$AE$2,AH$3)</f>
        <v>-1.9238945040628064E-2</v>
      </c>
      <c r="AI95">
        <f>MC($AC95,0,$T$128,$AE$2,AI$3)+MC($AC95,0,$U$128,$AE$2,AI$3)-MC($AC95,0,$V$128,$AE$2,AI$3)</f>
        <v>-2.4157615682983469E-2</v>
      </c>
      <c r="AJ95">
        <f>MC($AC95,0,$T$128,$AE$2,AJ$3)+MC($AC95,0,$U$128,$AE$2,AJ$3)-MC($AC95,0,$V$128,$AE$2,AJ$3)</f>
        <v>-2.243891602110315E-2</v>
      </c>
      <c r="AK95">
        <f>MC($AC95,0,$T$128,$AE$2,AK$3)+MC($AC95,0,$U$128,$AE$2,AK$3)-MC($AC95,0,$V$128,$AE$2,AK$3)</f>
        <v>-2.4520783020445691E-2</v>
      </c>
      <c r="AL95">
        <f>MC($AC95,0,$T$128,$AE$2,AL$3)+MC($AC95,0,$U$128,$AE$2,AL$3)-MC($AC95,0,$V$128,$AE$2,AL$3)</f>
        <v>-2.6691255759409671E-2</v>
      </c>
      <c r="AM95">
        <f>MC($AC95,0,$T$128,$AE$2,AM$3)+MC($AC95,0,$U$128,$AE$2,AM$3)-MC($AC95,0,$V$128,$AE$2,AM$3)</f>
        <v>-2.2645180698100287E-2</v>
      </c>
      <c r="AN95">
        <f>MC($AC95,0,$T$128,$AE$2,AN$3)+MC($AC95,0,$U$128,$AE$2,AN$3)-MC($AC95,0,$V$128,$AE$2,AN$3)</f>
        <v>-2.9052552628263006E-2</v>
      </c>
      <c r="AP95" s="10">
        <v>92</v>
      </c>
      <c r="AQ95">
        <f t="shared" si="22"/>
        <v>-0.25780545242784447</v>
      </c>
      <c r="AR95">
        <f t="shared" si="35"/>
        <v>-0.26971521657696929</v>
      </c>
      <c r="AS95">
        <f t="shared" si="35"/>
        <v>-0.28265355763908639</v>
      </c>
      <c r="AT95">
        <f t="shared" si="35"/>
        <v>-0.29687995702849768</v>
      </c>
      <c r="AU95">
        <f t="shared" si="35"/>
        <v>-0.31276861638226294</v>
      </c>
      <c r="AV95">
        <f t="shared" si="35"/>
        <v>-0.33088971593086258</v>
      </c>
      <c r="AW95">
        <f t="shared" si="35"/>
        <v>-0.35217967563130703</v>
      </c>
      <c r="AX95">
        <f t="shared" si="35"/>
        <v>-0.37835297471372509</v>
      </c>
      <c r="AY95">
        <f t="shared" si="35"/>
        <v>-0.41314581583272458</v>
      </c>
      <c r="AZ95">
        <f t="shared" si="35"/>
        <v>-0.46798363975060875</v>
      </c>
      <c r="BA95">
        <f t="shared" si="35"/>
        <v>-0.51817098650738047</v>
      </c>
    </row>
    <row r="96" spans="1:53">
      <c r="A96" s="3" t="s">
        <v>110</v>
      </c>
      <c r="B96" s="1">
        <v>101.339996</v>
      </c>
      <c r="C96" s="1">
        <v>105.050003</v>
      </c>
      <c r="D96" s="1">
        <v>100.5</v>
      </c>
      <c r="E96" s="1">
        <v>103.379997</v>
      </c>
      <c r="F96" s="1">
        <v>103.379997</v>
      </c>
      <c r="G96" s="1">
        <v>57780700</v>
      </c>
      <c r="H96" s="4">
        <v>45015</v>
      </c>
      <c r="I96" s="2">
        <v>86.790001000000004</v>
      </c>
      <c r="J96" s="2">
        <v>87.68</v>
      </c>
      <c r="K96" s="2">
        <v>84.364998</v>
      </c>
      <c r="L96" s="2">
        <v>86.620002999999997</v>
      </c>
      <c r="M96" s="2">
        <v>86.620002999999997</v>
      </c>
      <c r="N96" s="2">
        <v>3950900</v>
      </c>
      <c r="O96">
        <f t="shared" si="23"/>
        <v>0.45589475263157891</v>
      </c>
      <c r="P96">
        <f t="shared" si="24"/>
        <v>0.54410524736842103</v>
      </c>
      <c r="Q96">
        <f t="shared" si="25"/>
        <v>227.94737631578946</v>
      </c>
      <c r="R96">
        <f t="shared" si="26"/>
        <v>272.05262368421052</v>
      </c>
      <c r="S96">
        <f t="shared" si="27"/>
        <v>500</v>
      </c>
      <c r="T96" s="10">
        <f t="shared" si="28"/>
        <v>3.462769284683128E-2</v>
      </c>
      <c r="U96" s="11">
        <f t="shared" si="29"/>
        <v>1.2389025535040381E-2</v>
      </c>
      <c r="V96">
        <f t="shared" si="31"/>
        <v>2.2527517268005275E-2</v>
      </c>
      <c r="W96">
        <v>30</v>
      </c>
      <c r="X96">
        <f t="shared" si="30"/>
        <v>9.3753363699998916E-3</v>
      </c>
      <c r="Y96">
        <f t="shared" si="32"/>
        <v>4.9220305431325005E-6</v>
      </c>
      <c r="Z96">
        <f t="shared" si="33"/>
        <v>4.2395129088104831E-6</v>
      </c>
      <c r="AA96">
        <f t="shared" si="34"/>
        <v>1.1411950791871452E-8</v>
      </c>
      <c r="AC96" s="10">
        <v>93</v>
      </c>
      <c r="AD96">
        <f>MC($AC96,0,$T$128,$AE$2,AD$3)+MC($AC96,0,$U$128,$AE$2,AD$3)-MC($AC96,0,$V$128,$AE$2,AD$3)</f>
        <v>-1.8675030983618113E-2</v>
      </c>
      <c r="AE96">
        <f>MC($AC96,0,$T$128,$AE$2,AE$3)+MC($AC96,0,$U$128,$AE$2,AE$3)-MC($AC96,0,$V$128,$AE$2,AE$3)</f>
        <v>-1.6597350722327819E-2</v>
      </c>
      <c r="AF96">
        <f>MC($AC96,0,$T$128,$AE$2,AF$3)+MC($AC96,0,$U$128,$AE$2,AF$3)-MC($AC96,0,$V$128,$AE$2,AF$3)</f>
        <v>-1.721050945702074E-2</v>
      </c>
      <c r="AG96">
        <f>MC($AC96,0,$T$128,$AE$2,AG$3)+MC($AC96,0,$U$128,$AE$2,AG$3)-MC($AC96,0,$V$128,$AE$2,AG$3)</f>
        <v>-1.8243613226145206E-2</v>
      </c>
      <c r="AH96">
        <f>MC($AC96,0,$T$128,$AE$2,AH$3)+MC($AC96,0,$U$128,$AE$2,AH$3)-MC($AC96,0,$V$128,$AE$2,AH$3)</f>
        <v>-2.341303126168115E-2</v>
      </c>
      <c r="AI96">
        <f>MC($AC96,0,$T$128,$AE$2,AI$3)+MC($AC96,0,$U$128,$AE$2,AI$3)-MC($AC96,0,$V$128,$AE$2,AI$3)</f>
        <v>-1.7295676108360691E-2</v>
      </c>
      <c r="AJ96">
        <f>MC($AC96,0,$T$128,$AE$2,AJ$3)+MC($AC96,0,$U$128,$AE$2,AJ$3)-MC($AC96,0,$V$128,$AE$2,AJ$3)</f>
        <v>-2.6995719438045018E-2</v>
      </c>
      <c r="AK96">
        <f>MC($AC96,0,$T$128,$AE$2,AK$3)+MC($AC96,0,$U$128,$AE$2,AK$3)-MC($AC96,0,$V$128,$AE$2,AK$3)</f>
        <v>-2.9806179647982711E-2</v>
      </c>
      <c r="AL96">
        <f>MC($AC96,0,$T$128,$AE$2,AL$3)+MC($AC96,0,$U$128,$AE$2,AL$3)-MC($AC96,0,$V$128,$AE$2,AL$3)</f>
        <v>-2.4242981316828338E-2</v>
      </c>
      <c r="AM96">
        <f>MC($AC96,0,$T$128,$AE$2,AM$3)+MC($AC96,0,$U$128,$AE$2,AM$3)-MC($AC96,0,$V$128,$AE$2,AM$3)</f>
        <v>-2.8197335323931094E-2</v>
      </c>
      <c r="AN96">
        <f>MC($AC96,0,$T$128,$AE$2,AN$3)+MC($AC96,0,$U$128,$AE$2,AN$3)-MC($AC96,0,$V$128,$AE$2,AN$3)</f>
        <v>-2.9452825562052531E-2</v>
      </c>
      <c r="AP96" s="10">
        <v>93</v>
      </c>
      <c r="AQ96">
        <f t="shared" si="22"/>
        <v>-0.25920278218787207</v>
      </c>
      <c r="AR96">
        <f t="shared" si="35"/>
        <v>-0.2711770983770091</v>
      </c>
      <c r="AS96">
        <f t="shared" si="35"/>
        <v>-0.28418556646258997</v>
      </c>
      <c r="AT96">
        <f t="shared" si="35"/>
        <v>-0.29848907427254723</v>
      </c>
      <c r="AU96">
        <f t="shared" si="35"/>
        <v>-0.31446385165195112</v>
      </c>
      <c r="AV96">
        <f t="shared" si="35"/>
        <v>-0.33268316926167096</v>
      </c>
      <c r="AW96">
        <f t="shared" si="35"/>
        <v>-0.35408852254281376</v>
      </c>
      <c r="AX96">
        <f t="shared" si="35"/>
        <v>-0.38040368336392505</v>
      </c>
      <c r="AY96">
        <f t="shared" si="35"/>
        <v>-0.41538510494882863</v>
      </c>
      <c r="AZ96">
        <f t="shared" si="35"/>
        <v>-0.47052015502160605</v>
      </c>
      <c r="BA96">
        <f t="shared" si="35"/>
        <v>-0.52097952191037922</v>
      </c>
    </row>
    <row r="97" spans="1:53">
      <c r="A97" s="3" t="s">
        <v>111</v>
      </c>
      <c r="B97" s="1">
        <v>102.860001</v>
      </c>
      <c r="C97" s="1">
        <v>103.599998</v>
      </c>
      <c r="D97" s="1">
        <v>101.13200399999999</v>
      </c>
      <c r="E97" s="1">
        <v>102.18</v>
      </c>
      <c r="F97" s="1">
        <v>102.18</v>
      </c>
      <c r="G97" s="1">
        <v>28382600</v>
      </c>
      <c r="H97" s="4">
        <v>45016</v>
      </c>
      <c r="I97" s="2">
        <v>87.440002000000007</v>
      </c>
      <c r="J97" s="2">
        <v>87.877998000000005</v>
      </c>
      <c r="K97" s="2">
        <v>86.150002000000001</v>
      </c>
      <c r="L97" s="2">
        <v>86.550003000000004</v>
      </c>
      <c r="M97" s="2">
        <v>86.550003000000004</v>
      </c>
      <c r="N97" s="2">
        <v>3160900</v>
      </c>
      <c r="O97">
        <f t="shared" si="23"/>
        <v>0.45859164745522735</v>
      </c>
      <c r="P97">
        <f t="shared" si="24"/>
        <v>0.54140835254477271</v>
      </c>
      <c r="Q97">
        <f t="shared" si="25"/>
        <v>229.29582372761368</v>
      </c>
      <c r="R97">
        <f t="shared" si="26"/>
        <v>270.70417627238635</v>
      </c>
      <c r="S97">
        <f t="shared" si="27"/>
        <v>500</v>
      </c>
      <c r="T97" s="10">
        <f t="shared" si="28"/>
        <v>-1.1607632373988134E-2</v>
      </c>
      <c r="U97" s="11">
        <f t="shared" si="29"/>
        <v>-8.0812742525526325E-4</v>
      </c>
      <c r="V97">
        <f t="shared" si="31"/>
        <v>-5.7606901913955511E-3</v>
      </c>
      <c r="W97">
        <v>29</v>
      </c>
      <c r="X97">
        <f t="shared" si="30"/>
        <v>9.9737620957445639E-3</v>
      </c>
      <c r="Y97">
        <f t="shared" si="32"/>
        <v>5.2603557975931485E-6</v>
      </c>
      <c r="Z97">
        <f t="shared" si="33"/>
        <v>1.1150912218764712E-5</v>
      </c>
      <c r="AA97">
        <f t="shared" si="34"/>
        <v>7.0211361555837204E-6</v>
      </c>
      <c r="AC97" s="10">
        <v>94</v>
      </c>
      <c r="AD97">
        <f>MC($AC97,0,$T$128,$AE$2,AD$3)+MC($AC97,0,$U$128,$AE$2,AD$3)-MC($AC97,0,$V$128,$AE$2,AD$3)</f>
        <v>-1.6539432908345697E-2</v>
      </c>
      <c r="AE97">
        <f>MC($AC97,0,$T$128,$AE$2,AE$3)+MC($AC97,0,$U$128,$AE$2,AE$3)-MC($AC97,0,$V$128,$AE$2,AE$3)</f>
        <v>-1.586377407748274E-2</v>
      </c>
      <c r="AF97">
        <f>MC($AC97,0,$T$128,$AE$2,AF$3)+MC($AC97,0,$U$128,$AE$2,AF$3)-MC($AC97,0,$V$128,$AE$2,AF$3)</f>
        <v>-1.7396053711970616E-2</v>
      </c>
      <c r="AG97">
        <f>MC($AC97,0,$T$128,$AE$2,AG$3)+MC($AC97,0,$U$128,$AE$2,AG$3)-MC($AC97,0,$V$128,$AE$2,AG$3)</f>
        <v>-1.7798266058718148E-2</v>
      </c>
      <c r="AH97">
        <f>MC($AC97,0,$T$128,$AE$2,AH$3)+MC($AC97,0,$U$128,$AE$2,AH$3)-MC($AC97,0,$V$128,$AE$2,AH$3)</f>
        <v>-2.1770700137919041E-2</v>
      </c>
      <c r="AI97">
        <f>MC($AC97,0,$T$128,$AE$2,AI$3)+MC($AC97,0,$U$128,$AE$2,AI$3)-MC($AC97,0,$V$128,$AE$2,AI$3)</f>
        <v>-1.9477915623313358E-2</v>
      </c>
      <c r="AJ97">
        <f>MC($AC97,0,$T$128,$AE$2,AJ$3)+MC($AC97,0,$U$128,$AE$2,AJ$3)-MC($AC97,0,$V$128,$AE$2,AJ$3)</f>
        <v>-1.4412077608654483E-2</v>
      </c>
      <c r="AK97">
        <f>MC($AC97,0,$T$128,$AE$2,AK$3)+MC($AC97,0,$U$128,$AE$2,AK$3)-MC($AC97,0,$V$128,$AE$2,AK$3)</f>
        <v>-2.3637133053713288E-2</v>
      </c>
      <c r="AL97">
        <f>MC($AC97,0,$T$128,$AE$2,AL$3)+MC($AC97,0,$U$128,$AE$2,AL$3)-MC($AC97,0,$V$128,$AE$2,AL$3)</f>
        <v>-2.6977188067255797E-2</v>
      </c>
      <c r="AM97">
        <f>MC($AC97,0,$T$128,$AE$2,AM$3)+MC($AC97,0,$U$128,$AE$2,AM$3)-MC($AC97,0,$V$128,$AE$2,AM$3)</f>
        <v>-3.1589156182226796E-2</v>
      </c>
      <c r="AN97">
        <f>MC($AC97,0,$T$128,$AE$2,AN$3)+MC($AC97,0,$U$128,$AE$2,AN$3)-MC($AC97,0,$V$128,$AE$2,AN$3)</f>
        <v>-3.4798866798463779E-2</v>
      </c>
      <c r="AP97" s="10">
        <v>94</v>
      </c>
      <c r="AQ97">
        <f t="shared" si="22"/>
        <v>-0.26059261940112843</v>
      </c>
      <c r="AR97">
        <f t="shared" si="35"/>
        <v>-0.27263114149925483</v>
      </c>
      <c r="AS97">
        <f t="shared" si="35"/>
        <v>-0.28570936058395768</v>
      </c>
      <c r="AT97">
        <f t="shared" si="35"/>
        <v>-0.30008956335554537</v>
      </c>
      <c r="AU97">
        <f t="shared" si="35"/>
        <v>-0.31614999699175317</v>
      </c>
      <c r="AV97">
        <f t="shared" si="35"/>
        <v>-0.33446700601280888</v>
      </c>
      <c r="AW97">
        <f t="shared" si="35"/>
        <v>-0.35598713412893568</v>
      </c>
      <c r="AX97">
        <f t="shared" si="35"/>
        <v>-0.38244339601953903</v>
      </c>
      <c r="AY97">
        <f t="shared" si="35"/>
        <v>-0.41761238689317071</v>
      </c>
      <c r="AZ97">
        <f t="shared" si="35"/>
        <v>-0.47304306938045793</v>
      </c>
      <c r="BA97">
        <f t="shared" si="35"/>
        <v>-0.52377299781670894</v>
      </c>
    </row>
    <row r="98" spans="1:53">
      <c r="A98" s="3" t="s">
        <v>112</v>
      </c>
      <c r="B98" s="1">
        <v>100.889999</v>
      </c>
      <c r="C98" s="1">
        <v>101.75</v>
      </c>
      <c r="D98" s="1">
        <v>97.610000999999997</v>
      </c>
      <c r="E98" s="1">
        <v>98.389999000000003</v>
      </c>
      <c r="F98" s="1">
        <v>98.389999000000003</v>
      </c>
      <c r="G98" s="1">
        <v>26888100</v>
      </c>
      <c r="H98" s="4">
        <v>45019</v>
      </c>
      <c r="I98" s="2">
        <v>87.260002</v>
      </c>
      <c r="J98" s="2">
        <v>88.136002000000005</v>
      </c>
      <c r="K98" s="2">
        <v>85.239998</v>
      </c>
      <c r="L98" s="2">
        <v>87.82</v>
      </c>
      <c r="M98" s="2">
        <v>87.82</v>
      </c>
      <c r="N98" s="2">
        <v>4595200</v>
      </c>
      <c r="O98">
        <f t="shared" si="23"/>
        <v>0.47161806815755369</v>
      </c>
      <c r="P98">
        <f t="shared" si="24"/>
        <v>0.52838193184244642</v>
      </c>
      <c r="Q98">
        <f t="shared" si="25"/>
        <v>235.80903407877685</v>
      </c>
      <c r="R98">
        <f t="shared" si="26"/>
        <v>264.19096592122321</v>
      </c>
      <c r="S98">
        <f t="shared" si="27"/>
        <v>500.00000000000006</v>
      </c>
      <c r="T98" s="10">
        <f t="shared" si="28"/>
        <v>-3.7091417107065996E-2</v>
      </c>
      <c r="U98" s="11">
        <f t="shared" si="29"/>
        <v>1.4673563905017881E-2</v>
      </c>
      <c r="V98">
        <f t="shared" si="31"/>
        <v>-9.7397364381135651E-3</v>
      </c>
      <c r="W98">
        <v>28</v>
      </c>
      <c r="X98">
        <f t="shared" si="30"/>
        <v>1.06103852082389E-2</v>
      </c>
      <c r="Y98">
        <f t="shared" si="32"/>
        <v>2.4551752328619896E-5</v>
      </c>
      <c r="Z98">
        <f t="shared" si="33"/>
        <v>3.0524134751555712E-6</v>
      </c>
      <c r="AA98">
        <f t="shared" si="34"/>
        <v>9.4721647906694221E-6</v>
      </c>
      <c r="AC98" s="10">
        <v>95</v>
      </c>
      <c r="AD98">
        <f>MC($AC98,0,$T$128,$AE$2,AD$3)+MC($AC98,0,$U$128,$AE$2,AD$3)-MC($AC98,0,$V$128,$AE$2,AD$3)</f>
        <v>-1.6881230043293227E-2</v>
      </c>
      <c r="AE98">
        <f>MC($AC98,0,$T$128,$AE$2,AE$3)+MC($AC98,0,$U$128,$AE$2,AE$3)-MC($AC98,0,$V$128,$AE$2,AE$3)</f>
        <v>-1.8198795833030301E-2</v>
      </c>
      <c r="AF98">
        <f>MC($AC98,0,$T$128,$AE$2,AF$3)+MC($AC98,0,$U$128,$AE$2,AF$3)-MC($AC98,0,$V$128,$AE$2,AF$3)</f>
        <v>-1.8970270973968528E-2</v>
      </c>
      <c r="AG98">
        <f>MC($AC98,0,$T$128,$AE$2,AG$3)+MC($AC98,0,$U$128,$AE$2,AG$3)-MC($AC98,0,$V$128,$AE$2,AG$3)</f>
        <v>-2.0965420429309045E-2</v>
      </c>
      <c r="AH98">
        <f>MC($AC98,0,$T$128,$AE$2,AH$3)+MC($AC98,0,$U$128,$AE$2,AH$3)-MC($AC98,0,$V$128,$AE$2,AH$3)</f>
        <v>-1.8006140848408236E-2</v>
      </c>
      <c r="AI98">
        <f>MC($AC98,0,$T$128,$AE$2,AI$3)+MC($AC98,0,$U$128,$AE$2,AI$3)-MC($AC98,0,$V$128,$AE$2,AI$3)</f>
        <v>-2.1516901803145361E-2</v>
      </c>
      <c r="AJ98">
        <f>MC($AC98,0,$T$128,$AE$2,AJ$3)+MC($AC98,0,$U$128,$AE$2,AJ$3)-MC($AC98,0,$V$128,$AE$2,AJ$3)</f>
        <v>-1.389684887758702E-2</v>
      </c>
      <c r="AK98">
        <f>MC($AC98,0,$T$128,$AE$2,AK$3)+MC($AC98,0,$U$128,$AE$2,AK$3)-MC($AC98,0,$V$128,$AE$2,AK$3)</f>
        <v>-2.0919452911585035E-2</v>
      </c>
      <c r="AL98">
        <f>MC($AC98,0,$T$128,$AE$2,AL$3)+MC($AC98,0,$U$128,$AE$2,AL$3)-MC($AC98,0,$V$128,$AE$2,AL$3)</f>
        <v>-2.6176379421937401E-2</v>
      </c>
      <c r="AM98">
        <f>MC($AC98,0,$T$128,$AE$2,AM$3)+MC($AC98,0,$U$128,$AE$2,AM$3)-MC($AC98,0,$V$128,$AE$2,AM$3)</f>
        <v>-3.4525817367239808E-2</v>
      </c>
      <c r="AN98">
        <f>MC($AC98,0,$T$128,$AE$2,AN$3)+MC($AC98,0,$U$128,$AE$2,AN$3)-MC($AC98,0,$V$128,$AE$2,AN$3)</f>
        <v>-4.2651797012743353E-2</v>
      </c>
      <c r="AP98" s="10">
        <v>95</v>
      </c>
      <c r="AQ98">
        <f t="shared" si="22"/>
        <v>-0.26197508331661845</v>
      </c>
      <c r="AR98">
        <f t="shared" si="35"/>
        <v>-0.27407747070162358</v>
      </c>
      <c r="AS98">
        <f t="shared" si="35"/>
        <v>-0.28722507074579118</v>
      </c>
      <c r="AT98">
        <f t="shared" si="35"/>
        <v>-0.3016815616005748</v>
      </c>
      <c r="AU98">
        <f t="shared" si="35"/>
        <v>-0.31782719707411866</v>
      </c>
      <c r="AV98">
        <f t="shared" si="35"/>
        <v>-0.33624137923871744</v>
      </c>
      <c r="AW98">
        <f t="shared" si="35"/>
        <v>-0.35787567329187531</v>
      </c>
      <c r="AX98">
        <f t="shared" si="35"/>
        <v>-0.38447228768933972</v>
      </c>
      <c r="AY98">
        <f t="shared" si="35"/>
        <v>-0.41982785276809964</v>
      </c>
      <c r="AZ98">
        <f t="shared" si="35"/>
        <v>-0.47555259929498161</v>
      </c>
      <c r="BA98">
        <f t="shared" si="35"/>
        <v>-0.52655165390855752</v>
      </c>
    </row>
    <row r="99" spans="1:53">
      <c r="A99" s="3" t="s">
        <v>113</v>
      </c>
      <c r="B99" s="1">
        <v>98.940002000000007</v>
      </c>
      <c r="C99" s="1">
        <v>101.470001</v>
      </c>
      <c r="D99" s="1">
        <v>97.260002</v>
      </c>
      <c r="E99" s="1">
        <v>100.720001</v>
      </c>
      <c r="F99" s="1">
        <v>100.720001</v>
      </c>
      <c r="G99" s="1">
        <v>26868400</v>
      </c>
      <c r="H99" s="4">
        <v>45020</v>
      </c>
      <c r="I99" s="2">
        <v>88.800003000000004</v>
      </c>
      <c r="J99" s="2">
        <v>88.839995999999999</v>
      </c>
      <c r="K99" s="2">
        <v>86.559997999999993</v>
      </c>
      <c r="L99" s="2">
        <v>87.639999000000003</v>
      </c>
      <c r="M99" s="2">
        <v>87.639999000000003</v>
      </c>
      <c r="N99" s="2">
        <v>2874500</v>
      </c>
      <c r="O99">
        <f t="shared" si="23"/>
        <v>0.46527924718623909</v>
      </c>
      <c r="P99">
        <f t="shared" si="24"/>
        <v>0.53472075281376086</v>
      </c>
      <c r="Q99">
        <f t="shared" si="25"/>
        <v>232.63962359311955</v>
      </c>
      <c r="R99">
        <f t="shared" si="26"/>
        <v>267.36037640688045</v>
      </c>
      <c r="S99">
        <f t="shared" si="27"/>
        <v>500</v>
      </c>
      <c r="T99" s="10">
        <f t="shared" si="28"/>
        <v>2.3681288989544486E-2</v>
      </c>
      <c r="U99" s="11">
        <f t="shared" si="29"/>
        <v>-2.0496583921656808E-3</v>
      </c>
      <c r="V99">
        <f t="shared" si="31"/>
        <v>9.9224174349851549E-3</v>
      </c>
      <c r="W99">
        <v>27</v>
      </c>
      <c r="X99">
        <f t="shared" si="30"/>
        <v>1.1287643838552019E-2</v>
      </c>
      <c r="Y99">
        <f t="shared" si="32"/>
        <v>1.9090167849565227E-6</v>
      </c>
      <c r="Z99">
        <f t="shared" si="33"/>
        <v>1.2085037325690729E-5</v>
      </c>
      <c r="AA99">
        <f t="shared" si="34"/>
        <v>1.0408881680595643E-6</v>
      </c>
      <c r="AC99" s="10">
        <v>96</v>
      </c>
      <c r="AD99">
        <f>MC($AC99,0,$T$128,$AE$2,AD$3)+MC($AC99,0,$U$128,$AE$2,AD$3)-MC($AC99,0,$V$128,$AE$2,AD$3)</f>
        <v>-1.4887211776829279E-2</v>
      </c>
      <c r="AE99">
        <f>MC($AC99,0,$T$128,$AE$2,AE$3)+MC($AC99,0,$U$128,$AE$2,AE$3)-MC($AC99,0,$V$128,$AE$2,AE$3)</f>
        <v>-1.2950444078165813E-2</v>
      </c>
      <c r="AF99">
        <f>MC($AC99,0,$T$128,$AE$2,AF$3)+MC($AC99,0,$U$128,$AE$2,AF$3)-MC($AC99,0,$V$128,$AE$2,AF$3)</f>
        <v>-1.726826188351005E-2</v>
      </c>
      <c r="AG99">
        <f>MC($AC99,0,$T$128,$AE$2,AG$3)+MC($AC99,0,$U$128,$AE$2,AG$3)-MC($AC99,0,$V$128,$AE$2,AG$3)</f>
        <v>-2.2468340238922524E-2</v>
      </c>
      <c r="AH99">
        <f>MC($AC99,0,$T$128,$AE$2,AH$3)+MC($AC99,0,$U$128,$AE$2,AH$3)-MC($AC99,0,$V$128,$AE$2,AH$3)</f>
        <v>-1.8891919724489448E-2</v>
      </c>
      <c r="AI99">
        <f>MC($AC99,0,$T$128,$AE$2,AI$3)+MC($AC99,0,$U$128,$AE$2,AI$3)-MC($AC99,0,$V$128,$AE$2,AI$3)</f>
        <v>-2.3233112285528712E-2</v>
      </c>
      <c r="AJ99">
        <f>MC($AC99,0,$T$128,$AE$2,AJ$3)+MC($AC99,0,$U$128,$AE$2,AJ$3)-MC($AC99,0,$V$128,$AE$2,AJ$3)</f>
        <v>-2.2570706585523181E-2</v>
      </c>
      <c r="AK99">
        <f>MC($AC99,0,$T$128,$AE$2,AK$3)+MC($AC99,0,$U$128,$AE$2,AK$3)-MC($AC99,0,$V$128,$AE$2,AK$3)</f>
        <v>-2.0983442862090085E-2</v>
      </c>
      <c r="AL99">
        <f>MC($AC99,0,$T$128,$AE$2,AL$3)+MC($AC99,0,$U$128,$AE$2,AL$3)-MC($AC99,0,$V$128,$AE$2,AL$3)</f>
        <v>-2.4716817335294738E-2</v>
      </c>
      <c r="AM99">
        <f>MC($AC99,0,$T$128,$AE$2,AM$3)+MC($AC99,0,$U$128,$AE$2,AM$3)-MC($AC99,0,$V$128,$AE$2,AM$3)</f>
        <v>-2.7905454736732116E-2</v>
      </c>
      <c r="AN99">
        <f>MC($AC99,0,$T$128,$AE$2,AN$3)+MC($AC99,0,$U$128,$AE$2,AN$3)-MC($AC99,0,$V$128,$AE$2,AN$3)</f>
        <v>-2.8595350554052157E-2</v>
      </c>
      <c r="AP99" s="10">
        <v>96</v>
      </c>
      <c r="AQ99">
        <f t="shared" si="22"/>
        <v>-0.2633502900532998</v>
      </c>
      <c r="AR99">
        <f t="shared" si="35"/>
        <v>-0.27551620746738648</v>
      </c>
      <c r="AS99">
        <f t="shared" si="35"/>
        <v>-0.28873282425896007</v>
      </c>
      <c r="AT99">
        <f t="shared" si="35"/>
        <v>-0.30326520272626234</v>
      </c>
      <c r="AU99">
        <f t="shared" si="35"/>
        <v>-0.31949559277413475</v>
      </c>
      <c r="AV99">
        <f t="shared" si="35"/>
        <v>-0.33800643797646468</v>
      </c>
      <c r="AW99">
        <f t="shared" si="35"/>
        <v>-0.35975429865797737</v>
      </c>
      <c r="AX99">
        <f t="shared" si="35"/>
        <v>-0.3864905287884699</v>
      </c>
      <c r="AY99">
        <f t="shared" si="35"/>
        <v>-0.42203168865990959</v>
      </c>
      <c r="AZ99">
        <f t="shared" si="35"/>
        <v>-0.47804895555114624</v>
      </c>
      <c r="BA99">
        <f t="shared" si="35"/>
        <v>-0.52931572357693346</v>
      </c>
    </row>
    <row r="100" spans="1:53">
      <c r="A100" s="3" t="s">
        <v>114</v>
      </c>
      <c r="B100" s="1">
        <v>99.239998</v>
      </c>
      <c r="C100" s="1">
        <v>100.449997</v>
      </c>
      <c r="D100" s="1">
        <v>97.660004000000001</v>
      </c>
      <c r="E100" s="1">
        <v>98.550003000000004</v>
      </c>
      <c r="F100" s="1">
        <v>98.550003000000004</v>
      </c>
      <c r="G100" s="1">
        <v>20117700</v>
      </c>
      <c r="H100" s="4">
        <v>45021</v>
      </c>
      <c r="I100" s="2">
        <v>87.989998</v>
      </c>
      <c r="J100" s="2">
        <v>87.989998</v>
      </c>
      <c r="K100" s="2">
        <v>84.410004000000001</v>
      </c>
      <c r="L100" s="2">
        <v>85.699996999999996</v>
      </c>
      <c r="M100" s="2">
        <v>85.699996999999996</v>
      </c>
      <c r="N100" s="2">
        <v>3150800</v>
      </c>
      <c r="O100">
        <f t="shared" ref="O100:O126" si="36">M100/(F100+M100)</f>
        <v>0.46512888466757124</v>
      </c>
      <c r="P100">
        <f t="shared" ref="P100:P126" si="37">F100/(F100+M100)</f>
        <v>0.53487111533242881</v>
      </c>
      <c r="Q100">
        <f t="shared" ref="Q100:Q126" si="38">$R$2*O100</f>
        <v>232.56444233378562</v>
      </c>
      <c r="R100">
        <f t="shared" ref="R100:R126" si="39">$R$2*P100</f>
        <v>267.43555766621444</v>
      </c>
      <c r="S100">
        <f t="shared" si="27"/>
        <v>500.00000000000006</v>
      </c>
      <c r="T100" s="10">
        <f t="shared" si="28"/>
        <v>-2.1544856815479903E-2</v>
      </c>
      <c r="U100" s="11">
        <f t="shared" si="29"/>
        <v>-2.2136034027111375E-2</v>
      </c>
      <c r="V100">
        <f t="shared" si="31"/>
        <v>-2.1861060430024344E-2</v>
      </c>
      <c r="W100">
        <v>26</v>
      </c>
      <c r="X100">
        <f t="shared" si="30"/>
        <v>1.2008131743140447E-2</v>
      </c>
      <c r="Y100">
        <f t="shared" si="32"/>
        <v>1.2216614991124953E-5</v>
      </c>
      <c r="Z100">
        <f t="shared" si="33"/>
        <v>3.2311198358708029E-5</v>
      </c>
      <c r="AA100">
        <f t="shared" si="34"/>
        <v>1.9980902902753593E-5</v>
      </c>
      <c r="AC100" s="10">
        <v>97</v>
      </c>
      <c r="AD100">
        <f>MC($AC100,0,$T$128,$AE$2,AD$3)+MC($AC100,0,$U$128,$AE$2,AD$3)-MC($AC100,0,$V$128,$AE$2,AD$3)</f>
        <v>-1.7187883253372505E-2</v>
      </c>
      <c r="AE100">
        <f>MC($AC100,0,$T$128,$AE$2,AE$3)+MC($AC100,0,$U$128,$AE$2,AE$3)-MC($AC100,0,$V$128,$AE$2,AE$3)</f>
        <v>-1.800109875482403E-2</v>
      </c>
      <c r="AF100">
        <f>MC($AC100,0,$T$128,$AE$2,AF$3)+MC($AC100,0,$U$128,$AE$2,AF$3)-MC($AC100,0,$V$128,$AE$2,AF$3)</f>
        <v>-1.9951800966146793E-2</v>
      </c>
      <c r="AG100">
        <f>MC($AC100,0,$T$128,$AE$2,AG$3)+MC($AC100,0,$U$128,$AE$2,AG$3)-MC($AC100,0,$V$128,$AE$2,AG$3)</f>
        <v>-2.232919110201137E-2</v>
      </c>
      <c r="AH100">
        <f>MC($AC100,0,$T$128,$AE$2,AH$3)+MC($AC100,0,$U$128,$AE$2,AH$3)-MC($AC100,0,$V$128,$AE$2,AH$3)</f>
        <v>-2.0925093899129887E-2</v>
      </c>
      <c r="AI100">
        <f>MC($AC100,0,$T$128,$AE$2,AI$3)+MC($AC100,0,$U$128,$AE$2,AI$3)-MC($AC100,0,$V$128,$AE$2,AI$3)</f>
        <v>-2.2140978582331217E-2</v>
      </c>
      <c r="AJ100">
        <f>MC($AC100,0,$T$128,$AE$2,AJ$3)+MC($AC100,0,$U$128,$AE$2,AJ$3)-MC($AC100,0,$V$128,$AE$2,AJ$3)</f>
        <v>-2.1770325848635919E-2</v>
      </c>
      <c r="AK100">
        <f>MC($AC100,0,$T$128,$AE$2,AK$3)+MC($AC100,0,$U$128,$AE$2,AK$3)-MC($AC100,0,$V$128,$AE$2,AK$3)</f>
        <v>-2.6617505034757682E-2</v>
      </c>
      <c r="AL100">
        <f>MC($AC100,0,$T$128,$AE$2,AL$3)+MC($AC100,0,$U$128,$AE$2,AL$3)-MC($AC100,0,$V$128,$AE$2,AL$3)</f>
        <v>-2.4608975656318588E-2</v>
      </c>
      <c r="AM100">
        <f>MC($AC100,0,$T$128,$AE$2,AM$3)+MC($AC100,0,$U$128,$AE$2,AM$3)-MC($AC100,0,$V$128,$AE$2,AM$3)</f>
        <v>-2.6649921957954792E-2</v>
      </c>
      <c r="AN100">
        <f>MC($AC100,0,$T$128,$AE$2,AN$3)+MC($AC100,0,$U$128,$AE$2,AN$3)-MC($AC100,0,$V$128,$AE$2,AN$3)</f>
        <v>-4.0454323193935604E-2</v>
      </c>
      <c r="AP100" s="10">
        <v>97</v>
      </c>
      <c r="AQ100">
        <f t="shared" si="22"/>
        <v>-0.26471835271390809</v>
      </c>
      <c r="AR100">
        <f t="shared" si="35"/>
        <v>-0.27694747012425402</v>
      </c>
      <c r="AS100">
        <f t="shared" si="35"/>
        <v>-0.29023274512740005</v>
      </c>
      <c r="AT100">
        <f t="shared" si="35"/>
        <v>-0.30484061697785714</v>
      </c>
      <c r="AU100">
        <f t="shared" si="35"/>
        <v>-0.32115532130762048</v>
      </c>
      <c r="AV100">
        <f t="shared" si="35"/>
        <v>-0.33976232739184065</v>
      </c>
      <c r="AW100">
        <f t="shared" si="35"/>
        <v>-0.36162316473322542</v>
      </c>
      <c r="AX100">
        <f t="shared" si="35"/>
        <v>-0.38849828530549235</v>
      </c>
      <c r="AY100">
        <f t="shared" si="35"/>
        <v>-0.42422407582125365</v>
      </c>
      <c r="AZ100">
        <f t="shared" si="35"/>
        <v>-0.48053234345969953</v>
      </c>
      <c r="BA100">
        <f t="shared" si="35"/>
        <v>-0.53206543415045093</v>
      </c>
    </row>
    <row r="101" spans="1:53">
      <c r="A101" s="3" t="s">
        <v>115</v>
      </c>
      <c r="B101" s="1">
        <v>98.529999000000004</v>
      </c>
      <c r="C101" s="1">
        <v>103.239998</v>
      </c>
      <c r="D101" s="1">
        <v>98.269997000000004</v>
      </c>
      <c r="E101" s="1">
        <v>102.739998</v>
      </c>
      <c r="F101" s="1">
        <v>102.739998</v>
      </c>
      <c r="G101" s="1">
        <v>26849200</v>
      </c>
      <c r="H101" s="4">
        <v>45022</v>
      </c>
      <c r="I101" s="2">
        <v>84.32</v>
      </c>
      <c r="J101" s="2">
        <v>84.68</v>
      </c>
      <c r="K101" s="2">
        <v>82.32</v>
      </c>
      <c r="L101" s="2">
        <v>84.080001999999993</v>
      </c>
      <c r="M101" s="2">
        <v>84.080001999999993</v>
      </c>
      <c r="N101" s="2">
        <v>3686100</v>
      </c>
      <c r="O101">
        <f t="shared" si="36"/>
        <v>0.45005889091103735</v>
      </c>
      <c r="P101">
        <f t="shared" si="37"/>
        <v>0.54994110908896265</v>
      </c>
      <c r="Q101">
        <f t="shared" si="38"/>
        <v>225.02944545551867</v>
      </c>
      <c r="R101">
        <f t="shared" si="39"/>
        <v>274.97055454448133</v>
      </c>
      <c r="S101">
        <f t="shared" si="27"/>
        <v>500</v>
      </c>
      <c r="T101" s="10">
        <f t="shared" ref="T101:T126" si="40">(F101-F100)/F100</f>
        <v>4.2516437061904465E-2</v>
      </c>
      <c r="U101" s="11">
        <f t="shared" ref="U101:U126" si="41">(M101-M100)/M100</f>
        <v>-1.8903092843748911E-2</v>
      </c>
      <c r="V101">
        <f t="shared" si="31"/>
        <v>8.7393126658667376E-3</v>
      </c>
      <c r="W101">
        <v>25</v>
      </c>
      <c r="X101">
        <f t="shared" si="30"/>
        <v>1.2774608237383455E-2</v>
      </c>
      <c r="Y101">
        <f t="shared" si="32"/>
        <v>1.3477013458945765E-5</v>
      </c>
      <c r="Z101">
        <f t="shared" si="33"/>
        <v>2.9107212253308375E-5</v>
      </c>
      <c r="AA101">
        <f t="shared" si="34"/>
        <v>1.1808532156401377E-6</v>
      </c>
      <c r="AC101" s="10">
        <v>98</v>
      </c>
      <c r="AD101">
        <f>MC($AC101,0,$T$128,$AE$2,AD$3)+MC($AC101,0,$U$128,$AE$2,AD$3)-MC($AC101,0,$V$128,$AE$2,AD$3)</f>
        <v>-1.8607079734656251E-2</v>
      </c>
      <c r="AE101">
        <f>MC($AC101,0,$T$128,$AE$2,AE$3)+MC($AC101,0,$U$128,$AE$2,AE$3)-MC($AC101,0,$V$128,$AE$2,AE$3)</f>
        <v>-1.5289188995827097E-2</v>
      </c>
      <c r="AF101">
        <f>MC($AC101,0,$T$128,$AE$2,AF$3)+MC($AC101,0,$U$128,$AE$2,AF$3)-MC($AC101,0,$V$128,$AE$2,AF$3)</f>
        <v>-1.5666328228542081E-2</v>
      </c>
      <c r="AG101">
        <f>MC($AC101,0,$T$128,$AE$2,AG$3)+MC($AC101,0,$U$128,$AE$2,AG$3)-MC($AC101,0,$V$128,$AE$2,AG$3)</f>
        <v>-1.8969958255741659E-2</v>
      </c>
      <c r="AH101">
        <f>MC($AC101,0,$T$128,$AE$2,AH$3)+MC($AC101,0,$U$128,$AE$2,AH$3)-MC($AC101,0,$V$128,$AE$2,AH$3)</f>
        <v>-2.077862530212915E-2</v>
      </c>
      <c r="AI101">
        <f>MC($AC101,0,$T$128,$AE$2,AI$3)+MC($AC101,0,$U$128,$AE$2,AI$3)-MC($AC101,0,$V$128,$AE$2,AI$3)</f>
        <v>-2.2616370977199152E-2</v>
      </c>
      <c r="AJ101">
        <f>MC($AC101,0,$T$128,$AE$2,AJ$3)+MC($AC101,0,$U$128,$AE$2,AJ$3)-MC($AC101,0,$V$128,$AE$2,AJ$3)</f>
        <v>-1.7260705559495548E-2</v>
      </c>
      <c r="AK101">
        <f>MC($AC101,0,$T$128,$AE$2,AK$3)+MC($AC101,0,$U$128,$AE$2,AK$3)-MC($AC101,0,$V$128,$AE$2,AK$3)</f>
        <v>-2.8280241537825823E-2</v>
      </c>
      <c r="AL101">
        <f>MC($AC101,0,$T$128,$AE$2,AL$3)+MC($AC101,0,$U$128,$AE$2,AL$3)-MC($AC101,0,$V$128,$AE$2,AL$3)</f>
        <v>-2.5153727699014139E-2</v>
      </c>
      <c r="AM101">
        <f>MC($AC101,0,$T$128,$AE$2,AM$3)+MC($AC101,0,$U$128,$AE$2,AM$3)-MC($AC101,0,$V$128,$AE$2,AM$3)</f>
        <v>-3.7286469412600054E-2</v>
      </c>
      <c r="AN101">
        <f>MC($AC101,0,$T$128,$AE$2,AN$3)+MC($AC101,0,$U$128,$AE$2,AN$3)-MC($AC101,0,$V$128,$AE$2,AN$3)</f>
        <v>-3.3045814390998407E-2</v>
      </c>
      <c r="AP101" s="10">
        <v>98</v>
      </c>
      <c r="AQ101">
        <f t="shared" si="22"/>
        <v>-0.26607938149351762</v>
      </c>
      <c r="AR101">
        <f t="shared" si="35"/>
        <v>-0.27837137395795075</v>
      </c>
      <c r="AS101">
        <f t="shared" si="35"/>
        <v>-0.29172495416713518</v>
      </c>
      <c r="AT101">
        <f t="shared" si="35"/>
        <v>-0.3064079312522443</v>
      </c>
      <c r="AU101">
        <f t="shared" si="35"/>
        <v>-0.32280651636283009</v>
      </c>
      <c r="AV101">
        <f t="shared" si="35"/>
        <v>-0.3415091889186922</v>
      </c>
      <c r="AW101">
        <f t="shared" si="35"/>
        <v>-0.36348242205153936</v>
      </c>
      <c r="AX101">
        <f t="shared" si="35"/>
        <v>-0.39049571896171165</v>
      </c>
      <c r="AY101">
        <f t="shared" si="35"/>
        <v>-0.42640519084511452</v>
      </c>
      <c r="AZ101">
        <f t="shared" si="35"/>
        <v>-0.4830029630532291</v>
      </c>
      <c r="BA101">
        <f t="shared" si="35"/>
        <v>-0.53480100711352696</v>
      </c>
    </row>
    <row r="102" spans="1:53">
      <c r="A102" s="3" t="s">
        <v>116</v>
      </c>
      <c r="B102" s="1">
        <v>100.620003</v>
      </c>
      <c r="C102" s="1">
        <v>102.83000199999999</v>
      </c>
      <c r="D102" s="1">
        <v>100.589996</v>
      </c>
      <c r="E102" s="1">
        <v>101.540001</v>
      </c>
      <c r="F102" s="1">
        <v>101.540001</v>
      </c>
      <c r="G102" s="1">
        <v>16308300</v>
      </c>
      <c r="H102" s="4">
        <v>45026</v>
      </c>
      <c r="I102" s="2">
        <v>82.57</v>
      </c>
      <c r="J102" s="2">
        <v>83.669998000000007</v>
      </c>
      <c r="K102" s="2">
        <v>81.654999000000004</v>
      </c>
      <c r="L102" s="2">
        <v>83.529999000000004</v>
      </c>
      <c r="M102" s="2">
        <v>83.529999000000004</v>
      </c>
      <c r="N102" s="2">
        <v>3163900</v>
      </c>
      <c r="O102">
        <f t="shared" si="36"/>
        <v>0.45134272977792189</v>
      </c>
      <c r="P102">
        <f t="shared" si="37"/>
        <v>0.54865727022207822</v>
      </c>
      <c r="Q102">
        <f t="shared" si="38"/>
        <v>225.67136488896094</v>
      </c>
      <c r="R102">
        <f t="shared" si="39"/>
        <v>274.32863511103909</v>
      </c>
      <c r="S102">
        <f t="shared" si="27"/>
        <v>500</v>
      </c>
      <c r="T102" s="10">
        <f t="shared" si="40"/>
        <v>-1.167993988086311E-2</v>
      </c>
      <c r="U102" s="11">
        <f t="shared" si="41"/>
        <v>-6.5414246778917728E-3</v>
      </c>
      <c r="V102">
        <f t="shared" si="31"/>
        <v>-8.8606561566062086E-3</v>
      </c>
      <c r="W102">
        <v>24</v>
      </c>
      <c r="X102">
        <f t="shared" si="30"/>
        <v>1.3590008763173889E-2</v>
      </c>
      <c r="Y102">
        <f t="shared" si="32"/>
        <v>6.2295669389017891E-6</v>
      </c>
      <c r="Z102">
        <f t="shared" si="33"/>
        <v>1.6169775138961031E-5</v>
      </c>
      <c r="AA102">
        <f t="shared" si="34"/>
        <v>9.6557572635842279E-6</v>
      </c>
      <c r="AC102" s="10">
        <v>99</v>
      </c>
      <c r="AD102">
        <f>MC($AC102,0,$T$128,$AE$2,AD$3)+MC($AC102,0,$U$128,$AE$2,AD$3)-MC($AC102,0,$V$128,$AE$2,AD$3)</f>
        <v>-2.0520089671188568E-2</v>
      </c>
      <c r="AE102">
        <f>MC($AC102,0,$T$128,$AE$2,AE$3)+MC($AC102,0,$U$128,$AE$2,AE$3)-MC($AC102,0,$V$128,$AE$2,AE$3)</f>
        <v>-2.0552520241220895E-2</v>
      </c>
      <c r="AF102">
        <f>MC($AC102,0,$T$128,$AE$2,AF$3)+MC($AC102,0,$U$128,$AE$2,AF$3)-MC($AC102,0,$V$128,$AE$2,AF$3)</f>
        <v>-2.1688568428567923E-2</v>
      </c>
      <c r="AG102">
        <f>MC($AC102,0,$T$128,$AE$2,AG$3)+MC($AC102,0,$U$128,$AE$2,AG$3)-MC($AC102,0,$V$128,$AE$2,AG$3)</f>
        <v>-2.0255203969002045E-2</v>
      </c>
      <c r="AH102">
        <f>MC($AC102,0,$T$128,$AE$2,AH$3)+MC($AC102,0,$U$128,$AE$2,AH$3)-MC($AC102,0,$V$128,$AE$2,AH$3)</f>
        <v>-2.3236196866643688E-2</v>
      </c>
      <c r="AI102">
        <f>MC($AC102,0,$T$128,$AE$2,AI$3)+MC($AC102,0,$U$128,$AE$2,AI$3)-MC($AC102,0,$V$128,$AE$2,AI$3)</f>
        <v>-2.1514387890897879E-2</v>
      </c>
      <c r="AJ102">
        <f>MC($AC102,0,$T$128,$AE$2,AJ$3)+MC($AC102,0,$U$128,$AE$2,AJ$3)-MC($AC102,0,$V$128,$AE$2,AJ$3)</f>
        <v>-2.3231313826987732E-2</v>
      </c>
      <c r="AK102">
        <f>MC($AC102,0,$T$128,$AE$2,AK$3)+MC($AC102,0,$U$128,$AE$2,AK$3)-MC($AC102,0,$V$128,$AE$2,AK$3)</f>
        <v>-2.4503253200940822E-2</v>
      </c>
      <c r="AL102">
        <f>MC($AC102,0,$T$128,$AE$2,AL$3)+MC($AC102,0,$U$128,$AE$2,AL$3)-MC($AC102,0,$V$128,$AE$2,AL$3)</f>
        <v>-2.3048665859732642E-2</v>
      </c>
      <c r="AM102">
        <f>MC($AC102,0,$T$128,$AE$2,AM$3)+MC($AC102,0,$U$128,$AE$2,AM$3)-MC($AC102,0,$V$128,$AE$2,AM$3)</f>
        <v>-3.1347377189760772E-2</v>
      </c>
      <c r="AN102">
        <f>MC($AC102,0,$T$128,$AE$2,AN$3)+MC($AC102,0,$U$128,$AE$2,AN$3)-MC($AC102,0,$V$128,$AE$2,AN$3)</f>
        <v>-3.9978217534583527E-2</v>
      </c>
      <c r="AP102" s="10">
        <v>99</v>
      </c>
      <c r="AQ102">
        <f t="shared" si="22"/>
        <v>-0.26743348378312848</v>
      </c>
      <c r="AR102">
        <f t="shared" si="35"/>
        <v>-0.27978803132058705</v>
      </c>
      <c r="AS102">
        <f t="shared" si="35"/>
        <v>-0.29320956911984974</v>
      </c>
      <c r="AT102">
        <f t="shared" si="35"/>
        <v>-0.30796726921723327</v>
      </c>
      <c r="AU102">
        <f t="shared" si="35"/>
        <v>-0.3244493082261255</v>
      </c>
      <c r="AV102">
        <f t="shared" si="35"/>
        <v>-0.34324716039187531</v>
      </c>
      <c r="AW102">
        <f t="shared" si="35"/>
        <v>-0.36533221731628551</v>
      </c>
      <c r="AX102">
        <f t="shared" si="35"/>
        <v>-0.39248298736319864</v>
      </c>
      <c r="AY102">
        <f t="shared" si="35"/>
        <v>-0.42857520583080921</v>
      </c>
      <c r="AZ102">
        <f t="shared" si="35"/>
        <v>-0.48546100927420288</v>
      </c>
      <c r="BA102">
        <f t="shared" si="35"/>
        <v>-0.5375226583145849</v>
      </c>
    </row>
    <row r="103" spans="1:53">
      <c r="A103" s="3" t="s">
        <v>117</v>
      </c>
      <c r="B103" s="1">
        <v>102.459999</v>
      </c>
      <c r="C103" s="1">
        <v>102.540001</v>
      </c>
      <c r="D103" s="1">
        <v>99.199996999999996</v>
      </c>
      <c r="E103" s="1">
        <v>99.760002</v>
      </c>
      <c r="F103" s="1">
        <v>99.760002</v>
      </c>
      <c r="G103" s="1">
        <v>19017700</v>
      </c>
      <c r="H103" s="4">
        <v>45027</v>
      </c>
      <c r="I103" s="2">
        <v>83.879997000000003</v>
      </c>
      <c r="J103" s="2">
        <v>84.239998</v>
      </c>
      <c r="K103" s="2">
        <v>80.379997000000003</v>
      </c>
      <c r="L103" s="2">
        <v>82.029999000000004</v>
      </c>
      <c r="M103" s="2">
        <v>82.029999000000004</v>
      </c>
      <c r="N103" s="2">
        <v>4376400</v>
      </c>
      <c r="O103">
        <f t="shared" si="36"/>
        <v>0.45123493343288995</v>
      </c>
      <c r="P103">
        <f t="shared" si="37"/>
        <v>0.54876506656710999</v>
      </c>
      <c r="Q103">
        <f t="shared" si="38"/>
        <v>225.61746671644497</v>
      </c>
      <c r="R103">
        <f t="shared" si="39"/>
        <v>274.38253328355501</v>
      </c>
      <c r="S103">
        <f t="shared" si="27"/>
        <v>500</v>
      </c>
      <c r="T103" s="10">
        <f t="shared" si="40"/>
        <v>-1.7530027402698208E-2</v>
      </c>
      <c r="U103" s="11">
        <f t="shared" si="41"/>
        <v>-1.7957620231744523E-2</v>
      </c>
      <c r="V103">
        <f t="shared" si="31"/>
        <v>-1.7764675409993429E-2</v>
      </c>
      <c r="W103">
        <v>23</v>
      </c>
      <c r="X103">
        <f t="shared" si="30"/>
        <v>1.4457456131036051E-2</v>
      </c>
      <c r="Y103">
        <f t="shared" si="32"/>
        <v>1.0511231380057673E-5</v>
      </c>
      <c r="Z103">
        <f t="shared" si="33"/>
        <v>2.9352564638017063E-5</v>
      </c>
      <c r="AA103">
        <f t="shared" si="34"/>
        <v>1.7727801340458702E-5</v>
      </c>
      <c r="AC103" s="10">
        <v>100</v>
      </c>
      <c r="AD103">
        <f>MC($AC103,0,$T$128,$AE$2,AD$3)+MC($AC103,0,$U$128,$AE$2,AD$3)-MC($AC103,0,$V$128,$AE$2,AD$3)</f>
        <v>-1.2997135797890635E-2</v>
      </c>
      <c r="AE103">
        <f>MC($AC103,0,$T$128,$AE$2,AE$3)+MC($AC103,0,$U$128,$AE$2,AE$3)-MC($AC103,0,$V$128,$AE$2,AE$3)</f>
        <v>-2.0190784253212968E-2</v>
      </c>
      <c r="AF103">
        <f>MC($AC103,0,$T$128,$AE$2,AF$3)+MC($AC103,0,$U$128,$AE$2,AF$3)-MC($AC103,0,$V$128,$AE$2,AF$3)</f>
        <v>-1.8677430327967093E-2</v>
      </c>
      <c r="AG103">
        <f>MC($AC103,0,$T$128,$AE$2,AG$3)+MC($AC103,0,$U$128,$AE$2,AG$3)-MC($AC103,0,$V$128,$AE$2,AG$3)</f>
        <v>-1.9195658093284829E-2</v>
      </c>
      <c r="AH103">
        <f>MC($AC103,0,$T$128,$AE$2,AH$3)+MC($AC103,0,$U$128,$AE$2,AH$3)-MC($AC103,0,$V$128,$AE$2,AH$3)</f>
        <v>-1.8688475592670395E-2</v>
      </c>
      <c r="AI103">
        <f>MC($AC103,0,$T$128,$AE$2,AI$3)+MC($AC103,0,$U$128,$AE$2,AI$3)-MC($AC103,0,$V$128,$AE$2,AI$3)</f>
        <v>-2.3459363457948079E-2</v>
      </c>
      <c r="AJ103">
        <f>MC($AC103,0,$T$128,$AE$2,AJ$3)+MC($AC103,0,$U$128,$AE$2,AJ$3)-MC($AC103,0,$V$128,$AE$2,AJ$3)</f>
        <v>-2.8224575906508953E-2</v>
      </c>
      <c r="AK103">
        <f>MC($AC103,0,$T$128,$AE$2,AK$3)+MC($AC103,0,$U$128,$AE$2,AK$3)-MC($AC103,0,$V$128,$AE$2,AK$3)</f>
        <v>-2.1765162351694567E-2</v>
      </c>
      <c r="AL103">
        <f>MC($AC103,0,$T$128,$AE$2,AL$3)+MC($AC103,0,$U$128,$AE$2,AL$3)-MC($AC103,0,$V$128,$AE$2,AL$3)</f>
        <v>-2.8653998761605015E-2</v>
      </c>
      <c r="AM103">
        <f>MC($AC103,0,$T$128,$AE$2,AM$3)+MC($AC103,0,$U$128,$AE$2,AM$3)-MC($AC103,0,$V$128,$AE$2,AM$3)</f>
        <v>-3.3983973660790756E-2</v>
      </c>
      <c r="AN103">
        <f>MC($AC103,0,$T$128,$AE$2,AN$3)+MC($AC103,0,$U$128,$AE$2,AN$3)-MC($AC103,0,$V$128,$AE$2,AN$3)</f>
        <v>-3.51030535151442E-2</v>
      </c>
      <c r="AP103" s="10">
        <v>100</v>
      </c>
      <c r="AQ103">
        <f t="shared" si="22"/>
        <v>-0.26878076426855535</v>
      </c>
      <c r="AR103">
        <f t="shared" si="35"/>
        <v>-0.28119755173411898</v>
      </c>
      <c r="AS103">
        <f t="shared" si="35"/>
        <v>-0.29468670476130887</v>
      </c>
      <c r="AT103">
        <f t="shared" si="35"/>
        <v>-0.30951875142543361</v>
      </c>
      <c r="AU103">
        <f t="shared" si="35"/>
        <v>-0.3260838239019479</v>
      </c>
      <c r="AV103">
        <f t="shared" si="35"/>
        <v>-0.34497637617417864</v>
      </c>
      <c r="AW103">
        <f t="shared" si="35"/>
        <v>-0.3671726935353633</v>
      </c>
      <c r="AX103">
        <f t="shared" si="35"/>
        <v>-0.39446024414591829</v>
      </c>
      <c r="AY103">
        <f t="shared" si="35"/>
        <v>-0.43073428854246365</v>
      </c>
      <c r="AZ103">
        <f t="shared" si="35"/>
        <v>-0.48790667215447692</v>
      </c>
      <c r="BA103">
        <f t="shared" si="35"/>
        <v>-0.54023059816481434</v>
      </c>
    </row>
    <row r="104" spans="1:53">
      <c r="A104" s="3" t="s">
        <v>118</v>
      </c>
      <c r="B104" s="1">
        <v>97.82</v>
      </c>
      <c r="C104" s="1">
        <v>98.889999000000003</v>
      </c>
      <c r="D104" s="1">
        <v>93.580001999999993</v>
      </c>
      <c r="E104" s="1">
        <v>93.839995999999999</v>
      </c>
      <c r="F104" s="1">
        <v>93.839995999999999</v>
      </c>
      <c r="G104" s="1">
        <v>35516000</v>
      </c>
      <c r="H104" s="4">
        <v>45028</v>
      </c>
      <c r="I104" s="2">
        <v>83.290001000000004</v>
      </c>
      <c r="J104" s="2">
        <v>83.910004000000001</v>
      </c>
      <c r="K104" s="2">
        <v>80.779999000000004</v>
      </c>
      <c r="L104" s="2">
        <v>81.300003000000004</v>
      </c>
      <c r="M104" s="2">
        <v>81.300003000000004</v>
      </c>
      <c r="N104" s="2">
        <v>2965600</v>
      </c>
      <c r="O104">
        <f t="shared" si="36"/>
        <v>0.46420008829622073</v>
      </c>
      <c r="P104">
        <f t="shared" si="37"/>
        <v>0.53579991170377939</v>
      </c>
      <c r="Q104">
        <f t="shared" si="38"/>
        <v>232.10004414811036</v>
      </c>
      <c r="R104">
        <f t="shared" si="39"/>
        <v>267.89995585188967</v>
      </c>
      <c r="S104">
        <f t="shared" si="27"/>
        <v>500</v>
      </c>
      <c r="T104" s="10">
        <f t="shared" si="40"/>
        <v>-5.9342480766991168E-2</v>
      </c>
      <c r="U104" s="11">
        <f t="shared" si="41"/>
        <v>-8.8991345714876796E-3</v>
      </c>
      <c r="V104">
        <f t="shared" si="31"/>
        <v>-3.2314940329397232E-2</v>
      </c>
      <c r="W104">
        <v>22</v>
      </c>
      <c r="X104">
        <f t="shared" si="30"/>
        <v>1.5380272479825588E-2</v>
      </c>
      <c r="Y104">
        <f t="shared" si="32"/>
        <v>7.2144587443432934E-5</v>
      </c>
      <c r="Z104">
        <f t="shared" si="33"/>
        <v>1.9029115969455163E-5</v>
      </c>
      <c r="AA104">
        <f t="shared" si="34"/>
        <v>3.6991200263547863E-5</v>
      </c>
    </row>
    <row r="105" spans="1:53">
      <c r="A105" s="3" t="s">
        <v>119</v>
      </c>
      <c r="B105" s="1">
        <v>95.875</v>
      </c>
      <c r="C105" s="1">
        <v>97.190002000000007</v>
      </c>
      <c r="D105" s="1">
        <v>95.095000999999996</v>
      </c>
      <c r="E105" s="1">
        <v>96.169998000000007</v>
      </c>
      <c r="F105" s="1">
        <v>96.169998000000007</v>
      </c>
      <c r="G105" s="1">
        <v>24231700</v>
      </c>
      <c r="H105" s="4">
        <v>45029</v>
      </c>
      <c r="I105" s="2">
        <v>83.279999000000004</v>
      </c>
      <c r="J105" s="2">
        <v>85.309997999999993</v>
      </c>
      <c r="K105" s="2">
        <v>83.059997999999993</v>
      </c>
      <c r="L105" s="2">
        <v>83.970000999999996</v>
      </c>
      <c r="M105" s="2">
        <v>83.970000999999996</v>
      </c>
      <c r="N105" s="2">
        <v>2602500</v>
      </c>
      <c r="O105">
        <f t="shared" si="36"/>
        <v>0.46613745678992707</v>
      </c>
      <c r="P105">
        <f t="shared" si="37"/>
        <v>0.53386254321007298</v>
      </c>
      <c r="Q105">
        <f t="shared" si="38"/>
        <v>233.06872839496353</v>
      </c>
      <c r="R105">
        <f t="shared" si="39"/>
        <v>266.9312716050365</v>
      </c>
      <c r="S105">
        <f t="shared" si="27"/>
        <v>500</v>
      </c>
      <c r="T105" s="10">
        <f t="shared" si="40"/>
        <v>2.4829519387447624E-2</v>
      </c>
      <c r="U105" s="11">
        <f t="shared" si="41"/>
        <v>3.284130260118185E-2</v>
      </c>
      <c r="V105">
        <f t="shared" si="31"/>
        <v>2.910671034957955E-2</v>
      </c>
      <c r="W105">
        <v>21</v>
      </c>
      <c r="X105">
        <f t="shared" si="30"/>
        <v>1.6361991999814453E-2</v>
      </c>
      <c r="Y105">
        <f t="shared" si="32"/>
        <v>4.1686862388266125E-6</v>
      </c>
      <c r="Z105">
        <f t="shared" si="33"/>
        <v>8.8787454487154088E-7</v>
      </c>
      <c r="AA105">
        <f t="shared" si="34"/>
        <v>2.7182972204727375E-6</v>
      </c>
    </row>
    <row r="106" spans="1:53">
      <c r="A106" s="3" t="s">
        <v>120</v>
      </c>
      <c r="B106" s="1">
        <v>95.629997000000003</v>
      </c>
      <c r="C106" s="1">
        <v>96.120002999999997</v>
      </c>
      <c r="D106" s="1">
        <v>93.839995999999999</v>
      </c>
      <c r="E106" s="1">
        <v>94.550003000000004</v>
      </c>
      <c r="F106" s="1">
        <v>94.550003000000004</v>
      </c>
      <c r="G106" s="1">
        <v>14098700</v>
      </c>
      <c r="H106" s="4">
        <v>45030</v>
      </c>
      <c r="I106" s="2">
        <v>83.349997999999999</v>
      </c>
      <c r="J106" s="2">
        <v>85.300003000000004</v>
      </c>
      <c r="K106" s="2">
        <v>82.480002999999996</v>
      </c>
      <c r="L106" s="2">
        <v>83.519997000000004</v>
      </c>
      <c r="M106" s="2">
        <v>83.519997000000004</v>
      </c>
      <c r="N106" s="2">
        <v>1962000</v>
      </c>
      <c r="O106">
        <f t="shared" si="36"/>
        <v>0.46902901667883423</v>
      </c>
      <c r="P106">
        <f t="shared" si="37"/>
        <v>0.53097098332116588</v>
      </c>
      <c r="Q106">
        <f t="shared" si="38"/>
        <v>234.51450833941712</v>
      </c>
      <c r="R106">
        <f t="shared" si="39"/>
        <v>265.48549166058297</v>
      </c>
      <c r="S106">
        <f t="shared" si="27"/>
        <v>500.00000000000011</v>
      </c>
      <c r="T106" s="10">
        <f t="shared" si="40"/>
        <v>-1.6845118370492251E-2</v>
      </c>
      <c r="U106" s="11">
        <f t="shared" si="41"/>
        <v>-5.3591043782409004E-3</v>
      </c>
      <c r="V106">
        <f t="shared" si="31"/>
        <v>-1.0746378226585883E-2</v>
      </c>
      <c r="W106">
        <v>20</v>
      </c>
      <c r="X106">
        <f t="shared" si="30"/>
        <v>1.7406374467887717E-2</v>
      </c>
      <c r="Y106">
        <f t="shared" si="32"/>
        <v>1.1267688794465503E-5</v>
      </c>
      <c r="Z106">
        <f t="shared" si="33"/>
        <v>1.5726264149866377E-5</v>
      </c>
      <c r="AA106">
        <f t="shared" si="34"/>
        <v>1.2195699411852166E-5</v>
      </c>
    </row>
    <row r="107" spans="1:53">
      <c r="A107" s="3" t="s">
        <v>121</v>
      </c>
      <c r="B107" s="1">
        <v>96.739998</v>
      </c>
      <c r="C107" s="1">
        <v>97.230002999999996</v>
      </c>
      <c r="D107" s="1">
        <v>95.489998</v>
      </c>
      <c r="E107" s="1">
        <v>96.419998000000007</v>
      </c>
      <c r="F107" s="1">
        <v>96.419998000000007</v>
      </c>
      <c r="G107" s="1">
        <v>15714100</v>
      </c>
      <c r="H107" s="4">
        <v>45033</v>
      </c>
      <c r="I107" s="2">
        <v>83.839995999999999</v>
      </c>
      <c r="J107" s="2">
        <v>84.305000000000007</v>
      </c>
      <c r="K107" s="2">
        <v>82.68</v>
      </c>
      <c r="L107" s="2">
        <v>82.849997999999999</v>
      </c>
      <c r="M107" s="2">
        <v>82.849997999999999</v>
      </c>
      <c r="N107" s="2">
        <v>2779700</v>
      </c>
      <c r="O107">
        <f t="shared" si="36"/>
        <v>0.46215206029234251</v>
      </c>
      <c r="P107">
        <f t="shared" si="37"/>
        <v>0.53784793970765754</v>
      </c>
      <c r="Q107">
        <f t="shared" si="38"/>
        <v>231.07603014617126</v>
      </c>
      <c r="R107">
        <f t="shared" si="39"/>
        <v>268.92396985382879</v>
      </c>
      <c r="S107">
        <f t="shared" si="27"/>
        <v>500.00000000000006</v>
      </c>
      <c r="T107" s="10">
        <f t="shared" si="40"/>
        <v>1.9777841783886595E-2</v>
      </c>
      <c r="U107" s="11">
        <f t="shared" si="41"/>
        <v>-8.0220189663082024E-3</v>
      </c>
      <c r="V107">
        <f t="shared" si="31"/>
        <v>4.8257439552345498E-3</v>
      </c>
      <c r="W107">
        <v>19</v>
      </c>
      <c r="X107">
        <f t="shared" si="30"/>
        <v>1.851741964668906E-2</v>
      </c>
      <c r="Y107">
        <f t="shared" si="32"/>
        <v>2.4243623331498614E-6</v>
      </c>
      <c r="Z107">
        <f t="shared" si="33"/>
        <v>1.89243934089047E-5</v>
      </c>
      <c r="AA107">
        <f t="shared" si="34"/>
        <v>2.0100116280762847E-6</v>
      </c>
    </row>
    <row r="108" spans="1:53">
      <c r="A108" s="3" t="s">
        <v>122</v>
      </c>
      <c r="B108" s="1">
        <v>99.019997000000004</v>
      </c>
      <c r="C108" s="1">
        <v>99.169998000000007</v>
      </c>
      <c r="D108" s="1">
        <v>95.180999999999997</v>
      </c>
      <c r="E108" s="1">
        <v>95.489998</v>
      </c>
      <c r="F108" s="1">
        <v>95.489998</v>
      </c>
      <c r="G108" s="1">
        <v>20672300</v>
      </c>
      <c r="H108" s="4">
        <v>45034</v>
      </c>
      <c r="I108" s="2">
        <v>83.540001000000004</v>
      </c>
      <c r="J108" s="2">
        <v>84.239998</v>
      </c>
      <c r="K108" s="2">
        <v>81.550003000000004</v>
      </c>
      <c r="L108" s="2">
        <v>82.510002</v>
      </c>
      <c r="M108" s="2">
        <v>82.510002</v>
      </c>
      <c r="N108" s="2">
        <v>2995800</v>
      </c>
      <c r="O108">
        <f t="shared" si="36"/>
        <v>0.46353933707865169</v>
      </c>
      <c r="P108">
        <f t="shared" si="37"/>
        <v>0.53646066292134831</v>
      </c>
      <c r="Q108">
        <f t="shared" si="38"/>
        <v>231.76966853932583</v>
      </c>
      <c r="R108">
        <f t="shared" si="39"/>
        <v>268.23033146067417</v>
      </c>
      <c r="S108">
        <f t="shared" si="27"/>
        <v>500</v>
      </c>
      <c r="T108" s="10">
        <f t="shared" si="40"/>
        <v>-9.6453020046734159E-3</v>
      </c>
      <c r="U108" s="11">
        <f t="shared" si="41"/>
        <v>-4.1037538709415454E-3</v>
      </c>
      <c r="V108">
        <f t="shared" si="31"/>
        <v>-6.6724794192410562E-3</v>
      </c>
      <c r="W108">
        <v>18</v>
      </c>
      <c r="X108">
        <f t="shared" si="30"/>
        <v>1.9699382602860707E-2</v>
      </c>
      <c r="Y108">
        <f t="shared" si="32"/>
        <v>6.1904851185979018E-6</v>
      </c>
      <c r="Z108">
        <f t="shared" si="33"/>
        <v>1.4703940777365395E-5</v>
      </c>
      <c r="AA108">
        <f t="shared" si="34"/>
        <v>9.0657736395105528E-6</v>
      </c>
    </row>
    <row r="109" spans="1:53">
      <c r="A109" s="3" t="s">
        <v>123</v>
      </c>
      <c r="B109" s="1">
        <v>94.599997999999999</v>
      </c>
      <c r="C109" s="1">
        <v>94.82</v>
      </c>
      <c r="D109" s="1">
        <v>92.949996999999996</v>
      </c>
      <c r="E109" s="1">
        <v>93.489998</v>
      </c>
      <c r="F109" s="1">
        <v>93.489998</v>
      </c>
      <c r="G109" s="1">
        <v>18985200</v>
      </c>
      <c r="H109" s="4">
        <v>45035</v>
      </c>
      <c r="I109" s="2">
        <v>81.150002000000001</v>
      </c>
      <c r="J109" s="2">
        <v>82.199996999999996</v>
      </c>
      <c r="K109" s="2">
        <v>79.778998999999999</v>
      </c>
      <c r="L109" s="2">
        <v>81.489998</v>
      </c>
      <c r="M109" s="2">
        <v>81.489998</v>
      </c>
      <c r="N109" s="2">
        <v>1712400</v>
      </c>
      <c r="O109">
        <f t="shared" si="36"/>
        <v>0.46571036611522154</v>
      </c>
      <c r="P109">
        <f t="shared" si="37"/>
        <v>0.53428963388477846</v>
      </c>
      <c r="Q109">
        <f t="shared" si="38"/>
        <v>232.85518305761076</v>
      </c>
      <c r="R109">
        <f t="shared" si="39"/>
        <v>267.14481694238924</v>
      </c>
      <c r="S109">
        <f t="shared" si="27"/>
        <v>500</v>
      </c>
      <c r="T109" s="10">
        <f t="shared" si="40"/>
        <v>-2.0944601967632252E-2</v>
      </c>
      <c r="U109" s="11">
        <f t="shared" si="41"/>
        <v>-1.2362186101995248E-2</v>
      </c>
      <c r="V109">
        <f t="shared" si="31"/>
        <v>-1.6359106136934143E-2</v>
      </c>
      <c r="W109">
        <v>17</v>
      </c>
      <c r="X109">
        <f t="shared" si="30"/>
        <v>2.0956790003043305E-2</v>
      </c>
      <c r="Y109">
        <f t="shared" si="32"/>
        <v>1.735842304033376E-5</v>
      </c>
      <c r="Z109">
        <f t="shared" si="33"/>
        <v>2.5484307680729814E-5</v>
      </c>
      <c r="AA109">
        <f t="shared" si="34"/>
        <v>1.9737133401640568E-5</v>
      </c>
    </row>
    <row r="110" spans="1:53">
      <c r="A110" s="3" t="s">
        <v>124</v>
      </c>
      <c r="B110" s="1">
        <v>93.349997999999999</v>
      </c>
      <c r="C110" s="1">
        <v>93.790001000000004</v>
      </c>
      <c r="D110" s="1">
        <v>90.050003000000004</v>
      </c>
      <c r="E110" s="1">
        <v>90.739998</v>
      </c>
      <c r="F110" s="1">
        <v>90.739998</v>
      </c>
      <c r="G110" s="1">
        <v>25533900</v>
      </c>
      <c r="H110" s="4">
        <v>45036</v>
      </c>
      <c r="I110" s="2">
        <v>79</v>
      </c>
      <c r="J110" s="2">
        <v>80.220000999999996</v>
      </c>
      <c r="K110" s="2">
        <v>77.989998</v>
      </c>
      <c r="L110" s="2">
        <v>78.760002</v>
      </c>
      <c r="M110" s="2">
        <v>78.760002</v>
      </c>
      <c r="N110" s="2">
        <v>3605000</v>
      </c>
      <c r="O110">
        <f t="shared" si="36"/>
        <v>0.46466077876106193</v>
      </c>
      <c r="P110">
        <f t="shared" si="37"/>
        <v>0.53533922123893807</v>
      </c>
      <c r="Q110">
        <f t="shared" si="38"/>
        <v>232.33038938053096</v>
      </c>
      <c r="R110">
        <f t="shared" si="39"/>
        <v>267.66961061946904</v>
      </c>
      <c r="S110">
        <f t="shared" si="27"/>
        <v>500</v>
      </c>
      <c r="T110" s="10">
        <f t="shared" si="40"/>
        <v>-2.9414911314898092E-2</v>
      </c>
      <c r="U110" s="11">
        <f t="shared" si="41"/>
        <v>-3.3500994809203453E-2</v>
      </c>
      <c r="V110">
        <f t="shared" si="31"/>
        <v>-3.16023520706568E-2</v>
      </c>
      <c r="W110">
        <v>16</v>
      </c>
      <c r="X110">
        <f t="shared" si="30"/>
        <v>2.229445745004607E-2</v>
      </c>
      <c r="Y110">
        <f t="shared" si="32"/>
        <v>3.0540480107657463E-5</v>
      </c>
      <c r="Z110">
        <f t="shared" si="33"/>
        <v>6.8239744972041841E-5</v>
      </c>
      <c r="AA110">
        <f t="shared" si="34"/>
        <v>4.614594836691063E-5</v>
      </c>
      <c r="AZ110" s="6"/>
    </row>
    <row r="111" spans="1:53">
      <c r="A111" s="3" t="s">
        <v>125</v>
      </c>
      <c r="B111" s="1">
        <v>89.959998999999996</v>
      </c>
      <c r="C111" s="1">
        <v>90.190002000000007</v>
      </c>
      <c r="D111" s="1">
        <v>88.300003000000004</v>
      </c>
      <c r="E111" s="1">
        <v>89.129997000000003</v>
      </c>
      <c r="F111" s="1">
        <v>89.129997000000003</v>
      </c>
      <c r="G111" s="1">
        <v>23097300</v>
      </c>
      <c r="H111" s="4">
        <v>45037</v>
      </c>
      <c r="I111" s="2">
        <v>78.459998999999996</v>
      </c>
      <c r="J111" s="2">
        <v>79.419998000000007</v>
      </c>
      <c r="K111" s="2">
        <v>77.669998000000007</v>
      </c>
      <c r="L111" s="2">
        <v>79.169998000000007</v>
      </c>
      <c r="M111" s="2">
        <v>79.169998000000007</v>
      </c>
      <c r="N111" s="2">
        <v>2069200</v>
      </c>
      <c r="O111">
        <f t="shared" si="36"/>
        <v>0.47040998426648795</v>
      </c>
      <c r="P111">
        <f t="shared" si="37"/>
        <v>0.52959001573351194</v>
      </c>
      <c r="Q111">
        <f t="shared" si="38"/>
        <v>235.20499213324396</v>
      </c>
      <c r="R111">
        <f t="shared" si="39"/>
        <v>264.79500786675595</v>
      </c>
      <c r="S111">
        <f t="shared" si="27"/>
        <v>499.99999999999989</v>
      </c>
      <c r="T111" s="10">
        <f t="shared" si="40"/>
        <v>-1.7743013395261447E-2</v>
      </c>
      <c r="U111" s="11">
        <f t="shared" si="41"/>
        <v>5.2056372471906065E-3</v>
      </c>
      <c r="V111">
        <f t="shared" si="31"/>
        <v>-5.5896371404623932E-3</v>
      </c>
      <c r="W111">
        <v>15</v>
      </c>
      <c r="X111">
        <f t="shared" si="30"/>
        <v>2.3717507925580923E-2</v>
      </c>
      <c r="Y111">
        <f t="shared" si="32"/>
        <v>1.4952281799711389E-5</v>
      </c>
      <c r="Z111">
        <f t="shared" si="33"/>
        <v>6.0363472213268025E-6</v>
      </c>
      <c r="AA111">
        <f t="shared" si="34"/>
        <v>8.615759269631503E-6</v>
      </c>
    </row>
    <row r="112" spans="1:53">
      <c r="A112" s="3" t="s">
        <v>126</v>
      </c>
      <c r="B112" s="1">
        <v>88.400002000000001</v>
      </c>
      <c r="C112" s="1">
        <v>88.480002999999996</v>
      </c>
      <c r="D112" s="1">
        <v>86.040001000000004</v>
      </c>
      <c r="E112" s="1">
        <v>86.889999000000003</v>
      </c>
      <c r="F112" s="1">
        <v>86.889999000000003</v>
      </c>
      <c r="G112" s="1">
        <v>22757100</v>
      </c>
      <c r="H112" s="4">
        <v>45040</v>
      </c>
      <c r="I112" s="2">
        <v>79.160004000000001</v>
      </c>
      <c r="J112" s="2">
        <v>80.769997000000004</v>
      </c>
      <c r="K112" s="2">
        <v>78.180000000000007</v>
      </c>
      <c r="L112" s="2">
        <v>78.709998999999996</v>
      </c>
      <c r="M112" s="2">
        <v>78.709998999999996</v>
      </c>
      <c r="N112" s="2">
        <v>2309000</v>
      </c>
      <c r="O112">
        <f t="shared" si="36"/>
        <v>0.4753019320688639</v>
      </c>
      <c r="P112">
        <f t="shared" si="37"/>
        <v>0.52469806793113616</v>
      </c>
      <c r="Q112">
        <f t="shared" si="38"/>
        <v>237.65096603443195</v>
      </c>
      <c r="R112">
        <f t="shared" si="39"/>
        <v>262.34903396556808</v>
      </c>
      <c r="S112">
        <f t="shared" si="27"/>
        <v>500</v>
      </c>
      <c r="T112" s="10">
        <f t="shared" si="40"/>
        <v>-2.5131808318135586E-2</v>
      </c>
      <c r="U112" s="11">
        <f t="shared" si="41"/>
        <v>-5.8102691880832233E-3</v>
      </c>
      <c r="V112">
        <f t="shared" si="31"/>
        <v>-1.4993834067141268E-2</v>
      </c>
      <c r="W112">
        <v>14</v>
      </c>
      <c r="X112">
        <f t="shared" si="30"/>
        <v>2.5231391410192476E-2</v>
      </c>
      <c r="Y112">
        <f t="shared" si="32"/>
        <v>2.6279383384198971E-5</v>
      </c>
      <c r="Z112">
        <f t="shared" si="33"/>
        <v>1.7485088189665056E-5</v>
      </c>
      <c r="AA112">
        <f t="shared" si="34"/>
        <v>1.9856909914779304E-5</v>
      </c>
    </row>
    <row r="113" spans="1:27">
      <c r="A113" s="3" t="s">
        <v>127</v>
      </c>
      <c r="B113" s="1">
        <v>85.32</v>
      </c>
      <c r="C113" s="1">
        <v>85.699996999999996</v>
      </c>
      <c r="D113" s="1">
        <v>82.211997999999994</v>
      </c>
      <c r="E113" s="1">
        <v>82.919998000000007</v>
      </c>
      <c r="F113" s="1">
        <v>82.919998000000007</v>
      </c>
      <c r="G113" s="1">
        <v>36441300</v>
      </c>
      <c r="H113" s="4">
        <v>45041</v>
      </c>
      <c r="I113" s="2">
        <v>76.839995999999999</v>
      </c>
      <c r="J113" s="2">
        <v>78.099997999999999</v>
      </c>
      <c r="K113" s="2">
        <v>74.330001999999993</v>
      </c>
      <c r="L113" s="2">
        <v>74.940002000000007</v>
      </c>
      <c r="M113" s="2">
        <v>74.940002000000007</v>
      </c>
      <c r="N113" s="2">
        <v>3769900</v>
      </c>
      <c r="O113">
        <f t="shared" si="36"/>
        <v>0.4747244520461168</v>
      </c>
      <c r="P113">
        <f t="shared" si="37"/>
        <v>0.5252755479538832</v>
      </c>
      <c r="Q113">
        <f t="shared" si="38"/>
        <v>237.36222602305841</v>
      </c>
      <c r="R113">
        <f t="shared" si="39"/>
        <v>262.63777397694162</v>
      </c>
      <c r="S113">
        <f t="shared" si="27"/>
        <v>500</v>
      </c>
      <c r="T113" s="10">
        <f t="shared" si="40"/>
        <v>-4.5689964848543686E-2</v>
      </c>
      <c r="U113" s="11">
        <f t="shared" si="41"/>
        <v>-4.7897307176944438E-2</v>
      </c>
      <c r="V113">
        <f t="shared" si="31"/>
        <v>-4.6849427799616192E-2</v>
      </c>
      <c r="W113">
        <v>13</v>
      </c>
      <c r="X113">
        <f t="shared" si="30"/>
        <v>2.6841905755523907E-2</v>
      </c>
      <c r="Y113">
        <f t="shared" si="32"/>
        <v>7.4303060510955333E-5</v>
      </c>
      <c r="Z113">
        <f t="shared" si="33"/>
        <v>1.2333982901579585E-4</v>
      </c>
      <c r="AA113">
        <f t="shared" si="34"/>
        <v>9.5062610589316188E-5</v>
      </c>
    </row>
    <row r="114" spans="1:27">
      <c r="A114" s="3" t="s">
        <v>128</v>
      </c>
      <c r="B114" s="1">
        <v>85.040001000000004</v>
      </c>
      <c r="C114" s="1">
        <v>85.220000999999996</v>
      </c>
      <c r="D114" s="1">
        <v>82.760002</v>
      </c>
      <c r="E114" s="1">
        <v>82.82</v>
      </c>
      <c r="F114" s="1">
        <v>82.82</v>
      </c>
      <c r="G114" s="1">
        <v>24983000</v>
      </c>
      <c r="H114" s="4">
        <v>45042</v>
      </c>
      <c r="I114" s="2">
        <v>76.620002999999997</v>
      </c>
      <c r="J114" s="2">
        <v>76.879997000000003</v>
      </c>
      <c r="K114" s="2">
        <v>72.809997999999993</v>
      </c>
      <c r="L114" s="2">
        <v>73.470000999999996</v>
      </c>
      <c r="M114" s="2">
        <v>73.470000999999996</v>
      </c>
      <c r="N114" s="2">
        <v>3044700</v>
      </c>
      <c r="O114">
        <f t="shared" si="36"/>
        <v>0.47008766095023574</v>
      </c>
      <c r="P114">
        <f t="shared" si="37"/>
        <v>0.52991233904976431</v>
      </c>
      <c r="Q114">
        <f t="shared" si="38"/>
        <v>235.04383047511786</v>
      </c>
      <c r="R114">
        <f t="shared" si="39"/>
        <v>264.95616952488217</v>
      </c>
      <c r="S114">
        <f t="shared" si="27"/>
        <v>500</v>
      </c>
      <c r="T114" s="10">
        <f t="shared" si="40"/>
        <v>-1.2059575785326668E-3</v>
      </c>
      <c r="U114" s="11">
        <f t="shared" si="41"/>
        <v>-1.9615705374547633E-2</v>
      </c>
      <c r="V114">
        <f t="shared" si="31"/>
        <v>-1.0961510094435202E-2</v>
      </c>
      <c r="W114">
        <v>12</v>
      </c>
      <c r="X114">
        <f t="shared" si="30"/>
        <v>2.8555218888855222E-2</v>
      </c>
      <c r="Y114">
        <f t="shared" si="32"/>
        <v>1.7904937335266089E-6</v>
      </c>
      <c r="Z114">
        <f t="shared" si="33"/>
        <v>4.3208406909524891E-5</v>
      </c>
      <c r="AA114">
        <f t="shared" si="34"/>
        <v>1.5419268100128238E-5</v>
      </c>
    </row>
    <row r="115" spans="1:27">
      <c r="A115" s="3" t="s">
        <v>129</v>
      </c>
      <c r="B115" s="1">
        <v>83.07</v>
      </c>
      <c r="C115" s="1">
        <v>84.639999000000003</v>
      </c>
      <c r="D115" s="1">
        <v>82.639999000000003</v>
      </c>
      <c r="E115" s="1">
        <v>84.470000999999996</v>
      </c>
      <c r="F115" s="1">
        <v>84.470000999999996</v>
      </c>
      <c r="G115" s="1">
        <v>24506800</v>
      </c>
      <c r="H115" s="4">
        <v>45043</v>
      </c>
      <c r="I115" s="2">
        <v>74.709998999999996</v>
      </c>
      <c r="J115" s="2">
        <v>75.680000000000007</v>
      </c>
      <c r="K115" s="2">
        <v>73.739998</v>
      </c>
      <c r="L115" s="2">
        <v>74.730002999999996</v>
      </c>
      <c r="M115" s="2">
        <v>74.730002999999996</v>
      </c>
      <c r="N115" s="2">
        <v>2722200</v>
      </c>
      <c r="O115">
        <f t="shared" si="36"/>
        <v>0.46940955478870472</v>
      </c>
      <c r="P115">
        <f t="shared" si="37"/>
        <v>0.53059044521129539</v>
      </c>
      <c r="Q115">
        <f t="shared" si="38"/>
        <v>234.70477739435236</v>
      </c>
      <c r="R115">
        <f t="shared" si="39"/>
        <v>265.29522260564772</v>
      </c>
      <c r="S115">
        <f t="shared" si="27"/>
        <v>500.00000000000011</v>
      </c>
      <c r="T115" s="10">
        <f t="shared" si="40"/>
        <v>1.9922736054093254E-2</v>
      </c>
      <c r="U115" s="11">
        <f t="shared" si="41"/>
        <v>1.7149884073092637E-2</v>
      </c>
      <c r="V115">
        <f t="shared" si="31"/>
        <v>1.8451487286989116E-2</v>
      </c>
      <c r="W115">
        <v>11</v>
      </c>
      <c r="X115">
        <f t="shared" si="30"/>
        <v>3.0377892434952362E-2</v>
      </c>
      <c r="Y115">
        <f t="shared" si="32"/>
        <v>5.4666055606981078E-6</v>
      </c>
      <c r="Z115">
        <f t="shared" si="33"/>
        <v>7.2627289488462575E-8</v>
      </c>
      <c r="AA115">
        <f t="shared" si="34"/>
        <v>1.3030835803266521E-6</v>
      </c>
    </row>
    <row r="116" spans="1:27">
      <c r="A116" s="3" t="s">
        <v>130</v>
      </c>
      <c r="B116" s="1">
        <v>84.18</v>
      </c>
      <c r="C116" s="1">
        <v>85.080001999999993</v>
      </c>
      <c r="D116" s="1">
        <v>83.870002999999997</v>
      </c>
      <c r="E116" s="1">
        <v>84.690002000000007</v>
      </c>
      <c r="F116" s="1">
        <v>84.690002000000007</v>
      </c>
      <c r="G116" s="1">
        <v>18109300</v>
      </c>
      <c r="H116" s="4">
        <v>45044</v>
      </c>
      <c r="I116" s="2">
        <v>74.199996999999996</v>
      </c>
      <c r="J116" s="2">
        <v>76.910004000000001</v>
      </c>
      <c r="K116" s="2">
        <v>73.349997999999999</v>
      </c>
      <c r="L116" s="2">
        <v>76.169998000000007</v>
      </c>
      <c r="M116" s="2">
        <v>76.169998000000007</v>
      </c>
      <c r="N116" s="2">
        <v>2431200</v>
      </c>
      <c r="O116">
        <f t="shared" si="36"/>
        <v>0.47351733184135275</v>
      </c>
      <c r="P116">
        <f t="shared" si="37"/>
        <v>0.5264826681586473</v>
      </c>
      <c r="Q116">
        <f t="shared" si="38"/>
        <v>236.75866592067638</v>
      </c>
      <c r="R116">
        <f t="shared" si="39"/>
        <v>263.24133407932368</v>
      </c>
      <c r="S116">
        <f t="shared" si="27"/>
        <v>500.00000000000006</v>
      </c>
      <c r="T116" s="10">
        <f t="shared" si="40"/>
        <v>2.6044867692142037E-3</v>
      </c>
      <c r="U116" s="11">
        <f t="shared" si="41"/>
        <v>1.9269302049941178E-2</v>
      </c>
      <c r="V116">
        <f t="shared" si="31"/>
        <v>1.137822318258234E-2</v>
      </c>
      <c r="W116">
        <v>10</v>
      </c>
      <c r="X116">
        <f t="shared" si="30"/>
        <v>3.2316906845694007E-2</v>
      </c>
      <c r="Y116">
        <f t="shared" si="32"/>
        <v>4.4369059190925821E-7</v>
      </c>
      <c r="Z116">
        <f t="shared" si="33"/>
        <v>4.2202460846723242E-8</v>
      </c>
      <c r="AA116">
        <f t="shared" si="34"/>
        <v>8.3970406856260395E-10</v>
      </c>
    </row>
    <row r="117" spans="1:27">
      <c r="A117" s="3" t="s">
        <v>131</v>
      </c>
      <c r="B117" s="1">
        <v>84.150002000000001</v>
      </c>
      <c r="C117" s="1">
        <v>85.279999000000004</v>
      </c>
      <c r="D117" s="1">
        <v>83.771004000000005</v>
      </c>
      <c r="E117" s="1">
        <v>84.160004000000001</v>
      </c>
      <c r="F117" s="1">
        <v>84.160004000000001</v>
      </c>
      <c r="G117" s="1">
        <v>12909200</v>
      </c>
      <c r="H117" s="4">
        <v>45047</v>
      </c>
      <c r="I117" s="2">
        <v>75.110000999999997</v>
      </c>
      <c r="J117" s="2">
        <v>76.919998000000007</v>
      </c>
      <c r="K117" s="2">
        <v>74.964995999999999</v>
      </c>
      <c r="L117" s="2">
        <v>75.849997999999999</v>
      </c>
      <c r="M117" s="2">
        <v>75.849997999999999</v>
      </c>
      <c r="N117" s="2">
        <v>1747600</v>
      </c>
      <c r="O117">
        <f t="shared" si="36"/>
        <v>0.47403285452118177</v>
      </c>
      <c r="P117">
        <f t="shared" si="37"/>
        <v>0.52596714547881829</v>
      </c>
      <c r="Q117">
        <f t="shared" si="38"/>
        <v>237.01642726059089</v>
      </c>
      <c r="R117">
        <f t="shared" si="39"/>
        <v>262.98357273940917</v>
      </c>
      <c r="S117">
        <f t="shared" si="27"/>
        <v>500.00000000000006</v>
      </c>
      <c r="T117" s="10">
        <f t="shared" si="40"/>
        <v>-6.258094078212516E-3</v>
      </c>
      <c r="U117" s="11">
        <f t="shared" si="41"/>
        <v>-4.2011291637424931E-3</v>
      </c>
      <c r="V117">
        <f t="shared" si="31"/>
        <v>-5.1761981137986371E-3</v>
      </c>
      <c r="W117">
        <v>9</v>
      </c>
      <c r="X117">
        <f t="shared" si="30"/>
        <v>3.4379688133717022E-2</v>
      </c>
      <c r="Y117">
        <f t="shared" si="32"/>
        <v>5.2655009135479685E-6</v>
      </c>
      <c r="Z117">
        <f t="shared" si="33"/>
        <v>1.6301848877260472E-5</v>
      </c>
      <c r="AA117">
        <f t="shared" si="34"/>
        <v>9.2062976296226717E-6</v>
      </c>
    </row>
    <row r="118" spans="1:27">
      <c r="A118" s="3" t="s">
        <v>132</v>
      </c>
      <c r="B118" s="1">
        <v>83.150002000000001</v>
      </c>
      <c r="C118" s="1">
        <v>83.279999000000004</v>
      </c>
      <c r="D118" s="1">
        <v>80.653998999999999</v>
      </c>
      <c r="E118" s="1">
        <v>81.529999000000004</v>
      </c>
      <c r="F118" s="1">
        <v>81.529999000000004</v>
      </c>
      <c r="G118" s="1">
        <v>20689500</v>
      </c>
      <c r="H118" s="4">
        <v>45048</v>
      </c>
      <c r="I118" s="2">
        <v>75.190002000000007</v>
      </c>
      <c r="J118" s="2">
        <v>75.830001999999993</v>
      </c>
      <c r="K118" s="2">
        <v>73.919998000000007</v>
      </c>
      <c r="L118" s="2">
        <v>74.449996999999996</v>
      </c>
      <c r="M118" s="2">
        <v>74.449996999999996</v>
      </c>
      <c r="N118" s="2">
        <v>2111200</v>
      </c>
      <c r="O118">
        <f t="shared" si="36"/>
        <v>0.47730477567136237</v>
      </c>
      <c r="P118">
        <f t="shared" si="37"/>
        <v>0.52269522432863769</v>
      </c>
      <c r="Q118">
        <f t="shared" si="38"/>
        <v>238.6523878356812</v>
      </c>
      <c r="R118">
        <f t="shared" si="39"/>
        <v>261.34761216431883</v>
      </c>
      <c r="S118">
        <f t="shared" si="27"/>
        <v>500</v>
      </c>
      <c r="T118" s="10">
        <f t="shared" si="40"/>
        <v>-3.1250057925377439E-2</v>
      </c>
      <c r="U118" s="11">
        <f t="shared" si="41"/>
        <v>-1.8457495542715811E-2</v>
      </c>
      <c r="V118">
        <f t="shared" si="31"/>
        <v>-2.4563446661034029E-2</v>
      </c>
      <c r="W118">
        <v>8</v>
      </c>
      <c r="X118">
        <f t="shared" si="30"/>
        <v>3.6574136312464922E-2</v>
      </c>
      <c r="Y118">
        <f t="shared" si="32"/>
        <v>5.0561805241053123E-5</v>
      </c>
      <c r="Z118">
        <f t="shared" si="33"/>
        <v>4.6083331087869427E-5</v>
      </c>
      <c r="AA118">
        <f t="shared" si="34"/>
        <v>4.5860434255591696E-5</v>
      </c>
    </row>
    <row r="119" spans="1:27">
      <c r="A119" s="3" t="s">
        <v>133</v>
      </c>
      <c r="B119" s="1">
        <v>81.305000000000007</v>
      </c>
      <c r="C119" s="1">
        <v>82</v>
      </c>
      <c r="D119" s="1">
        <v>80.489998</v>
      </c>
      <c r="E119" s="1">
        <v>81.480002999999996</v>
      </c>
      <c r="F119" s="1">
        <v>81.480002999999996</v>
      </c>
      <c r="G119" s="1">
        <v>17759400</v>
      </c>
      <c r="H119" s="4">
        <v>45049</v>
      </c>
      <c r="I119" s="2">
        <v>73.730002999999996</v>
      </c>
      <c r="J119" s="2">
        <v>76.220000999999996</v>
      </c>
      <c r="K119" s="2">
        <v>73.010002</v>
      </c>
      <c r="L119" s="2">
        <v>74.620002999999997</v>
      </c>
      <c r="M119" s="2">
        <v>74.620002999999997</v>
      </c>
      <c r="N119" s="2">
        <v>1901600</v>
      </c>
      <c r="O119">
        <f t="shared" si="36"/>
        <v>0.47802690667417397</v>
      </c>
      <c r="P119">
        <f t="shared" si="37"/>
        <v>0.52197309332582598</v>
      </c>
      <c r="Q119">
        <f t="shared" si="38"/>
        <v>239.01345333708699</v>
      </c>
      <c r="R119">
        <f t="shared" si="39"/>
        <v>260.98654666291299</v>
      </c>
      <c r="S119">
        <f t="shared" si="27"/>
        <v>500</v>
      </c>
      <c r="T119" s="10">
        <f t="shared" si="40"/>
        <v>-6.1322213434600011E-4</v>
      </c>
      <c r="U119" s="11">
        <f t="shared" si="41"/>
        <v>2.283492368710247E-3</v>
      </c>
      <c r="V119">
        <f t="shared" si="31"/>
        <v>8.9878489529605205E-4</v>
      </c>
      <c r="W119">
        <v>7</v>
      </c>
      <c r="X119">
        <f t="shared" si="30"/>
        <v>3.8908655651558426E-2</v>
      </c>
      <c r="Y119">
        <f t="shared" si="32"/>
        <v>1.5756949456098502E-6</v>
      </c>
      <c r="Z119">
        <f t="shared" si="33"/>
        <v>7.8857980266755132E-6</v>
      </c>
      <c r="AA119">
        <f t="shared" si="34"/>
        <v>3.5991480212529511E-6</v>
      </c>
    </row>
    <row r="120" spans="1:27">
      <c r="A120" s="3" t="s">
        <v>134</v>
      </c>
      <c r="B120" s="1">
        <v>82.389999000000003</v>
      </c>
      <c r="C120" s="1">
        <v>83.129997000000003</v>
      </c>
      <c r="D120" s="1">
        <v>81.800003000000004</v>
      </c>
      <c r="E120" s="1">
        <v>82.489998</v>
      </c>
      <c r="F120" s="1">
        <v>82.489998</v>
      </c>
      <c r="G120" s="1">
        <v>23773800</v>
      </c>
      <c r="H120" s="4">
        <v>45050</v>
      </c>
      <c r="I120" s="2">
        <v>74.900002000000001</v>
      </c>
      <c r="J120" s="2">
        <v>76.120002999999997</v>
      </c>
      <c r="K120" s="2">
        <v>74.489998</v>
      </c>
      <c r="L120" s="2">
        <v>76</v>
      </c>
      <c r="M120" s="2">
        <v>76</v>
      </c>
      <c r="N120" s="2">
        <v>1369100</v>
      </c>
      <c r="O120">
        <f t="shared" si="36"/>
        <v>0.47952552816613697</v>
      </c>
      <c r="P120">
        <f t="shared" si="37"/>
        <v>0.52047447183386297</v>
      </c>
      <c r="Q120">
        <f t="shared" si="38"/>
        <v>239.76276408306848</v>
      </c>
      <c r="R120">
        <f t="shared" si="39"/>
        <v>260.23723591693147</v>
      </c>
      <c r="S120">
        <f t="shared" si="27"/>
        <v>499.99999999999994</v>
      </c>
      <c r="T120" s="10">
        <f t="shared" si="40"/>
        <v>1.2395618100308656E-2</v>
      </c>
      <c r="U120" s="11">
        <f t="shared" si="41"/>
        <v>1.8493660473318435E-2</v>
      </c>
      <c r="V120">
        <f t="shared" si="31"/>
        <v>1.5569493483621437E-2</v>
      </c>
      <c r="W120">
        <v>6</v>
      </c>
      <c r="X120">
        <f t="shared" si="30"/>
        <v>4.1392186863360034E-2</v>
      </c>
      <c r="Y120">
        <f t="shared" si="32"/>
        <v>1.9254061418622592E-6</v>
      </c>
      <c r="Z120">
        <f t="shared" si="33"/>
        <v>2.5397229506733579E-7</v>
      </c>
      <c r="AA120">
        <f t="shared" si="34"/>
        <v>1.1950741103579687E-6</v>
      </c>
    </row>
    <row r="121" spans="1:27">
      <c r="A121" s="3" t="s">
        <v>135</v>
      </c>
      <c r="B121" s="1">
        <v>82.75</v>
      </c>
      <c r="C121" s="1">
        <v>83.379997000000003</v>
      </c>
      <c r="D121" s="1">
        <v>82.029999000000004</v>
      </c>
      <c r="E121" s="1">
        <v>83.220000999999996</v>
      </c>
      <c r="F121" s="1">
        <v>83.220000999999996</v>
      </c>
      <c r="G121" s="1">
        <v>17500600</v>
      </c>
      <c r="H121" s="4">
        <v>45051</v>
      </c>
      <c r="I121" s="2">
        <v>77.510002</v>
      </c>
      <c r="J121" s="2">
        <v>79.449996999999996</v>
      </c>
      <c r="K121" s="2">
        <v>77.099997999999999</v>
      </c>
      <c r="L121" s="2">
        <v>78.410004000000001</v>
      </c>
      <c r="M121" s="2">
        <v>78.410004000000001</v>
      </c>
      <c r="N121" s="2">
        <v>3007700</v>
      </c>
      <c r="O121">
        <f t="shared" si="36"/>
        <v>0.4851203463119364</v>
      </c>
      <c r="P121">
        <f t="shared" si="37"/>
        <v>0.51487965368806365</v>
      </c>
      <c r="Q121">
        <f t="shared" si="38"/>
        <v>242.56017315596819</v>
      </c>
      <c r="R121">
        <f t="shared" si="39"/>
        <v>257.43982684403181</v>
      </c>
      <c r="S121">
        <f t="shared" si="27"/>
        <v>500</v>
      </c>
      <c r="T121" s="10">
        <f t="shared" si="40"/>
        <v>8.8495941047300845E-3</v>
      </c>
      <c r="U121" s="11">
        <f t="shared" si="41"/>
        <v>3.171057894736843E-2</v>
      </c>
      <c r="V121">
        <f t="shared" si="31"/>
        <v>2.062025006347579E-2</v>
      </c>
      <c r="W121">
        <v>5</v>
      </c>
      <c r="X121">
        <f t="shared" si="30"/>
        <v>4.4034241344000032E-2</v>
      </c>
      <c r="Y121">
        <f t="shared" si="32"/>
        <v>5.2232645735287975E-7</v>
      </c>
      <c r="Z121">
        <f t="shared" si="33"/>
        <v>1.1530529586674911E-5</v>
      </c>
      <c r="AA121">
        <f t="shared" si="34"/>
        <v>5.0741750213360887E-6</v>
      </c>
    </row>
    <row r="122" spans="1:27">
      <c r="A122" s="3" t="s">
        <v>136</v>
      </c>
      <c r="B122" s="1">
        <v>83.629997000000003</v>
      </c>
      <c r="C122" s="1">
        <v>83.699996999999996</v>
      </c>
      <c r="D122" s="1">
        <v>82.339995999999999</v>
      </c>
      <c r="E122" s="1">
        <v>83.309997999999993</v>
      </c>
      <c r="F122" s="1">
        <v>83.309997999999993</v>
      </c>
      <c r="G122" s="1">
        <v>17392900</v>
      </c>
      <c r="H122" s="4">
        <v>45054</v>
      </c>
      <c r="I122" s="2">
        <v>85</v>
      </c>
      <c r="J122" s="2">
        <v>85.959998999999996</v>
      </c>
      <c r="K122" s="2">
        <v>82.379997000000003</v>
      </c>
      <c r="L122" s="2">
        <v>84.330001999999993</v>
      </c>
      <c r="M122" s="2">
        <v>84.330001999999993</v>
      </c>
      <c r="N122" s="2">
        <v>5764500</v>
      </c>
      <c r="O122">
        <f t="shared" si="36"/>
        <v>0.50304224528752084</v>
      </c>
      <c r="P122">
        <f t="shared" si="37"/>
        <v>0.49695775471247911</v>
      </c>
      <c r="Q122">
        <f t="shared" si="38"/>
        <v>251.52112264376041</v>
      </c>
      <c r="R122">
        <f t="shared" si="39"/>
        <v>248.47887735623956</v>
      </c>
      <c r="S122">
        <f t="shared" si="27"/>
        <v>500</v>
      </c>
      <c r="T122" s="10">
        <f t="shared" si="40"/>
        <v>1.0814347382667874E-3</v>
      </c>
      <c r="U122" s="11">
        <f t="shared" si="41"/>
        <v>7.5500544547861426E-2</v>
      </c>
      <c r="V122">
        <f t="shared" si="31"/>
        <v>3.8064588456944368E-2</v>
      </c>
      <c r="W122">
        <v>4</v>
      </c>
      <c r="X122">
        <f t="shared" si="30"/>
        <v>4.6844937600000039E-2</v>
      </c>
      <c r="Y122">
        <f t="shared" si="32"/>
        <v>8.1044055574760488E-7</v>
      </c>
      <c r="Z122">
        <f t="shared" si="33"/>
        <v>1.711521551593424E-4</v>
      </c>
      <c r="AA122">
        <f t="shared" si="34"/>
        <v>3.79967719506404E-5</v>
      </c>
    </row>
    <row r="123" spans="1:27">
      <c r="A123" s="3" t="s">
        <v>137</v>
      </c>
      <c r="B123" s="1">
        <v>80.544998000000007</v>
      </c>
      <c r="C123" s="1">
        <v>82.660004000000001</v>
      </c>
      <c r="D123" s="1">
        <v>80.150002000000001</v>
      </c>
      <c r="E123" s="1">
        <v>82.220000999999996</v>
      </c>
      <c r="F123" s="1">
        <v>82.220000999999996</v>
      </c>
      <c r="G123" s="1">
        <v>13457400</v>
      </c>
      <c r="H123" s="4">
        <v>45055</v>
      </c>
      <c r="I123" s="2">
        <v>83</v>
      </c>
      <c r="J123" s="2">
        <v>85.830001999999993</v>
      </c>
      <c r="K123" s="2">
        <v>82.860000999999997</v>
      </c>
      <c r="L123" s="2">
        <v>84</v>
      </c>
      <c r="M123" s="2">
        <v>84</v>
      </c>
      <c r="N123" s="2">
        <v>4300500</v>
      </c>
      <c r="O123">
        <f t="shared" si="36"/>
        <v>0.505354346616807</v>
      </c>
      <c r="P123">
        <f t="shared" si="37"/>
        <v>0.49464565338319305</v>
      </c>
      <c r="Q123">
        <f t="shared" si="38"/>
        <v>252.6771733084035</v>
      </c>
      <c r="R123">
        <f t="shared" si="39"/>
        <v>247.32282669159653</v>
      </c>
      <c r="S123">
        <f t="shared" si="27"/>
        <v>500</v>
      </c>
      <c r="T123" s="10">
        <f t="shared" si="40"/>
        <v>-1.3083627729771364E-2</v>
      </c>
      <c r="U123" s="11">
        <f t="shared" si="41"/>
        <v>-3.9132217736695092E-3</v>
      </c>
      <c r="V123">
        <f t="shared" si="31"/>
        <v>-8.5475262838262366E-3</v>
      </c>
      <c r="W123">
        <v>3</v>
      </c>
      <c r="X123">
        <f t="shared" si="30"/>
        <v>4.9835040000000039E-2</v>
      </c>
      <c r="Y123">
        <f t="shared" si="32"/>
        <v>1.6443553609040329E-5</v>
      </c>
      <c r="Z123">
        <f t="shared" si="33"/>
        <v>1.707482780823493E-5</v>
      </c>
      <c r="AA123">
        <f t="shared" si="34"/>
        <v>1.5860779361216162E-5</v>
      </c>
    </row>
    <row r="124" spans="1:27">
      <c r="A124" s="3" t="s">
        <v>138</v>
      </c>
      <c r="B124" s="1">
        <v>82.139999000000003</v>
      </c>
      <c r="C124" s="1">
        <v>84.5</v>
      </c>
      <c r="D124" s="1">
        <v>81.769997000000004</v>
      </c>
      <c r="E124" s="1">
        <v>82.949996999999996</v>
      </c>
      <c r="F124" s="1">
        <v>82.949996999999996</v>
      </c>
      <c r="G124" s="1">
        <v>16868100</v>
      </c>
      <c r="H124" s="4">
        <v>45056</v>
      </c>
      <c r="I124" s="2">
        <v>85</v>
      </c>
      <c r="J124" s="2">
        <v>86.389999000000003</v>
      </c>
      <c r="K124" s="2">
        <v>84.510002</v>
      </c>
      <c r="L124" s="2">
        <v>85.540001000000004</v>
      </c>
      <c r="M124" s="2">
        <v>85.540001000000004</v>
      </c>
      <c r="N124" s="2">
        <v>2757400</v>
      </c>
      <c r="O124">
        <f t="shared" si="36"/>
        <v>0.50768592803947921</v>
      </c>
      <c r="P124">
        <f t="shared" si="37"/>
        <v>0.49231407196052068</v>
      </c>
      <c r="Q124">
        <f t="shared" si="38"/>
        <v>253.84296401973961</v>
      </c>
      <c r="R124">
        <f t="shared" si="39"/>
        <v>246.15703598026033</v>
      </c>
      <c r="S124">
        <f t="shared" si="27"/>
        <v>499.99999999999994</v>
      </c>
      <c r="T124" s="10">
        <f t="shared" si="40"/>
        <v>8.8785695830872081E-3</v>
      </c>
      <c r="U124" s="11">
        <f t="shared" si="41"/>
        <v>1.8333345238095284E-2</v>
      </c>
      <c r="V124">
        <f t="shared" si="31"/>
        <v>1.3533288685277431E-2</v>
      </c>
      <c r="W124">
        <v>2</v>
      </c>
      <c r="X124">
        <f t="shared" si="30"/>
        <v>5.3016000000000042E-2</v>
      </c>
      <c r="Y124">
        <f t="shared" si="32"/>
        <v>8.2810292051861219E-7</v>
      </c>
      <c r="Z124">
        <f t="shared" si="33"/>
        <v>9.267885115166811E-7</v>
      </c>
      <c r="AA124">
        <f t="shared" si="34"/>
        <v>1.0850084592241784E-6</v>
      </c>
    </row>
    <row r="125" spans="1:27">
      <c r="A125" s="3" t="s">
        <v>139</v>
      </c>
      <c r="B125" s="1">
        <v>85.43</v>
      </c>
      <c r="C125" s="1">
        <v>88.480002999999996</v>
      </c>
      <c r="D125" s="1">
        <v>84.82</v>
      </c>
      <c r="E125" s="1">
        <v>87.889999000000003</v>
      </c>
      <c r="F125" s="1">
        <v>87.889999000000003</v>
      </c>
      <c r="G125" s="1">
        <v>28104200</v>
      </c>
      <c r="H125" s="4">
        <v>45057</v>
      </c>
      <c r="I125" s="2">
        <v>85.959998999999996</v>
      </c>
      <c r="J125" s="2">
        <v>87.379997000000003</v>
      </c>
      <c r="K125" s="2">
        <v>85.25</v>
      </c>
      <c r="L125" s="2">
        <v>86.709998999999996</v>
      </c>
      <c r="M125" s="2">
        <v>86.709998999999996</v>
      </c>
      <c r="N125" s="2">
        <v>3678300</v>
      </c>
      <c r="O125">
        <f t="shared" si="36"/>
        <v>0.49662084761306813</v>
      </c>
      <c r="P125">
        <f t="shared" si="37"/>
        <v>0.50337915238693187</v>
      </c>
      <c r="Q125">
        <f t="shared" si="38"/>
        <v>248.31042380653406</v>
      </c>
      <c r="R125">
        <f t="shared" si="39"/>
        <v>251.68957619346594</v>
      </c>
      <c r="S125">
        <f t="shared" si="27"/>
        <v>500</v>
      </c>
      <c r="T125" s="10">
        <f t="shared" si="40"/>
        <v>5.9553974426304161E-2</v>
      </c>
      <c r="U125" s="11">
        <f t="shared" si="41"/>
        <v>1.3677788009378121E-2</v>
      </c>
      <c r="V125">
        <f t="shared" si="31"/>
        <v>3.6460858593007052E-2</v>
      </c>
      <c r="W125">
        <v>1</v>
      </c>
      <c r="X125">
        <f t="shared" si="30"/>
        <v>5.6400000000000047E-2</v>
      </c>
      <c r="Y125">
        <f t="shared" si="32"/>
        <v>1.6923351335542216E-4</v>
      </c>
      <c r="Z125">
        <f t="shared" si="33"/>
        <v>1.0602473305735462E-10</v>
      </c>
      <c r="AA125">
        <f t="shared" si="34"/>
        <v>4.3356223330669695E-5</v>
      </c>
    </row>
    <row r="126" spans="1:27">
      <c r="A126" s="3" t="s">
        <v>140</v>
      </c>
      <c r="B126" s="1">
        <v>86.709998999999996</v>
      </c>
      <c r="C126" s="1">
        <v>86.709998999999996</v>
      </c>
      <c r="D126" s="1">
        <v>84.760002</v>
      </c>
      <c r="E126" s="1">
        <v>85.339995999999999</v>
      </c>
      <c r="F126" s="1">
        <v>85.339995999999999</v>
      </c>
      <c r="G126" s="1">
        <v>19031400</v>
      </c>
      <c r="H126" s="4">
        <v>45058</v>
      </c>
      <c r="I126" s="2">
        <v>85.330001999999993</v>
      </c>
      <c r="J126" s="2">
        <v>86.5</v>
      </c>
      <c r="K126" s="2">
        <v>83.309997999999993</v>
      </c>
      <c r="L126" s="2">
        <v>84.769997000000004</v>
      </c>
      <c r="M126" s="2">
        <v>84.769997000000004</v>
      </c>
      <c r="N126" s="2">
        <v>3742400</v>
      </c>
      <c r="O126">
        <f t="shared" si="36"/>
        <v>0.49832461635572461</v>
      </c>
      <c r="P126">
        <f t="shared" si="37"/>
        <v>0.50167538364427533</v>
      </c>
      <c r="Q126">
        <f t="shared" si="38"/>
        <v>249.16230817786231</v>
      </c>
      <c r="R126">
        <f t="shared" si="39"/>
        <v>250.83769182213766</v>
      </c>
      <c r="S126">
        <f t="shared" si="27"/>
        <v>500</v>
      </c>
      <c r="T126" s="10">
        <f t="shared" si="40"/>
        <v>-2.9013574115525975E-2</v>
      </c>
      <c r="U126" s="11">
        <f t="shared" si="41"/>
        <v>-2.2373451993696745E-2</v>
      </c>
      <c r="V126">
        <f t="shared" si="31"/>
        <v>-2.5682388302612456E-2</v>
      </c>
      <c r="W126">
        <v>0</v>
      </c>
      <c r="X126">
        <f>(1-$X$2)*$X$2^W126</f>
        <v>6.0000000000000053E-2</v>
      </c>
      <c r="Y126">
        <f t="shared" si="32"/>
        <v>6.7916591837629311E-5</v>
      </c>
      <c r="Z126">
        <f t="shared" si="33"/>
        <v>7.6369170627660167E-5</v>
      </c>
      <c r="AA126">
        <f t="shared" si="34"/>
        <v>6.9978320206547665E-5</v>
      </c>
    </row>
    <row r="127" spans="1:27">
      <c r="P127" s="5" t="s">
        <v>141</v>
      </c>
      <c r="Q127" s="5">
        <f>AVERAGE(Q4:Q126)</f>
        <v>210.02703375462451</v>
      </c>
      <c r="R127" s="5">
        <f>AVERAGE(R4:R126)</f>
        <v>289.97296624537546</v>
      </c>
      <c r="S127" s="5">
        <f>AVERAGE(S5:S126)</f>
        <v>500</v>
      </c>
      <c r="T127" s="5">
        <f>AVERAGE(T5:T126)</f>
        <v>1.13430711701059E-3</v>
      </c>
      <c r="U127" s="5">
        <f>AVERAGE(U5:U126)</f>
        <v>3.2585915075612013E-3</v>
      </c>
      <c r="V127" s="5">
        <f>AVERAGE(V5:V126)</f>
        <v>2.0744298777971939E-3</v>
      </c>
      <c r="Y127" s="7">
        <f>AVERAGE(Y5:Y126)</f>
        <v>8.1182693778480621E-6</v>
      </c>
      <c r="Z127" s="7">
        <f t="shared" ref="Z127:AA127" si="42">AVERAGE(Z5:Z126)</f>
        <v>1.6082704072341803E-5</v>
      </c>
      <c r="AA127" s="7">
        <f>AVERAGE(AA5:AA126)</f>
        <v>8.543275066971324E-6</v>
      </c>
    </row>
    <row r="128" spans="1:27">
      <c r="P128" s="5" t="s">
        <v>142</v>
      </c>
      <c r="Q128" s="5">
        <f>_xlfn.STDEV.S(Q4:Q127)</f>
        <v>24.976830686954067</v>
      </c>
      <c r="R128" s="5">
        <f>_xlfn.STDEV.S(R4:R127)</f>
        <v>24.976830686954916</v>
      </c>
      <c r="S128" s="5">
        <f>_xlfn.STDEV.S(S5:S126)</f>
        <v>3.7973828575711932E-14</v>
      </c>
      <c r="T128" s="5">
        <f>_xlfn.STDEV.S(T5:T126)</f>
        <v>3.3213734652836398E-2</v>
      </c>
      <c r="U128" s="5">
        <f>_xlfn.STDEV.S(U5:U126)</f>
        <v>3.898960607310447E-2</v>
      </c>
      <c r="V128" s="5">
        <f>SQRT(T128^2+U128^2+2*_xlfn.COVARIANCE.S(T5:T126,U5:U126)*T128*U128)</f>
        <v>5.1230266251615225E-2</v>
      </c>
      <c r="Y128" s="7">
        <f>SQRT(SUM(Y5:Y126)/121)</f>
        <v>2.8610072550069106E-3</v>
      </c>
      <c r="Z128" s="7">
        <f>SQRT(SUM(Z5:Z126)/121)</f>
        <v>4.0268621756934493E-3</v>
      </c>
      <c r="AA128" s="7">
        <f>SQRT(SUM(AA5:AA126)/121)</f>
        <v>2.9349413360469749E-3</v>
      </c>
    </row>
    <row r="129" spans="16:74">
      <c r="P129" s="5" t="s">
        <v>143</v>
      </c>
      <c r="Q129" s="5">
        <f t="shared" ref="Q129:V129" si="43">Q128^2</f>
        <v>623.84207116477035</v>
      </c>
      <c r="R129" s="5">
        <f t="shared" si="43"/>
        <v>623.84207116481275</v>
      </c>
      <c r="S129" s="5">
        <f t="shared" si="43"/>
        <v>1.442011656697556E-27</v>
      </c>
      <c r="T129" s="5">
        <f t="shared" si="43"/>
        <v>1.1031521695890254E-3</v>
      </c>
      <c r="U129" s="5">
        <f t="shared" si="43"/>
        <v>1.5201893817358651E-3</v>
      </c>
      <c r="V129" s="5">
        <f t="shared" si="43"/>
        <v>2.624540180211386E-3</v>
      </c>
      <c r="Y129" s="7">
        <f>Y128^2</f>
        <v>8.1853625132021777E-6</v>
      </c>
      <c r="Z129" s="7">
        <f t="shared" ref="Z129:AA129" si="44">Z128^2</f>
        <v>1.6215618982030582E-5</v>
      </c>
      <c r="AA129" s="7">
        <f t="shared" si="44"/>
        <v>8.6138806460372018E-6</v>
      </c>
    </row>
    <row r="130" spans="16:74">
      <c r="P130" s="5" t="s">
        <v>144</v>
      </c>
      <c r="S130" s="14" t="s">
        <v>145</v>
      </c>
      <c r="T130">
        <f>_xlfn.NORM.INV(1-0.95,T$127,T$128)</f>
        <v>-5.3497424791311136E-2</v>
      </c>
      <c r="U130">
        <f>_xlfn.NORM.INV(1-0.95,U$127,U$128)</f>
        <v>-6.0873603455193805E-2</v>
      </c>
      <c r="V130">
        <f>_xlfn.NORM.INV(1-0.95,V$127,V$128)</f>
        <v>-8.2191859375861667E-2</v>
      </c>
      <c r="X130" s="14" t="s">
        <v>154</v>
      </c>
      <c r="Y130">
        <f>_xlfn.NORM.INV(1-0.95,T$127,Y$128)</f>
        <v>-3.5716310431220004E-3</v>
      </c>
      <c r="Z130">
        <f>_xlfn.NORM.INV(1-0.95,U$127,Z$128)</f>
        <v>-3.365007347361863E-3</v>
      </c>
      <c r="AA130" s="6">
        <f>_xlfn.NORM.INV(1-0.95,V$127,AA$128)</f>
        <v>-2.7531190236894701E-3</v>
      </c>
    </row>
    <row r="131" spans="16:74">
      <c r="P131" s="5" t="s">
        <v>146</v>
      </c>
      <c r="S131" s="14"/>
      <c r="T131">
        <f>_xlfn.NORM.INV(1-0.99,T$127,T$128)</f>
        <v>-7.6132393881571961E-2</v>
      </c>
      <c r="U131">
        <f>_xlfn.NORM.INV(1-0.99,U$127,U$128)</f>
        <v>-8.7444795690295229E-2</v>
      </c>
      <c r="V131">
        <f>_xlfn.NORM.INV(1-0.99,V$127,V$128)</f>
        <v>-0.11710499110319411</v>
      </c>
      <c r="X131" s="14"/>
      <c r="Y131">
        <f>_xlfn.NORM.INV(1-0.99,T$127,Y$128)</f>
        <v>-5.521391028290158E-3</v>
      </c>
      <c r="Z131">
        <f>_xlfn.NORM.INV(1-0.99,U$127,Z$128)</f>
        <v>-6.1092907539187294E-3</v>
      </c>
      <c r="AA131">
        <f>_xlfn.NORM.INV(1-0.99,V$127,AA$128)</f>
        <v>-4.7532646597502701E-3</v>
      </c>
    </row>
    <row r="132" spans="16:74">
      <c r="P132" s="5" t="s">
        <v>147</v>
      </c>
      <c r="S132" s="14"/>
      <c r="T132">
        <f>_xlfn.NORM.INV(1-0.995,T$127,T$128)</f>
        <v>-8.4418603882062945E-2</v>
      </c>
      <c r="U132">
        <f>_xlfn.NORM.INV(1-0.995,U$127,U$128)</f>
        <v>-9.7171978349369442E-2</v>
      </c>
      <c r="V132">
        <f>_xlfn.NORM.INV(1-0.995,V$127,V$128)</f>
        <v>-0.12988599116172558</v>
      </c>
      <c r="X132" s="14"/>
      <c r="Y132">
        <f>_xlfn.NORM.INV(1-0.995,T$127,Y$128)</f>
        <v>-6.2351592081022105E-3</v>
      </c>
      <c r="Z132">
        <f>_xlfn.NORM.INV(1-0.99,U$127,Z$128)</f>
        <v>-6.1092907539187294E-3</v>
      </c>
      <c r="AA132">
        <f>_xlfn.NORM.INV(1-0.995,V$127,AA$128)</f>
        <v>-5.4854780197895626E-3</v>
      </c>
    </row>
    <row r="135" spans="16:74">
      <c r="X135" s="13" t="s">
        <v>160</v>
      </c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L135" s="13" t="s">
        <v>161</v>
      </c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X135" s="13" t="s">
        <v>162</v>
      </c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L135" s="13" t="s">
        <v>163</v>
      </c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</row>
    <row r="136" spans="16:74"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</row>
    <row r="137" spans="16:74">
      <c r="Y137">
        <v>0.9</v>
      </c>
      <c r="Z137">
        <v>0.91</v>
      </c>
      <c r="AA137">
        <v>0.92</v>
      </c>
      <c r="AB137">
        <v>0.93</v>
      </c>
      <c r="AC137">
        <v>0.94</v>
      </c>
      <c r="AD137">
        <v>0.95</v>
      </c>
      <c r="AE137">
        <v>0.96</v>
      </c>
      <c r="AF137">
        <v>0.97</v>
      </c>
      <c r="AG137">
        <v>0.98</v>
      </c>
      <c r="AH137">
        <v>0.99</v>
      </c>
      <c r="AI137">
        <v>0.995</v>
      </c>
      <c r="AL137">
        <v>0.9</v>
      </c>
      <c r="AM137">
        <v>0.91</v>
      </c>
      <c r="AN137">
        <v>0.92</v>
      </c>
      <c r="AO137">
        <v>0.93</v>
      </c>
      <c r="AP137">
        <v>0.94</v>
      </c>
      <c r="AQ137">
        <v>0.95</v>
      </c>
      <c r="AR137">
        <v>0.96</v>
      </c>
      <c r="AS137">
        <v>0.97</v>
      </c>
      <c r="AT137">
        <v>0.98</v>
      </c>
      <c r="AU137">
        <v>0.99</v>
      </c>
      <c r="AV137">
        <v>0.995</v>
      </c>
      <c r="AY137">
        <v>0.9</v>
      </c>
      <c r="AZ137">
        <v>0.91</v>
      </c>
      <c r="BA137">
        <v>0.92</v>
      </c>
      <c r="BB137">
        <v>0.93</v>
      </c>
      <c r="BC137">
        <v>0.94</v>
      </c>
      <c r="BD137">
        <v>0.95</v>
      </c>
      <c r="BE137">
        <v>0.96</v>
      </c>
      <c r="BF137">
        <v>0.97</v>
      </c>
      <c r="BG137">
        <v>0.98</v>
      </c>
      <c r="BH137">
        <v>0.99</v>
      </c>
      <c r="BI137">
        <v>0.995</v>
      </c>
      <c r="BL137">
        <v>0.9</v>
      </c>
      <c r="BM137">
        <v>0.91</v>
      </c>
      <c r="BN137">
        <v>0.92</v>
      </c>
      <c r="BO137">
        <v>0.93</v>
      </c>
      <c r="BP137">
        <v>0.94</v>
      </c>
      <c r="BQ137">
        <v>0.95</v>
      </c>
      <c r="BR137">
        <v>0.96</v>
      </c>
      <c r="BS137">
        <v>0.97</v>
      </c>
      <c r="BT137">
        <v>0.98</v>
      </c>
      <c r="BU137">
        <v>0.99</v>
      </c>
      <c r="BV137">
        <v>0.995</v>
      </c>
    </row>
    <row r="138" spans="16:74">
      <c r="X138">
        <v>1</v>
      </c>
      <c r="Y138">
        <f>_xlfn.NORM.INV(1-Y$137,$T$127,$Y$128)*SQRT($X138)</f>
        <v>-2.5322212096779767E-3</v>
      </c>
      <c r="Z138">
        <f t="shared" ref="Z138:AI153" si="45">_xlfn.NORM.INV(1-Z$137,$T$127,$Y$128)*SQRT($X138)</f>
        <v>-2.7016027615641529E-3</v>
      </c>
      <c r="AA138">
        <f t="shared" si="45"/>
        <v>-2.8856128108391494E-3</v>
      </c>
      <c r="AB138">
        <f t="shared" si="45"/>
        <v>-3.0879417214841262E-3</v>
      </c>
      <c r="AC138">
        <f t="shared" si="45"/>
        <v>-3.3139114170241792E-3</v>
      </c>
      <c r="AD138">
        <f t="shared" si="45"/>
        <v>-3.5716310431220004E-3</v>
      </c>
      <c r="AE138">
        <f t="shared" si="45"/>
        <v>-3.8744184340814124E-3</v>
      </c>
      <c r="AF138">
        <f t="shared" si="45"/>
        <v>-4.2466570410807621E-3</v>
      </c>
      <c r="AG138">
        <f t="shared" si="45"/>
        <v>-4.741483416269592E-3</v>
      </c>
      <c r="AH138">
        <f t="shared" si="45"/>
        <v>-5.521391028290158E-3</v>
      </c>
      <c r="AI138">
        <f t="shared" si="45"/>
        <v>-6.2351592081022105E-3</v>
      </c>
      <c r="AK138">
        <v>1</v>
      </c>
      <c r="AL138">
        <f>_xlfn.NORM.INV(1-AL$137,$U$127,$Z$128)*SQRT($AK138)</f>
        <v>-1.9020400179310748E-3</v>
      </c>
      <c r="AM138">
        <f t="shared" ref="AM138:AV153" si="46">_xlfn.NORM.INV(1-AM$137,$U$127,$Z$128)*SQRT($AK138)</f>
        <v>-2.1404442244765259E-3</v>
      </c>
      <c r="AN138">
        <f t="shared" si="46"/>
        <v>-2.3994380127922363E-3</v>
      </c>
      <c r="AO138">
        <f t="shared" si="46"/>
        <v>-2.6842155630412475E-3</v>
      </c>
      <c r="AP138">
        <f t="shared" si="46"/>
        <v>-3.0022674722878064E-3</v>
      </c>
      <c r="AQ138">
        <f t="shared" si="46"/>
        <v>-3.365007347361863E-3</v>
      </c>
      <c r="AR138">
        <f t="shared" si="46"/>
        <v>-3.791180014277527E-3</v>
      </c>
      <c r="AS138">
        <f t="shared" si="46"/>
        <v>-4.3151051333890755E-3</v>
      </c>
      <c r="AT138">
        <f t="shared" si="46"/>
        <v>-5.0115722990337098E-3</v>
      </c>
      <c r="AU138">
        <f t="shared" si="46"/>
        <v>-6.1092907539187294E-3</v>
      </c>
      <c r="AV138">
        <f t="shared" si="46"/>
        <v>-7.1139180859426648E-3</v>
      </c>
      <c r="AX138">
        <v>1</v>
      </c>
      <c r="AY138">
        <f>_xlfn.NORM.INV(1-AY$137,$V$127,$AA$128)*SQRT($AX138)</f>
        <v>-1.6868487861953687E-3</v>
      </c>
      <c r="AZ138">
        <f t="shared" ref="AZ138:BI153" si="47">_xlfn.NORM.INV(1-AZ$137,$V$127,$AA$128)*SQRT($AX138)</f>
        <v>-1.8606074920932756E-3</v>
      </c>
      <c r="BA138">
        <f t="shared" si="47"/>
        <v>-2.0493727246595679E-3</v>
      </c>
      <c r="BB138">
        <f t="shared" si="47"/>
        <v>-2.2569302141731205E-3</v>
      </c>
      <c r="BC138">
        <f t="shared" si="47"/>
        <v>-2.4887394131794514E-3</v>
      </c>
      <c r="BD138">
        <f t="shared" si="47"/>
        <v>-2.7531190236894701E-3</v>
      </c>
      <c r="BE138">
        <f t="shared" si="47"/>
        <v>-3.0637310391624776E-3</v>
      </c>
      <c r="BF138">
        <f t="shared" si="47"/>
        <v>-3.4455890273388475E-3</v>
      </c>
      <c r="BG138">
        <f t="shared" si="47"/>
        <v>-3.953202693877585E-3</v>
      </c>
      <c r="BH138">
        <f t="shared" si="47"/>
        <v>-4.7532646597502701E-3</v>
      </c>
      <c r="BI138">
        <f t="shared" si="47"/>
        <v>-5.4854780197895626E-3</v>
      </c>
      <c r="BK138">
        <v>1</v>
      </c>
      <c r="BL138">
        <f>(AL138+Y138-AY138)</f>
        <v>-2.7474124414136828E-3</v>
      </c>
      <c r="BM138">
        <f t="shared" ref="BM138:BV138" si="48">(AM138+Z138-AZ138)</f>
        <v>-2.9814394939474032E-3</v>
      </c>
      <c r="BN138">
        <f t="shared" si="48"/>
        <v>-3.2356780989718178E-3</v>
      </c>
      <c r="BO138">
        <f t="shared" si="48"/>
        <v>-3.5152270703522532E-3</v>
      </c>
      <c r="BP138">
        <f t="shared" si="48"/>
        <v>-3.8274394761325342E-3</v>
      </c>
      <c r="BQ138">
        <f t="shared" si="48"/>
        <v>-4.1835193667943936E-3</v>
      </c>
      <c r="BR138">
        <f t="shared" si="48"/>
        <v>-4.6018674091964622E-3</v>
      </c>
      <c r="BS138">
        <f t="shared" si="48"/>
        <v>-5.1161731471309913E-3</v>
      </c>
      <c r="BT138">
        <f t="shared" si="48"/>
        <v>-5.7998530214257178E-3</v>
      </c>
      <c r="BU138">
        <f t="shared" si="48"/>
        <v>-6.8774171224586182E-3</v>
      </c>
      <c r="BV138">
        <f t="shared" si="48"/>
        <v>-7.8635992742553135E-3</v>
      </c>
    </row>
    <row r="139" spans="16:74">
      <c r="X139">
        <v>2</v>
      </c>
      <c r="Y139">
        <f t="shared" ref="Y139:AI170" si="49">_xlfn.NORM.INV(1-Y$137,$T$127,$Y$128)*SQRT($X139)</f>
        <v>-3.5811015776553998E-3</v>
      </c>
      <c r="Z139">
        <f t="shared" si="45"/>
        <v>-3.8206432655486324E-3</v>
      </c>
      <c r="AA139">
        <f t="shared" si="45"/>
        <v>-4.0808727728462741E-3</v>
      </c>
      <c r="AB139">
        <f t="shared" si="45"/>
        <v>-4.3670090623405744E-3</v>
      </c>
      <c r="AC139">
        <f t="shared" si="45"/>
        <v>-4.6865784704586359E-3</v>
      </c>
      <c r="AD139">
        <f t="shared" si="45"/>
        <v>-5.0510490609758981E-3</v>
      </c>
      <c r="AE139">
        <f t="shared" si="45"/>
        <v>-5.4792550957862632E-3</v>
      </c>
      <c r="AF139">
        <f t="shared" si="45"/>
        <v>-6.0056799822436118E-3</v>
      </c>
      <c r="AG139">
        <f t="shared" si="45"/>
        <v>-6.7054701530555733E-3</v>
      </c>
      <c r="AH139">
        <f t="shared" si="45"/>
        <v>-7.8084260753730718E-3</v>
      </c>
      <c r="AI139">
        <f t="shared" si="45"/>
        <v>-8.8178467156536343E-3</v>
      </c>
      <c r="AK139">
        <v>2</v>
      </c>
      <c r="AL139">
        <f t="shared" ref="AL139:AV170" si="50">_xlfn.NORM.INV(1-AL$137,$U$127,$Z$128)*SQRT($AK139)</f>
        <v>-2.6898907895344911E-3</v>
      </c>
      <c r="AM139">
        <f t="shared" si="46"/>
        <v>-3.0270452517578645E-3</v>
      </c>
      <c r="AN139">
        <f t="shared" si="46"/>
        <v>-3.3933177797643289E-3</v>
      </c>
      <c r="AO139">
        <f t="shared" si="46"/>
        <v>-3.7960540535858659E-3</v>
      </c>
      <c r="AP139">
        <f t="shared" si="46"/>
        <v>-4.2458473771810066E-3</v>
      </c>
      <c r="AQ139">
        <f t="shared" si="46"/>
        <v>-4.7588390281242598E-3</v>
      </c>
      <c r="AR139">
        <f t="shared" si="46"/>
        <v>-5.361538193589103E-3</v>
      </c>
      <c r="AS139">
        <f t="shared" si="46"/>
        <v>-6.102480202704594E-3</v>
      </c>
      <c r="AT139">
        <f t="shared" si="46"/>
        <v>-7.0874335141067855E-3</v>
      </c>
      <c r="AU139">
        <f t="shared" si="46"/>
        <v>-8.6398418406724176E-3</v>
      </c>
      <c r="AV139">
        <f t="shared" si="46"/>
        <v>-1.0060599438751367E-2</v>
      </c>
      <c r="AX139">
        <v>2</v>
      </c>
      <c r="AY139">
        <f t="shared" ref="AY139:BI170" si="51">_xlfn.NORM.INV(1-AY$137,$V$127,$AA$128)*SQRT($AX139)</f>
        <v>-2.385564431110084E-3</v>
      </c>
      <c r="AZ139">
        <f t="shared" si="47"/>
        <v>-2.631296349571302E-3</v>
      </c>
      <c r="BA139">
        <f t="shared" si="47"/>
        <v>-2.8982507015710636E-3</v>
      </c>
      <c r="BB139">
        <f t="shared" si="47"/>
        <v>-3.1917813182132412E-3</v>
      </c>
      <c r="BC139">
        <f t="shared" si="47"/>
        <v>-3.5196090313308385E-3</v>
      </c>
      <c r="BD139">
        <f t="shared" si="47"/>
        <v>-3.8934982621290234E-3</v>
      </c>
      <c r="BE139">
        <f t="shared" si="47"/>
        <v>-4.3327699870469921E-3</v>
      </c>
      <c r="BF139">
        <f t="shared" si="47"/>
        <v>-4.8727987328265193E-3</v>
      </c>
      <c r="BG139">
        <f t="shared" si="47"/>
        <v>-5.5906728644915362E-3</v>
      </c>
      <c r="BH139">
        <f t="shared" si="47"/>
        <v>-6.7221313473675671E-3</v>
      </c>
      <c r="BI139">
        <f t="shared" si="47"/>
        <v>-7.7576374116859088E-3</v>
      </c>
      <c r="BK139">
        <v>2</v>
      </c>
      <c r="BL139">
        <f t="shared" ref="BL139:BL202" si="52">(AL139+Y139-AY139)</f>
        <v>-3.8854279360798069E-3</v>
      </c>
      <c r="BM139">
        <f t="shared" ref="BM139:BM202" si="53">(AM139+Z139-AZ139)</f>
        <v>-4.2163921677351949E-3</v>
      </c>
      <c r="BN139">
        <f t="shared" ref="BN139:BN202" si="54">(AN139+AA139-BA139)</f>
        <v>-4.5759398510395403E-3</v>
      </c>
      <c r="BO139">
        <f t="shared" ref="BO139:BO202" si="55">(AO139+AB139-BB139)</f>
        <v>-4.9712817977131986E-3</v>
      </c>
      <c r="BP139">
        <f t="shared" ref="BP139:BP202" si="56">(AP139+AC139-BC139)</f>
        <v>-5.4128168163088044E-3</v>
      </c>
      <c r="BQ139">
        <f t="shared" ref="BQ139:BQ202" si="57">(AQ139+AD139-BD139)</f>
        <v>-5.9163898269711333E-3</v>
      </c>
      <c r="BR139">
        <f t="shared" ref="BR139:BR202" si="58">(AR139+AE139-BE139)</f>
        <v>-6.5080233023283732E-3</v>
      </c>
      <c r="BS139">
        <f t="shared" ref="BS139:BS202" si="59">(AS139+AF139-BF139)</f>
        <v>-7.2353614521216865E-3</v>
      </c>
      <c r="BT139">
        <f t="shared" ref="BT139:BT202" si="60">(AT139+AG139-BG139)</f>
        <v>-8.2022308026708235E-3</v>
      </c>
      <c r="BU139">
        <f t="shared" ref="BU139:BU202" si="61">(AU139+AH139-BH139)</f>
        <v>-9.7261365686779205E-3</v>
      </c>
      <c r="BV139">
        <f t="shared" ref="BV139:BV202" si="62">(AV139+AI139-BI139)</f>
        <v>-1.1120808742719094E-2</v>
      </c>
    </row>
    <row r="140" spans="16:74">
      <c r="X140">
        <v>3</v>
      </c>
      <c r="Y140">
        <f t="shared" si="49"/>
        <v>-4.3859357911657784E-3</v>
      </c>
      <c r="Z140">
        <f t="shared" si="45"/>
        <v>-4.6793132448974999E-3</v>
      </c>
      <c r="AA140">
        <f t="shared" si="45"/>
        <v>-4.9980279993450463E-3</v>
      </c>
      <c r="AB140">
        <f t="shared" si="45"/>
        <v>-5.3484719524222093E-3</v>
      </c>
      <c r="AC140">
        <f t="shared" si="45"/>
        <v>-5.739862946068452E-3</v>
      </c>
      <c r="AD140">
        <f t="shared" si="45"/>
        <v>-6.1862464325775322E-3</v>
      </c>
      <c r="AE140">
        <f t="shared" si="45"/>
        <v>-6.7106895776104548E-3</v>
      </c>
      <c r="AF140">
        <f t="shared" si="45"/>
        <v>-7.3554257574719928E-3</v>
      </c>
      <c r="AG140">
        <f t="shared" si="45"/>
        <v>-8.2124901802241856E-3</v>
      </c>
      <c r="AH140">
        <f t="shared" si="45"/>
        <v>-9.5633297894535223E-3</v>
      </c>
      <c r="AI140">
        <f t="shared" si="45"/>
        <v>-1.0799612541713955E-2</v>
      </c>
      <c r="AK140">
        <v>3</v>
      </c>
      <c r="AL140">
        <f t="shared" si="50"/>
        <v>-3.2944299490858396E-3</v>
      </c>
      <c r="AM140">
        <f t="shared" si="46"/>
        <v>-3.7073581475607058E-3</v>
      </c>
      <c r="AN140">
        <f t="shared" si="46"/>
        <v>-4.1559485477682548E-3</v>
      </c>
      <c r="AO140">
        <f t="shared" si="46"/>
        <v>-4.6491977336545415E-3</v>
      </c>
      <c r="AP140">
        <f t="shared" si="46"/>
        <v>-5.2000797999138667E-3</v>
      </c>
      <c r="AQ140">
        <f t="shared" si="46"/>
        <v>-5.82836369347332E-3</v>
      </c>
      <c r="AR140">
        <f t="shared" si="46"/>
        <v>-6.5665164053683783E-3</v>
      </c>
      <c r="AS140">
        <f t="shared" si="46"/>
        <v>-7.4739813310311558E-3</v>
      </c>
      <c r="AT140">
        <f t="shared" si="46"/>
        <v>-8.6802978477311509E-3</v>
      </c>
      <c r="AU140">
        <f t="shared" si="46"/>
        <v>-1.0581601983998009E-2</v>
      </c>
      <c r="AV140">
        <f t="shared" si="46"/>
        <v>-1.2321667565735833E-2</v>
      </c>
      <c r="AX140">
        <v>3</v>
      </c>
      <c r="AY140">
        <f t="shared" si="51"/>
        <v>-2.9217078023762687E-3</v>
      </c>
      <c r="AZ140">
        <f t="shared" si="47"/>
        <v>-3.2226667092488614E-3</v>
      </c>
      <c r="BA140">
        <f t="shared" si="47"/>
        <v>-3.5496176827562345E-3</v>
      </c>
      <c r="BB140">
        <f t="shared" si="47"/>
        <v>-3.9091178000851519E-3</v>
      </c>
      <c r="BC140">
        <f t="shared" si="47"/>
        <v>-4.3106231104259622E-3</v>
      </c>
      <c r="BD140">
        <f t="shared" si="47"/>
        <v>-4.7685420283145857E-3</v>
      </c>
      <c r="BE140">
        <f t="shared" si="47"/>
        <v>-5.3065378205552046E-3</v>
      </c>
      <c r="BF140">
        <f t="shared" si="47"/>
        <v>-5.9679352573527127E-3</v>
      </c>
      <c r="BG140">
        <f t="shared" si="47"/>
        <v>-6.8471479184141317E-3</v>
      </c>
      <c r="BH140">
        <f t="shared" si="47"/>
        <v>-8.2328958925090602E-3</v>
      </c>
      <c r="BI140">
        <f t="shared" si="47"/>
        <v>-9.5011266340778375E-3</v>
      </c>
      <c r="BK140">
        <v>3</v>
      </c>
      <c r="BL140">
        <f t="shared" si="52"/>
        <v>-4.7586579378753498E-3</v>
      </c>
      <c r="BM140">
        <f t="shared" si="53"/>
        <v>-5.1640046832093448E-3</v>
      </c>
      <c r="BN140">
        <f t="shared" si="54"/>
        <v>-5.6043588643570653E-3</v>
      </c>
      <c r="BO140">
        <f t="shared" si="55"/>
        <v>-6.0885518859915997E-3</v>
      </c>
      <c r="BP140">
        <f t="shared" si="56"/>
        <v>-6.6293196355563565E-3</v>
      </c>
      <c r="BQ140">
        <f t="shared" si="57"/>
        <v>-7.2460680977362666E-3</v>
      </c>
      <c r="BR140">
        <f t="shared" si="58"/>
        <v>-7.9706681624236303E-3</v>
      </c>
      <c r="BS140">
        <f t="shared" si="59"/>
        <v>-8.8614718311504359E-3</v>
      </c>
      <c r="BT140">
        <f t="shared" si="60"/>
        <v>-1.0045640109541207E-2</v>
      </c>
      <c r="BU140">
        <f t="shared" si="61"/>
        <v>-1.191203588094247E-2</v>
      </c>
      <c r="BV140">
        <f t="shared" si="62"/>
        <v>-1.3620153473371949E-2</v>
      </c>
    </row>
    <row r="141" spans="16:74">
      <c r="X141">
        <v>4</v>
      </c>
      <c r="Y141">
        <f t="shared" si="49"/>
        <v>-5.0644424193559533E-3</v>
      </c>
      <c r="Z141">
        <f t="shared" si="45"/>
        <v>-5.4032055231283058E-3</v>
      </c>
      <c r="AA141">
        <f t="shared" si="45"/>
        <v>-5.7712256216782987E-3</v>
      </c>
      <c r="AB141">
        <f t="shared" si="45"/>
        <v>-6.1758834429682524E-3</v>
      </c>
      <c r="AC141">
        <f t="shared" si="45"/>
        <v>-6.6278228340483584E-3</v>
      </c>
      <c r="AD141">
        <f t="shared" si="45"/>
        <v>-7.1432620862440007E-3</v>
      </c>
      <c r="AE141">
        <f t="shared" si="45"/>
        <v>-7.7488368681628249E-3</v>
      </c>
      <c r="AF141">
        <f t="shared" si="45"/>
        <v>-8.4933140821615242E-3</v>
      </c>
      <c r="AG141">
        <f t="shared" si="45"/>
        <v>-9.4829668325391841E-3</v>
      </c>
      <c r="AH141">
        <f t="shared" si="45"/>
        <v>-1.1042782056580316E-2</v>
      </c>
      <c r="AI141">
        <f t="shared" si="45"/>
        <v>-1.2470318416204421E-2</v>
      </c>
      <c r="AK141">
        <v>4</v>
      </c>
      <c r="AL141">
        <f t="shared" si="50"/>
        <v>-3.8040800358621497E-3</v>
      </c>
      <c r="AM141">
        <f t="shared" si="46"/>
        <v>-4.2808884489530519E-3</v>
      </c>
      <c r="AN141">
        <f t="shared" si="46"/>
        <v>-4.7988760255844726E-3</v>
      </c>
      <c r="AO141">
        <f t="shared" si="46"/>
        <v>-5.368431126082495E-3</v>
      </c>
      <c r="AP141">
        <f t="shared" si="46"/>
        <v>-6.0045349445756128E-3</v>
      </c>
      <c r="AQ141">
        <f t="shared" si="46"/>
        <v>-6.7300146947237259E-3</v>
      </c>
      <c r="AR141">
        <f t="shared" si="46"/>
        <v>-7.5823600285550539E-3</v>
      </c>
      <c r="AS141">
        <f t="shared" si="46"/>
        <v>-8.6302102667781509E-3</v>
      </c>
      <c r="AT141">
        <f t="shared" si="46"/>
        <v>-1.002314459806742E-2</v>
      </c>
      <c r="AU141">
        <f t="shared" si="46"/>
        <v>-1.2218581507837459E-2</v>
      </c>
      <c r="AV141">
        <f t="shared" si="46"/>
        <v>-1.422783617188533E-2</v>
      </c>
      <c r="AX141">
        <v>4</v>
      </c>
      <c r="AY141">
        <f t="shared" si="51"/>
        <v>-3.3736975723907374E-3</v>
      </c>
      <c r="AZ141">
        <f t="shared" si="47"/>
        <v>-3.7212149841865513E-3</v>
      </c>
      <c r="BA141">
        <f t="shared" si="47"/>
        <v>-4.0987454493191357E-3</v>
      </c>
      <c r="BB141">
        <f t="shared" si="47"/>
        <v>-4.513860428346241E-3</v>
      </c>
      <c r="BC141">
        <f t="shared" si="47"/>
        <v>-4.9774788263589028E-3</v>
      </c>
      <c r="BD141">
        <f t="shared" si="47"/>
        <v>-5.5062380473789403E-3</v>
      </c>
      <c r="BE141">
        <f t="shared" si="47"/>
        <v>-6.1274620783249552E-3</v>
      </c>
      <c r="BF141">
        <f t="shared" si="47"/>
        <v>-6.8911780546776951E-3</v>
      </c>
      <c r="BG141">
        <f t="shared" si="47"/>
        <v>-7.90640538775517E-3</v>
      </c>
      <c r="BH141">
        <f t="shared" si="47"/>
        <v>-9.5065293195005403E-3</v>
      </c>
      <c r="BI141">
        <f t="shared" si="47"/>
        <v>-1.0970956039579125E-2</v>
      </c>
      <c r="BK141">
        <v>4</v>
      </c>
      <c r="BL141">
        <f t="shared" si="52"/>
        <v>-5.4948248828273656E-3</v>
      </c>
      <c r="BM141">
        <f t="shared" si="53"/>
        <v>-5.9628789878948063E-3</v>
      </c>
      <c r="BN141">
        <f t="shared" si="54"/>
        <v>-6.4713561979436356E-3</v>
      </c>
      <c r="BO141">
        <f t="shared" si="55"/>
        <v>-7.0304541407045064E-3</v>
      </c>
      <c r="BP141">
        <f t="shared" si="56"/>
        <v>-7.6548789522650684E-3</v>
      </c>
      <c r="BQ141">
        <f t="shared" si="57"/>
        <v>-8.3670387335887872E-3</v>
      </c>
      <c r="BR141">
        <f t="shared" si="58"/>
        <v>-9.2037348183929245E-3</v>
      </c>
      <c r="BS141">
        <f t="shared" si="59"/>
        <v>-1.0232346294261983E-2</v>
      </c>
      <c r="BT141">
        <f t="shared" si="60"/>
        <v>-1.1599706042851436E-2</v>
      </c>
      <c r="BU141">
        <f t="shared" si="61"/>
        <v>-1.3754834244917236E-2</v>
      </c>
      <c r="BV141">
        <f t="shared" si="62"/>
        <v>-1.5727198548510627E-2</v>
      </c>
    </row>
    <row r="142" spans="16:74">
      <c r="X142">
        <v>5</v>
      </c>
      <c r="Y142">
        <f t="shared" si="49"/>
        <v>-5.6622187589067041E-3</v>
      </c>
      <c r="Z142">
        <f t="shared" si="45"/>
        <v>-6.0409674230586024E-3</v>
      </c>
      <c r="AA142">
        <f t="shared" si="45"/>
        <v>-6.45242640178058E-3</v>
      </c>
      <c r="AB142">
        <f t="shared" si="45"/>
        <v>-6.9048475997962296E-3</v>
      </c>
      <c r="AC142">
        <f t="shared" si="45"/>
        <v>-7.410131199878719E-3</v>
      </c>
      <c r="AD142">
        <f t="shared" si="45"/>
        <v>-7.986409802969276E-3</v>
      </c>
      <c r="AE142">
        <f t="shared" si="45"/>
        <v>-8.6634629918843267E-3</v>
      </c>
      <c r="AF142">
        <f t="shared" si="45"/>
        <v>-9.4958138209847009E-3</v>
      </c>
      <c r="AG142">
        <f t="shared" si="45"/>
        <v>-1.0602279232966741E-2</v>
      </c>
      <c r="AH142">
        <f t="shared" si="45"/>
        <v>-1.2346205669614259E-2</v>
      </c>
      <c r="AI142">
        <f t="shared" si="45"/>
        <v>-1.3942239839850301E-2</v>
      </c>
      <c r="AK142">
        <v>5</v>
      </c>
      <c r="AL142">
        <f t="shared" si="50"/>
        <v>-4.2530907760188023E-3</v>
      </c>
      <c r="AM142">
        <f t="shared" si="46"/>
        <v>-4.7861787879763312E-3</v>
      </c>
      <c r="AN142">
        <f t="shared" si="46"/>
        <v>-5.3653065044004505E-3</v>
      </c>
      <c r="AO142">
        <f t="shared" si="46"/>
        <v>-6.0020884652231023E-3</v>
      </c>
      <c r="AP142">
        <f t="shared" si="46"/>
        <v>-6.7132741546720017E-3</v>
      </c>
      <c r="AQ142">
        <f t="shared" si="46"/>
        <v>-7.5243851734873735E-3</v>
      </c>
      <c r="AR142">
        <f t="shared" si="46"/>
        <v>-8.4773362268631743E-3</v>
      </c>
      <c r="AS142">
        <f t="shared" si="46"/>
        <v>-9.6488684083162711E-3</v>
      </c>
      <c r="AT142">
        <f t="shared" si="46"/>
        <v>-1.1206216334794279E-2</v>
      </c>
      <c r="AU142">
        <f t="shared" si="46"/>
        <v>-1.3660789420073219E-2</v>
      </c>
      <c r="AV142">
        <f t="shared" si="46"/>
        <v>-1.5907204426532991E-2</v>
      </c>
      <c r="AX142">
        <v>5</v>
      </c>
      <c r="AY142">
        <f t="shared" si="51"/>
        <v>-3.7719085536958535E-3</v>
      </c>
      <c r="AZ142">
        <f t="shared" si="47"/>
        <v>-4.160444831765967E-3</v>
      </c>
      <c r="BA142">
        <f t="shared" si="47"/>
        <v>-4.5825367235727537E-3</v>
      </c>
      <c r="BB142">
        <f t="shared" si="47"/>
        <v>-5.0466493793642573E-3</v>
      </c>
      <c r="BC142">
        <f t="shared" si="47"/>
        <v>-5.5649905061521893E-3</v>
      </c>
      <c r="BD142">
        <f t="shared" si="47"/>
        <v>-6.1561612871175097E-3</v>
      </c>
      <c r="BE142">
        <f t="shared" si="47"/>
        <v>-6.8507108683433706E-3</v>
      </c>
      <c r="BF142">
        <f t="shared" si="47"/>
        <v>-7.7045712876570444E-3</v>
      </c>
      <c r="BG142">
        <f t="shared" si="47"/>
        <v>-8.8396299523455721E-3</v>
      </c>
      <c r="BH142">
        <f t="shared" si="47"/>
        <v>-1.0628622894249012E-2</v>
      </c>
      <c r="BI142">
        <f t="shared" si="47"/>
        <v>-1.2265901741330399E-2</v>
      </c>
      <c r="BK142">
        <v>5</v>
      </c>
      <c r="BL142">
        <f t="shared" si="52"/>
        <v>-6.1434009812296533E-3</v>
      </c>
      <c r="BM142">
        <f t="shared" si="53"/>
        <v>-6.6667013792689666E-3</v>
      </c>
      <c r="BN142">
        <f t="shared" si="54"/>
        <v>-7.2351961826082768E-3</v>
      </c>
      <c r="BO142">
        <f t="shared" si="55"/>
        <v>-7.8602866856550737E-3</v>
      </c>
      <c r="BP142">
        <f t="shared" si="56"/>
        <v>-8.5584148483985323E-3</v>
      </c>
      <c r="BQ142">
        <f t="shared" si="57"/>
        <v>-9.3546336893391389E-3</v>
      </c>
      <c r="BR142">
        <f t="shared" si="58"/>
        <v>-1.029008835040413E-2</v>
      </c>
      <c r="BS142">
        <f t="shared" si="59"/>
        <v>-1.1440110941643926E-2</v>
      </c>
      <c r="BT142">
        <f t="shared" si="60"/>
        <v>-1.2968865615415447E-2</v>
      </c>
      <c r="BU142">
        <f t="shared" si="61"/>
        <v>-1.5378372195438465E-2</v>
      </c>
      <c r="BV142">
        <f t="shared" si="62"/>
        <v>-1.7583542525052894E-2</v>
      </c>
    </row>
    <row r="143" spans="16:74">
      <c r="X143">
        <v>6</v>
      </c>
      <c r="Y143">
        <f t="shared" si="49"/>
        <v>-6.202649879564215E-3</v>
      </c>
      <c r="Z143">
        <f t="shared" si="45"/>
        <v>-6.6175482535261003E-3</v>
      </c>
      <c r="AA143">
        <f t="shared" si="45"/>
        <v>-7.0682789817942309E-3</v>
      </c>
      <c r="AB143">
        <f t="shared" si="45"/>
        <v>-7.5638815730875962E-3</v>
      </c>
      <c r="AC143">
        <f t="shared" si="45"/>
        <v>-8.1173920244927925E-3</v>
      </c>
      <c r="AD143">
        <f t="shared" si="45"/>
        <v>-8.7486736051333221E-3</v>
      </c>
      <c r="AE143">
        <f t="shared" si="45"/>
        <v>-9.4903482135324825E-3</v>
      </c>
      <c r="AF143">
        <f t="shared" si="45"/>
        <v>-1.0402142863245287E-2</v>
      </c>
      <c r="AG143">
        <f t="shared" si="45"/>
        <v>-1.1614214993728906E-2</v>
      </c>
      <c r="AH143">
        <f t="shared" si="45"/>
        <v>-1.3524590689691805E-2</v>
      </c>
      <c r="AI143">
        <f t="shared" si="45"/>
        <v>-1.5272958524866447E-2</v>
      </c>
      <c r="AK143">
        <v>6</v>
      </c>
      <c r="AL143">
        <f t="shared" si="50"/>
        <v>-4.6590275142852997E-3</v>
      </c>
      <c r="AM143">
        <f t="shared" si="46"/>
        <v>-5.2429961728547442E-3</v>
      </c>
      <c r="AN143">
        <f t="shared" si="46"/>
        <v>-5.8773988007786342E-3</v>
      </c>
      <c r="AO143">
        <f t="shared" si="46"/>
        <v>-6.5749584890885081E-3</v>
      </c>
      <c r="AP143">
        <f t="shared" si="46"/>
        <v>-7.3540233784605601E-3</v>
      </c>
      <c r="AQ143">
        <f t="shared" si="46"/>
        <v>-8.2425509817529129E-3</v>
      </c>
      <c r="AR143">
        <f t="shared" si="46"/>
        <v>-9.2864565580173843E-3</v>
      </c>
      <c r="AS143">
        <f t="shared" si="46"/>
        <v>-1.0569805763267577E-2</v>
      </c>
      <c r="AT143">
        <f t="shared" si="46"/>
        <v>-1.2275794941699381E-2</v>
      </c>
      <c r="AU143">
        <f t="shared" si="46"/>
        <v>-1.4964645037404035E-2</v>
      </c>
      <c r="AV143">
        <f t="shared" si="46"/>
        <v>-1.7425469382516295E-2</v>
      </c>
      <c r="AX143">
        <v>6</v>
      </c>
      <c r="AY143">
        <f t="shared" si="51"/>
        <v>-4.1319187994118094E-3</v>
      </c>
      <c r="AZ143">
        <f t="shared" si="47"/>
        <v>-4.5575389672280111E-3</v>
      </c>
      <c r="BA143">
        <f t="shared" si="47"/>
        <v>-5.0199174681932251E-3</v>
      </c>
      <c r="BB143">
        <f t="shared" si="47"/>
        <v>-5.5283274097945E-3</v>
      </c>
      <c r="BC143">
        <f t="shared" si="47"/>
        <v>-6.0961416650432915E-3</v>
      </c>
      <c r="BD143">
        <f t="shared" si="47"/>
        <v>-6.7437368091885939E-3</v>
      </c>
      <c r="BE143">
        <f t="shared" si="47"/>
        <v>-7.5045777550749359E-3</v>
      </c>
      <c r="BF143">
        <f t="shared" si="47"/>
        <v>-8.4399349803127733E-3</v>
      </c>
      <c r="BG143">
        <f t="shared" si="47"/>
        <v>-9.6833294497959722E-3</v>
      </c>
      <c r="BH143">
        <f t="shared" si="47"/>
        <v>-1.1643073028792059E-2</v>
      </c>
      <c r="BI143">
        <f t="shared" si="47"/>
        <v>-1.3436622143737111E-2</v>
      </c>
      <c r="BK143">
        <v>6</v>
      </c>
      <c r="BL143">
        <f t="shared" si="52"/>
        <v>-6.7297585944377063E-3</v>
      </c>
      <c r="BM143">
        <f t="shared" si="53"/>
        <v>-7.3030054591528334E-3</v>
      </c>
      <c r="BN143">
        <f t="shared" si="54"/>
        <v>-7.9257603143796408E-3</v>
      </c>
      <c r="BO143">
        <f t="shared" si="55"/>
        <v>-8.6105126523816043E-3</v>
      </c>
      <c r="BP143">
        <f t="shared" si="56"/>
        <v>-9.3752737379100629E-3</v>
      </c>
      <c r="BQ143">
        <f t="shared" si="57"/>
        <v>-1.0247487777697638E-2</v>
      </c>
      <c r="BR143">
        <f t="shared" si="58"/>
        <v>-1.1272227016474932E-2</v>
      </c>
      <c r="BS143">
        <f t="shared" si="59"/>
        <v>-1.2532013646200093E-2</v>
      </c>
      <c r="BT143">
        <f t="shared" si="60"/>
        <v>-1.4206680485632315E-2</v>
      </c>
      <c r="BU143">
        <f t="shared" si="61"/>
        <v>-1.6846162698303781E-2</v>
      </c>
      <c r="BV143">
        <f t="shared" si="62"/>
        <v>-1.9261805763645629E-2</v>
      </c>
    </row>
    <row r="144" spans="16:74">
      <c r="X144">
        <v>7</v>
      </c>
      <c r="Y144">
        <f t="shared" si="49"/>
        <v>-6.6996275854110708E-3</v>
      </c>
      <c r="Z144">
        <f t="shared" si="45"/>
        <v>-7.1477690483840763E-3</v>
      </c>
      <c r="AA144">
        <f t="shared" si="45"/>
        <v>-7.634613877502458E-3</v>
      </c>
      <c r="AB144">
        <f t="shared" si="45"/>
        <v>-8.1699258581076767E-3</v>
      </c>
      <c r="AC144">
        <f t="shared" si="45"/>
        <v>-8.7677854763436383E-3</v>
      </c>
      <c r="AD144">
        <f t="shared" si="45"/>
        <v>-9.449647514979025E-3</v>
      </c>
      <c r="AE144">
        <f t="shared" si="45"/>
        <v>-1.0250747651583715E-2</v>
      </c>
      <c r="AF144">
        <f t="shared" si="45"/>
        <v>-1.1235598434081102E-2</v>
      </c>
      <c r="AG144">
        <f t="shared" si="45"/>
        <v>-1.2544785964986288E-2</v>
      </c>
      <c r="AH144">
        <f t="shared" si="45"/>
        <v>-1.4608227551998955E-2</v>
      </c>
      <c r="AI144">
        <f t="shared" si="45"/>
        <v>-1.6496680649532879E-2</v>
      </c>
      <c r="AK144">
        <v>7</v>
      </c>
      <c r="AL144">
        <f t="shared" si="50"/>
        <v>-5.0323248711384586E-3</v>
      </c>
      <c r="AM144">
        <f t="shared" si="46"/>
        <v>-5.6630831131693994E-3</v>
      </c>
      <c r="AN144">
        <f t="shared" si="46"/>
        <v>-6.3483162681632751E-3</v>
      </c>
      <c r="AO144">
        <f t="shared" si="46"/>
        <v>-7.101766845096359E-3</v>
      </c>
      <c r="AP144">
        <f t="shared" si="46"/>
        <v>-7.9432531009720388E-3</v>
      </c>
      <c r="AQ144">
        <f t="shared" si="46"/>
        <v>-8.9029726010246297E-3</v>
      </c>
      <c r="AR144">
        <f t="shared" si="46"/>
        <v>-1.003051949325664E-2</v>
      </c>
      <c r="AS144">
        <f t="shared" si="46"/>
        <v>-1.1416695064045692E-2</v>
      </c>
      <c r="AT144">
        <f t="shared" si="46"/>
        <v>-1.3259373980663423E-2</v>
      </c>
      <c r="AU144">
        <f t="shared" si="46"/>
        <v>-1.6163664021855262E-2</v>
      </c>
      <c r="AV144">
        <f t="shared" si="46"/>
        <v>-1.8821658102688908E-2</v>
      </c>
      <c r="AX144">
        <v>7</v>
      </c>
      <c r="AY144">
        <f t="shared" si="51"/>
        <v>-4.4629823876441103E-3</v>
      </c>
      <c r="AZ144">
        <f t="shared" si="47"/>
        <v>-4.9227047115823841E-3</v>
      </c>
      <c r="BA144">
        <f t="shared" si="47"/>
        <v>-5.4221305731280639E-3</v>
      </c>
      <c r="BB144">
        <f t="shared" si="47"/>
        <v>-5.971276073129821E-3</v>
      </c>
      <c r="BC144">
        <f t="shared" si="47"/>
        <v>-6.5845855653176534E-3</v>
      </c>
      <c r="BD144">
        <f t="shared" si="47"/>
        <v>-7.2840682664432818E-3</v>
      </c>
      <c r="BE144">
        <f t="shared" si="47"/>
        <v>-8.1058704136134068E-3</v>
      </c>
      <c r="BF144">
        <f t="shared" si="47"/>
        <v>-9.116171686471523E-3</v>
      </c>
      <c r="BG144">
        <f t="shared" si="47"/>
        <v>-1.0459191210230692E-2</v>
      </c>
      <c r="BH144">
        <f t="shared" si="47"/>
        <v>-1.2575956205371263E-2</v>
      </c>
      <c r="BI144">
        <f t="shared" si="47"/>
        <v>-1.451321066267423E-2</v>
      </c>
      <c r="BK144">
        <v>7</v>
      </c>
      <c r="BL144">
        <f t="shared" si="52"/>
        <v>-7.2689700689054192E-3</v>
      </c>
      <c r="BM144">
        <f t="shared" si="53"/>
        <v>-7.8881474499710932E-3</v>
      </c>
      <c r="BN144">
        <f t="shared" si="54"/>
        <v>-8.5607995725376709E-3</v>
      </c>
      <c r="BO144">
        <f t="shared" si="55"/>
        <v>-9.3004166300742156E-3</v>
      </c>
      <c r="BP144">
        <f t="shared" si="56"/>
        <v>-1.0126453011998025E-2</v>
      </c>
      <c r="BQ144">
        <f t="shared" si="57"/>
        <v>-1.1068551849560373E-2</v>
      </c>
      <c r="BR144">
        <f t="shared" si="58"/>
        <v>-1.2175396731226947E-2</v>
      </c>
      <c r="BS144">
        <f t="shared" si="59"/>
        <v>-1.3536121811655271E-2</v>
      </c>
      <c r="BT144">
        <f t="shared" si="60"/>
        <v>-1.534496873541902E-2</v>
      </c>
      <c r="BU144">
        <f t="shared" si="61"/>
        <v>-1.8195935368482956E-2</v>
      </c>
      <c r="BV144">
        <f t="shared" si="62"/>
        <v>-2.0805128089547559E-2</v>
      </c>
    </row>
    <row r="145" spans="24:74">
      <c r="X145">
        <v>8</v>
      </c>
      <c r="Y145">
        <f t="shared" si="49"/>
        <v>-7.1622031553107996E-3</v>
      </c>
      <c r="Z145">
        <f t="shared" si="45"/>
        <v>-7.6412865310972649E-3</v>
      </c>
      <c r="AA145">
        <f t="shared" si="45"/>
        <v>-8.1617455456925482E-3</v>
      </c>
      <c r="AB145">
        <f t="shared" si="45"/>
        <v>-8.7340181246811487E-3</v>
      </c>
      <c r="AC145">
        <f t="shared" si="45"/>
        <v>-9.3731569409172717E-3</v>
      </c>
      <c r="AD145">
        <f t="shared" si="45"/>
        <v>-1.0102098121951796E-2</v>
      </c>
      <c r="AE145">
        <f t="shared" si="45"/>
        <v>-1.0958510191572526E-2</v>
      </c>
      <c r="AF145">
        <f t="shared" si="45"/>
        <v>-1.2011359964487224E-2</v>
      </c>
      <c r="AG145">
        <f t="shared" si="45"/>
        <v>-1.3410940306111147E-2</v>
      </c>
      <c r="AH145">
        <f t="shared" si="45"/>
        <v>-1.5616852150746144E-2</v>
      </c>
      <c r="AI145">
        <f t="shared" si="45"/>
        <v>-1.7635693431307269E-2</v>
      </c>
      <c r="AK145">
        <v>8</v>
      </c>
      <c r="AL145">
        <f t="shared" si="50"/>
        <v>-5.3797815790689821E-3</v>
      </c>
      <c r="AM145">
        <f t="shared" si="46"/>
        <v>-6.0540905035157289E-3</v>
      </c>
      <c r="AN145">
        <f t="shared" si="46"/>
        <v>-6.7866355595286578E-3</v>
      </c>
      <c r="AO145">
        <f t="shared" si="46"/>
        <v>-7.5921081071717317E-3</v>
      </c>
      <c r="AP145">
        <f t="shared" si="46"/>
        <v>-8.4916947543620131E-3</v>
      </c>
      <c r="AQ145">
        <f t="shared" si="46"/>
        <v>-9.5176780562485196E-3</v>
      </c>
      <c r="AR145">
        <f t="shared" si="46"/>
        <v>-1.0723076387178206E-2</v>
      </c>
      <c r="AS145">
        <f t="shared" si="46"/>
        <v>-1.2204960405409188E-2</v>
      </c>
      <c r="AT145">
        <f t="shared" si="46"/>
        <v>-1.4174867028213571E-2</v>
      </c>
      <c r="AU145">
        <f t="shared" si="46"/>
        <v>-1.7279683681344835E-2</v>
      </c>
      <c r="AV145">
        <f t="shared" si="46"/>
        <v>-2.0121198877502734E-2</v>
      </c>
      <c r="AX145">
        <v>8</v>
      </c>
      <c r="AY145">
        <f t="shared" si="51"/>
        <v>-4.771128862220168E-3</v>
      </c>
      <c r="AZ145">
        <f t="shared" si="47"/>
        <v>-5.262592699142604E-3</v>
      </c>
      <c r="BA145">
        <f t="shared" si="47"/>
        <v>-5.7965014031421272E-3</v>
      </c>
      <c r="BB145">
        <f t="shared" si="47"/>
        <v>-6.3835626364264824E-3</v>
      </c>
      <c r="BC145">
        <f t="shared" si="47"/>
        <v>-7.0392180626616769E-3</v>
      </c>
      <c r="BD145">
        <f t="shared" si="47"/>
        <v>-7.7869965242580467E-3</v>
      </c>
      <c r="BE145">
        <f t="shared" si="47"/>
        <v>-8.6655399740939842E-3</v>
      </c>
      <c r="BF145">
        <f t="shared" si="47"/>
        <v>-9.7455974656530386E-3</v>
      </c>
      <c r="BG145">
        <f t="shared" si="47"/>
        <v>-1.1181345728983072E-2</v>
      </c>
      <c r="BH145">
        <f t="shared" si="47"/>
        <v>-1.3444262694735134E-2</v>
      </c>
      <c r="BI145">
        <f t="shared" si="47"/>
        <v>-1.5515274823371818E-2</v>
      </c>
      <c r="BK145">
        <v>8</v>
      </c>
      <c r="BL145">
        <f t="shared" si="52"/>
        <v>-7.7708558721596138E-3</v>
      </c>
      <c r="BM145">
        <f t="shared" si="53"/>
        <v>-8.4327843354703898E-3</v>
      </c>
      <c r="BN145">
        <f t="shared" si="54"/>
        <v>-9.1518797020790806E-3</v>
      </c>
      <c r="BO145">
        <f t="shared" si="55"/>
        <v>-9.9425635954263972E-3</v>
      </c>
      <c r="BP145">
        <f t="shared" si="56"/>
        <v>-1.0825633632617609E-2</v>
      </c>
      <c r="BQ145">
        <f t="shared" si="57"/>
        <v>-1.1832779653942267E-2</v>
      </c>
      <c r="BR145">
        <f t="shared" si="58"/>
        <v>-1.3016046604656746E-2</v>
      </c>
      <c r="BS145">
        <f t="shared" si="59"/>
        <v>-1.4470722904243373E-2</v>
      </c>
      <c r="BT145">
        <f t="shared" si="60"/>
        <v>-1.6404461605341647E-2</v>
      </c>
      <c r="BU145">
        <f t="shared" si="61"/>
        <v>-1.9452273137355841E-2</v>
      </c>
      <c r="BV145">
        <f t="shared" si="62"/>
        <v>-2.2241617485438188E-2</v>
      </c>
    </row>
    <row r="146" spans="24:74">
      <c r="X146">
        <v>9</v>
      </c>
      <c r="Y146">
        <f t="shared" si="49"/>
        <v>-7.59666362903393E-3</v>
      </c>
      <c r="Z146">
        <f t="shared" si="45"/>
        <v>-8.1048082846924586E-3</v>
      </c>
      <c r="AA146">
        <f t="shared" si="45"/>
        <v>-8.656838432517449E-3</v>
      </c>
      <c r="AB146">
        <f t="shared" si="45"/>
        <v>-9.2638251644523786E-3</v>
      </c>
      <c r="AC146">
        <f t="shared" si="45"/>
        <v>-9.9417342510725384E-3</v>
      </c>
      <c r="AD146">
        <f t="shared" si="45"/>
        <v>-1.0714893129366E-2</v>
      </c>
      <c r="AE146">
        <f t="shared" si="45"/>
        <v>-1.1623255302244237E-2</v>
      </c>
      <c r="AF146">
        <f t="shared" si="45"/>
        <v>-1.2739971123242287E-2</v>
      </c>
      <c r="AG146">
        <f t="shared" si="45"/>
        <v>-1.4224450248808775E-2</v>
      </c>
      <c r="AH146">
        <f t="shared" si="45"/>
        <v>-1.6564173084870473E-2</v>
      </c>
      <c r="AI146">
        <f t="shared" si="45"/>
        <v>-1.8705477624306632E-2</v>
      </c>
      <c r="AK146">
        <v>9</v>
      </c>
      <c r="AL146">
        <f t="shared" si="50"/>
        <v>-5.7061200537932245E-3</v>
      </c>
      <c r="AM146">
        <f t="shared" si="46"/>
        <v>-6.4213326734295778E-3</v>
      </c>
      <c r="AN146">
        <f t="shared" si="46"/>
        <v>-7.1983140383767089E-3</v>
      </c>
      <c r="AO146">
        <f t="shared" si="46"/>
        <v>-8.0526466891237426E-3</v>
      </c>
      <c r="AP146">
        <f t="shared" si="46"/>
        <v>-9.00680241686342E-3</v>
      </c>
      <c r="AQ146">
        <f t="shared" si="46"/>
        <v>-1.0095022042085589E-2</v>
      </c>
      <c r="AR146">
        <f t="shared" si="46"/>
        <v>-1.1373540042832581E-2</v>
      </c>
      <c r="AS146">
        <f t="shared" si="46"/>
        <v>-1.2945315400167226E-2</v>
      </c>
      <c r="AT146">
        <f t="shared" si="46"/>
        <v>-1.503471689710113E-2</v>
      </c>
      <c r="AU146">
        <f t="shared" si="46"/>
        <v>-1.8327872261756188E-2</v>
      </c>
      <c r="AV146">
        <f t="shared" si="46"/>
        <v>-2.1341754257827993E-2</v>
      </c>
      <c r="AX146">
        <v>9</v>
      </c>
      <c r="AY146">
        <f t="shared" si="51"/>
        <v>-5.0605463585861061E-3</v>
      </c>
      <c r="AZ146">
        <f t="shared" si="47"/>
        <v>-5.5818224762798265E-3</v>
      </c>
      <c r="BA146">
        <f t="shared" si="47"/>
        <v>-6.148118173978704E-3</v>
      </c>
      <c r="BB146">
        <f t="shared" si="47"/>
        <v>-6.7707906425193611E-3</v>
      </c>
      <c r="BC146">
        <f t="shared" si="47"/>
        <v>-7.4662182395383546E-3</v>
      </c>
      <c r="BD146">
        <f t="shared" si="47"/>
        <v>-8.25935707106841E-3</v>
      </c>
      <c r="BE146">
        <f t="shared" si="47"/>
        <v>-9.1911931174874333E-3</v>
      </c>
      <c r="BF146">
        <f t="shared" si="47"/>
        <v>-1.0336767082016543E-2</v>
      </c>
      <c r="BG146">
        <f t="shared" si="47"/>
        <v>-1.1859608081632755E-2</v>
      </c>
      <c r="BH146">
        <f t="shared" si="47"/>
        <v>-1.425979397925081E-2</v>
      </c>
      <c r="BI146">
        <f t="shared" si="47"/>
        <v>-1.6456434059368689E-2</v>
      </c>
      <c r="BK146">
        <v>9</v>
      </c>
      <c r="BL146">
        <f t="shared" si="52"/>
        <v>-8.2422373242410484E-3</v>
      </c>
      <c r="BM146">
        <f t="shared" si="53"/>
        <v>-8.9443184818422099E-3</v>
      </c>
      <c r="BN146">
        <f t="shared" si="54"/>
        <v>-9.7070342969154538E-3</v>
      </c>
      <c r="BO146">
        <f t="shared" si="55"/>
        <v>-1.0545681211056758E-2</v>
      </c>
      <c r="BP146">
        <f t="shared" si="56"/>
        <v>-1.1482318428397604E-2</v>
      </c>
      <c r="BQ146">
        <f t="shared" si="57"/>
        <v>-1.2550558100383177E-2</v>
      </c>
      <c r="BR146">
        <f t="shared" si="58"/>
        <v>-1.3805602227589385E-2</v>
      </c>
      <c r="BS146">
        <f t="shared" si="59"/>
        <v>-1.5348519441392969E-2</v>
      </c>
      <c r="BT146">
        <f t="shared" si="60"/>
        <v>-1.7399559064277148E-2</v>
      </c>
      <c r="BU146">
        <f t="shared" si="61"/>
        <v>-2.0632251367375849E-2</v>
      </c>
      <c r="BV146">
        <f t="shared" si="62"/>
        <v>-2.3590797822765935E-2</v>
      </c>
    </row>
    <row r="147" spans="24:74">
      <c r="X147">
        <v>10</v>
      </c>
      <c r="Y147">
        <f t="shared" si="49"/>
        <v>-8.0075865619692148E-3</v>
      </c>
      <c r="Z147">
        <f t="shared" si="45"/>
        <v>-8.5432180595435211E-3</v>
      </c>
      <c r="AA147">
        <f t="shared" si="45"/>
        <v>-9.1251089276123253E-3</v>
      </c>
      <c r="AB147">
        <f t="shared" si="45"/>
        <v>-9.7649291217511407E-3</v>
      </c>
      <c r="AC147">
        <f t="shared" si="45"/>
        <v>-1.0479508041832499E-2</v>
      </c>
      <c r="AD147">
        <f t="shared" si="45"/>
        <v>-1.1294489058028588E-2</v>
      </c>
      <c r="AE147">
        <f t="shared" si="45"/>
        <v>-1.2251986860240207E-2</v>
      </c>
      <c r="AF147">
        <f t="shared" si="45"/>
        <v>-1.3429108691406446E-2</v>
      </c>
      <c r="AG147">
        <f t="shared" si="45"/>
        <v>-1.499388708332818E-2</v>
      </c>
      <c r="AH147">
        <f t="shared" si="45"/>
        <v>-1.7460171501816085E-2</v>
      </c>
      <c r="AI147">
        <f t="shared" si="45"/>
        <v>-1.9717304671374784E-2</v>
      </c>
      <c r="AK147">
        <v>10</v>
      </c>
      <c r="AL147">
        <f t="shared" si="50"/>
        <v>-6.0147786574497016E-3</v>
      </c>
      <c r="AM147">
        <f t="shared" si="46"/>
        <v>-6.7686789538985498E-3</v>
      </c>
      <c r="AN147">
        <f t="shared" si="46"/>
        <v>-7.5876892248116995E-3</v>
      </c>
      <c r="AO147">
        <f t="shared" si="46"/>
        <v>-8.4882349100816254E-3</v>
      </c>
      <c r="AP147">
        <f t="shared" si="46"/>
        <v>-9.4940033574659188E-3</v>
      </c>
      <c r="AQ147">
        <f t="shared" si="46"/>
        <v>-1.0641087560864878E-2</v>
      </c>
      <c r="AR147">
        <f t="shared" si="46"/>
        <v>-1.1988763864826661E-2</v>
      </c>
      <c r="AS147">
        <f t="shared" si="46"/>
        <v>-1.3645560564594169E-2</v>
      </c>
      <c r="AT147">
        <f t="shared" si="46"/>
        <v>-1.5847983123552987E-2</v>
      </c>
      <c r="AU147">
        <f t="shared" si="46"/>
        <v>-1.9319273670590435E-2</v>
      </c>
      <c r="AV147">
        <f t="shared" si="46"/>
        <v>-2.2496184239444286E-2</v>
      </c>
      <c r="AX147">
        <v>10</v>
      </c>
      <c r="AY147">
        <f t="shared" si="51"/>
        <v>-5.3342842326677617E-3</v>
      </c>
      <c r="AZ147">
        <f t="shared" si="47"/>
        <v>-5.8837575065884802E-3</v>
      </c>
      <c r="BA147">
        <f t="shared" si="47"/>
        <v>-6.480685584549355E-3</v>
      </c>
      <c r="BB147">
        <f t="shared" si="47"/>
        <v>-7.1370399968386953E-3</v>
      </c>
      <c r="BC147">
        <f t="shared" si="47"/>
        <v>-7.8700850482779413E-3</v>
      </c>
      <c r="BD147">
        <f t="shared" si="47"/>
        <v>-8.7061267843977913E-3</v>
      </c>
      <c r="BE147">
        <f t="shared" si="47"/>
        <v>-9.6883682219079583E-3</v>
      </c>
      <c r="BF147">
        <f t="shared" si="47"/>
        <v>-1.0895909207274934E-2</v>
      </c>
      <c r="BG147">
        <f t="shared" si="47"/>
        <v>-1.2501124564966545E-2</v>
      </c>
      <c r="BH147">
        <f t="shared" si="47"/>
        <v>-1.5031142646396134E-2</v>
      </c>
      <c r="BI147">
        <f t="shared" si="47"/>
        <v>-1.7346604597325215E-2</v>
      </c>
      <c r="BK147">
        <v>10</v>
      </c>
      <c r="BL147">
        <f t="shared" si="52"/>
        <v>-8.6880809867511538E-3</v>
      </c>
      <c r="BM147">
        <f t="shared" si="53"/>
        <v>-9.4281395068535924E-3</v>
      </c>
      <c r="BN147">
        <f t="shared" si="54"/>
        <v>-1.0232112567874671E-2</v>
      </c>
      <c r="BO147">
        <f t="shared" si="55"/>
        <v>-1.1116124034994072E-2</v>
      </c>
      <c r="BP147">
        <f t="shared" si="56"/>
        <v>-1.2103426351020479E-2</v>
      </c>
      <c r="BQ147">
        <f t="shared" si="57"/>
        <v>-1.3229449834495675E-2</v>
      </c>
      <c r="BR147">
        <f t="shared" si="58"/>
        <v>-1.4552382503158908E-2</v>
      </c>
      <c r="BS147">
        <f t="shared" si="59"/>
        <v>-1.6178760048725684E-2</v>
      </c>
      <c r="BT147">
        <f t="shared" si="60"/>
        <v>-1.8340745641914621E-2</v>
      </c>
      <c r="BU147">
        <f t="shared" si="61"/>
        <v>-2.1748302526010385E-2</v>
      </c>
      <c r="BV147">
        <f t="shared" si="62"/>
        <v>-2.4866884313493851E-2</v>
      </c>
    </row>
    <row r="148" spans="24:74">
      <c r="X148">
        <v>11</v>
      </c>
      <c r="Y148">
        <f t="shared" si="49"/>
        <v>-8.3984276386817169E-3</v>
      </c>
      <c r="Z148">
        <f t="shared" si="45"/>
        <v>-8.9602026926962775E-3</v>
      </c>
      <c r="AA148">
        <f t="shared" si="45"/>
        <v>-9.5704949837962499E-3</v>
      </c>
      <c r="AB148">
        <f t="shared" si="45"/>
        <v>-1.0241544064646982E-2</v>
      </c>
      <c r="AC148">
        <f t="shared" si="45"/>
        <v>-1.0991000758744185E-2</v>
      </c>
      <c r="AD148">
        <f t="shared" si="45"/>
        <v>-1.1845760059621343E-2</v>
      </c>
      <c r="AE148">
        <f t="shared" si="45"/>
        <v>-1.2849992226684362E-2</v>
      </c>
      <c r="AF148">
        <f t="shared" si="45"/>
        <v>-1.4084568018585765E-2</v>
      </c>
      <c r="AG148">
        <f t="shared" si="45"/>
        <v>-1.5725721441458739E-2</v>
      </c>
      <c r="AH148">
        <f t="shared" si="45"/>
        <v>-1.831238236167303E-2</v>
      </c>
      <c r="AI148">
        <f t="shared" si="45"/>
        <v>-2.0679683601404535E-2</v>
      </c>
      <c r="AK148">
        <v>11</v>
      </c>
      <c r="AL148">
        <f t="shared" si="50"/>
        <v>-6.3083530757182321E-3</v>
      </c>
      <c r="AM148">
        <f t="shared" si="46"/>
        <v>-7.0990503772718839E-3</v>
      </c>
      <c r="AN148">
        <f t="shared" si="46"/>
        <v>-7.9580355961478277E-3</v>
      </c>
      <c r="AO148">
        <f t="shared" si="46"/>
        <v>-8.9025358790403783E-3</v>
      </c>
      <c r="AP148">
        <f t="shared" si="46"/>
        <v>-9.9573947258673814E-3</v>
      </c>
      <c r="AQ148">
        <f t="shared" si="46"/>
        <v>-1.1160466787988418E-2</v>
      </c>
      <c r="AR148">
        <f t="shared" si="46"/>
        <v>-1.2573921620052785E-2</v>
      </c>
      <c r="AS148">
        <f t="shared" si="46"/>
        <v>-1.4311584658388051E-2</v>
      </c>
      <c r="AT148">
        <f t="shared" si="46"/>
        <v>-1.6621504925633607E-2</v>
      </c>
      <c r="AU148">
        <f t="shared" si="46"/>
        <v>-2.0262225165935888E-2</v>
      </c>
      <c r="AV148">
        <f t="shared" si="46"/>
        <v>-2.3594197080395077E-2</v>
      </c>
      <c r="AX148">
        <v>11</v>
      </c>
      <c r="AY148">
        <f t="shared" si="51"/>
        <v>-5.5946445018764755E-3</v>
      </c>
      <c r="AZ148">
        <f t="shared" si="47"/>
        <v>-6.1709369333975469E-3</v>
      </c>
      <c r="BA148">
        <f t="shared" si="47"/>
        <v>-6.7970003832841137E-3</v>
      </c>
      <c r="BB148">
        <f t="shared" si="47"/>
        <v>-7.4853906984286931E-3</v>
      </c>
      <c r="BC148">
        <f t="shared" si="47"/>
        <v>-8.2542148344855182E-3</v>
      </c>
      <c r="BD148">
        <f t="shared" si="47"/>
        <v>-9.1310628047675518E-3</v>
      </c>
      <c r="BE148">
        <f t="shared" si="47"/>
        <v>-1.0161246315467583E-2</v>
      </c>
      <c r="BF148">
        <f t="shared" si="47"/>
        <v>-1.1427725985448571E-2</v>
      </c>
      <c r="BG148">
        <f t="shared" si="47"/>
        <v>-1.3111290055814148E-2</v>
      </c>
      <c r="BH148">
        <f t="shared" si="47"/>
        <v>-1.5764795405647972E-2</v>
      </c>
      <c r="BI148">
        <f t="shared" si="47"/>
        <v>-1.8193272387383712E-2</v>
      </c>
      <c r="BK148">
        <v>11</v>
      </c>
      <c r="BL148">
        <f t="shared" si="52"/>
        <v>-9.1121362125234726E-3</v>
      </c>
      <c r="BM148">
        <f t="shared" si="53"/>
        <v>-9.8883161365706154E-3</v>
      </c>
      <c r="BN148">
        <f t="shared" si="54"/>
        <v>-1.0731530196659966E-2</v>
      </c>
      <c r="BO148">
        <f t="shared" si="55"/>
        <v>-1.1658689245258666E-2</v>
      </c>
      <c r="BP148">
        <f t="shared" si="56"/>
        <v>-1.269418065012605E-2</v>
      </c>
      <c r="BQ148">
        <f t="shared" si="57"/>
        <v>-1.387516404284221E-2</v>
      </c>
      <c r="BR148">
        <f t="shared" si="58"/>
        <v>-1.5262667531269562E-2</v>
      </c>
      <c r="BS148">
        <f t="shared" si="59"/>
        <v>-1.6968426691525249E-2</v>
      </c>
      <c r="BT148">
        <f t="shared" si="60"/>
        <v>-1.92359363112782E-2</v>
      </c>
      <c r="BU148">
        <f t="shared" si="61"/>
        <v>-2.2809812121960947E-2</v>
      </c>
      <c r="BV148">
        <f t="shared" si="62"/>
        <v>-2.60806082944159E-2</v>
      </c>
    </row>
    <row r="149" spans="24:74">
      <c r="X149">
        <v>12</v>
      </c>
      <c r="Y149">
        <f t="shared" si="49"/>
        <v>-8.7718715823315568E-3</v>
      </c>
      <c r="Z149">
        <f t="shared" si="45"/>
        <v>-9.3586264897949998E-3</v>
      </c>
      <c r="AA149">
        <f t="shared" si="45"/>
        <v>-9.9960559986900926E-3</v>
      </c>
      <c r="AB149">
        <f t="shared" si="45"/>
        <v>-1.0696943904844419E-2</v>
      </c>
      <c r="AC149">
        <f t="shared" si="45"/>
        <v>-1.1479725892136904E-2</v>
      </c>
      <c r="AD149">
        <f t="shared" si="45"/>
        <v>-1.2372492865155064E-2</v>
      </c>
      <c r="AE149">
        <f t="shared" si="45"/>
        <v>-1.342137915522091E-2</v>
      </c>
      <c r="AF149">
        <f t="shared" si="45"/>
        <v>-1.4710851514943986E-2</v>
      </c>
      <c r="AG149">
        <f t="shared" si="45"/>
        <v>-1.6424980360448371E-2</v>
      </c>
      <c r="AH149">
        <f t="shared" si="45"/>
        <v>-1.9126659578907045E-2</v>
      </c>
      <c r="AI149">
        <f t="shared" si="45"/>
        <v>-2.159922508342791E-2</v>
      </c>
      <c r="AK149">
        <v>12</v>
      </c>
      <c r="AL149">
        <f t="shared" si="50"/>
        <v>-6.5888598981716793E-3</v>
      </c>
      <c r="AM149">
        <f t="shared" si="46"/>
        <v>-7.4147162951214117E-3</v>
      </c>
      <c r="AN149">
        <f t="shared" si="46"/>
        <v>-8.3118970955365096E-3</v>
      </c>
      <c r="AO149">
        <f t="shared" si="46"/>
        <v>-9.298395467309083E-3</v>
      </c>
      <c r="AP149">
        <f t="shared" si="46"/>
        <v>-1.0400159599827733E-2</v>
      </c>
      <c r="AQ149">
        <f t="shared" si="46"/>
        <v>-1.165672738694664E-2</v>
      </c>
      <c r="AR149">
        <f t="shared" si="46"/>
        <v>-1.3133032810736757E-2</v>
      </c>
      <c r="AS149">
        <f t="shared" si="46"/>
        <v>-1.4947962662062312E-2</v>
      </c>
      <c r="AT149">
        <f t="shared" si="46"/>
        <v>-1.7360595695462302E-2</v>
      </c>
      <c r="AU149">
        <f t="shared" si="46"/>
        <v>-2.1163203967996019E-2</v>
      </c>
      <c r="AV149">
        <f t="shared" si="46"/>
        <v>-2.4643335131471666E-2</v>
      </c>
      <c r="AX149">
        <v>12</v>
      </c>
      <c r="AY149">
        <f t="shared" si="51"/>
        <v>-5.8434156047525374E-3</v>
      </c>
      <c r="AZ149">
        <f t="shared" si="47"/>
        <v>-6.4453334184977227E-3</v>
      </c>
      <c r="BA149">
        <f t="shared" si="47"/>
        <v>-7.099235365512469E-3</v>
      </c>
      <c r="BB149">
        <f t="shared" si="47"/>
        <v>-7.8182356001703038E-3</v>
      </c>
      <c r="BC149">
        <f t="shared" si="47"/>
        <v>-8.6212462208519244E-3</v>
      </c>
      <c r="BD149">
        <f t="shared" si="47"/>
        <v>-9.5370840566291713E-3</v>
      </c>
      <c r="BE149">
        <f t="shared" si="47"/>
        <v>-1.0613075641110409E-2</v>
      </c>
      <c r="BF149">
        <f t="shared" si="47"/>
        <v>-1.1935870514705425E-2</v>
      </c>
      <c r="BG149">
        <f t="shared" si="47"/>
        <v>-1.3694295836828263E-2</v>
      </c>
      <c r="BH149">
        <f t="shared" si="47"/>
        <v>-1.646579178501812E-2</v>
      </c>
      <c r="BI149">
        <f t="shared" si="47"/>
        <v>-1.9002253268155675E-2</v>
      </c>
      <c r="BK149">
        <v>12</v>
      </c>
      <c r="BL149">
        <f t="shared" si="52"/>
        <v>-9.5173158757506995E-3</v>
      </c>
      <c r="BM149">
        <f t="shared" si="53"/>
        <v>-1.032800936641869E-2</v>
      </c>
      <c r="BN149">
        <f t="shared" si="54"/>
        <v>-1.1208717728714131E-2</v>
      </c>
      <c r="BO149">
        <f t="shared" si="55"/>
        <v>-1.2177103771983199E-2</v>
      </c>
      <c r="BP149">
        <f t="shared" si="56"/>
        <v>-1.3258639271112713E-2</v>
      </c>
      <c r="BQ149">
        <f t="shared" si="57"/>
        <v>-1.4492136195472533E-2</v>
      </c>
      <c r="BR149">
        <f t="shared" si="58"/>
        <v>-1.5941336324847261E-2</v>
      </c>
      <c r="BS149">
        <f t="shared" si="59"/>
        <v>-1.7722943662300872E-2</v>
      </c>
      <c r="BT149">
        <f t="shared" si="60"/>
        <v>-2.0091280219082415E-2</v>
      </c>
      <c r="BU149">
        <f t="shared" si="61"/>
        <v>-2.3824071761884939E-2</v>
      </c>
      <c r="BV149">
        <f t="shared" si="62"/>
        <v>-2.7240306946743897E-2</v>
      </c>
    </row>
    <row r="150" spans="24:74">
      <c r="X150">
        <v>13</v>
      </c>
      <c r="Y150">
        <f t="shared" si="49"/>
        <v>-9.1300534123113942E-3</v>
      </c>
      <c r="Z150">
        <f t="shared" si="45"/>
        <v>-9.740767282754666E-3</v>
      </c>
      <c r="AA150">
        <f t="shared" si="45"/>
        <v>-1.0404224950616322E-2</v>
      </c>
      <c r="AB150">
        <f t="shared" si="45"/>
        <v>-1.1133732212455557E-2</v>
      </c>
      <c r="AC150">
        <f t="shared" si="45"/>
        <v>-1.1948477536426205E-2</v>
      </c>
      <c r="AD150">
        <f t="shared" si="45"/>
        <v>-1.2877698863015307E-2</v>
      </c>
      <c r="AE150">
        <f t="shared" si="45"/>
        <v>-1.3969414326683428E-2</v>
      </c>
      <c r="AF150">
        <f t="shared" si="45"/>
        <v>-1.5311539710926872E-2</v>
      </c>
      <c r="AG150">
        <f t="shared" si="45"/>
        <v>-1.7095661579122179E-2</v>
      </c>
      <c r="AH150">
        <f t="shared" si="45"/>
        <v>-1.9907658464387006E-2</v>
      </c>
      <c r="AI150">
        <f t="shared" si="45"/>
        <v>-2.2481186235493961E-2</v>
      </c>
      <c r="AK150">
        <v>13</v>
      </c>
      <c r="AL150">
        <f t="shared" si="50"/>
        <v>-6.8579028126349358E-3</v>
      </c>
      <c r="AM150">
        <f t="shared" si="46"/>
        <v>-7.7174814036208668E-3</v>
      </c>
      <c r="AN150">
        <f t="shared" si="46"/>
        <v>-8.6512967874198266E-3</v>
      </c>
      <c r="AO150">
        <f t="shared" si="46"/>
        <v>-9.67807684694366E-3</v>
      </c>
      <c r="AP150">
        <f t="shared" si="46"/>
        <v>-1.0824829313991346E-2</v>
      </c>
      <c r="AQ150">
        <f t="shared" si="46"/>
        <v>-1.213270653322626E-2</v>
      </c>
      <c r="AR150">
        <f t="shared" si="46"/>
        <v>-1.3669293935991922E-2</v>
      </c>
      <c r="AS150">
        <f t="shared" si="46"/>
        <v>-1.5558332817452189E-2</v>
      </c>
      <c r="AT150">
        <f t="shared" si="46"/>
        <v>-1.806948089486099E-2</v>
      </c>
      <c r="AU150">
        <f t="shared" si="46"/>
        <v>-2.202736106997203E-2</v>
      </c>
      <c r="AV150">
        <f t="shared" si="46"/>
        <v>-2.5649596428316917E-2</v>
      </c>
      <c r="AX150">
        <v>13</v>
      </c>
      <c r="AY150">
        <f t="shared" si="51"/>
        <v>-6.0820197925815934E-3</v>
      </c>
      <c r="AZ150">
        <f t="shared" si="47"/>
        <v>-6.7085157162547638E-3</v>
      </c>
      <c r="BA150">
        <f t="shared" si="47"/>
        <v>-7.3891184412974154E-3</v>
      </c>
      <c r="BB150">
        <f t="shared" si="47"/>
        <v>-8.1374776123451092E-3</v>
      </c>
      <c r="BC150">
        <f t="shared" si="47"/>
        <v>-8.9732775654866714E-3</v>
      </c>
      <c r="BD150">
        <f t="shared" si="47"/>
        <v>-9.9265118073677411E-3</v>
      </c>
      <c r="BE150">
        <f t="shared" si="47"/>
        <v>-1.1046439355930884E-2</v>
      </c>
      <c r="BF150">
        <f t="shared" si="47"/>
        <v>-1.2423247912246308E-2</v>
      </c>
      <c r="BG150">
        <f t="shared" si="47"/>
        <v>-1.4253475015078005E-2</v>
      </c>
      <c r="BH150">
        <f t="shared" si="47"/>
        <v>-1.7138139456580492E-2</v>
      </c>
      <c r="BI150">
        <f t="shared" si="47"/>
        <v>-1.9778172270781935E-2</v>
      </c>
      <c r="BK150">
        <v>13</v>
      </c>
      <c r="BL150">
        <f t="shared" si="52"/>
        <v>-9.9059364323647366E-3</v>
      </c>
      <c r="BM150">
        <f t="shared" si="53"/>
        <v>-1.0749732970120768E-2</v>
      </c>
      <c r="BN150">
        <f t="shared" si="54"/>
        <v>-1.1666403296738733E-2</v>
      </c>
      <c r="BO150">
        <f t="shared" si="55"/>
        <v>-1.2674331447054106E-2</v>
      </c>
      <c r="BP150">
        <f t="shared" si="56"/>
        <v>-1.3800029284930878E-2</v>
      </c>
      <c r="BQ150">
        <f t="shared" si="57"/>
        <v>-1.5083893588873826E-2</v>
      </c>
      <c r="BR150">
        <f t="shared" si="58"/>
        <v>-1.6592268906744468E-2</v>
      </c>
      <c r="BS150">
        <f t="shared" si="59"/>
        <v>-1.8446624616132754E-2</v>
      </c>
      <c r="BT150">
        <f t="shared" si="60"/>
        <v>-2.0911667458905166E-2</v>
      </c>
      <c r="BU150">
        <f t="shared" si="61"/>
        <v>-2.4796880077778541E-2</v>
      </c>
      <c r="BV150">
        <f t="shared" si="62"/>
        <v>-2.8352610393028943E-2</v>
      </c>
    </row>
    <row r="151" spans="24:74">
      <c r="X151">
        <v>14</v>
      </c>
      <c r="Y151">
        <f t="shared" si="49"/>
        <v>-9.4747041941372467E-3</v>
      </c>
      <c r="Z151">
        <f t="shared" si="45"/>
        <v>-1.0108471928935391E-2</v>
      </c>
      <c r="AA151">
        <f t="shared" si="45"/>
        <v>-1.0796974489045819E-2</v>
      </c>
      <c r="AB151">
        <f t="shared" si="45"/>
        <v>-1.1554019952118522E-2</v>
      </c>
      <c r="AC151">
        <f t="shared" si="45"/>
        <v>-1.2399521132623019E-2</v>
      </c>
      <c r="AD151">
        <f t="shared" si="45"/>
        <v>-1.3363819675328551E-2</v>
      </c>
      <c r="AE151">
        <f t="shared" si="45"/>
        <v>-1.4496746353333843E-2</v>
      </c>
      <c r="AF151">
        <f t="shared" si="45"/>
        <v>-1.5889535686855402E-2</v>
      </c>
      <c r="AG151">
        <f t="shared" si="45"/>
        <v>-1.7741006448751262E-2</v>
      </c>
      <c r="AH151">
        <f t="shared" si="45"/>
        <v>-2.0659153526269236E-2</v>
      </c>
      <c r="AI151">
        <f t="shared" si="45"/>
        <v>-2.3329829508707194E-2</v>
      </c>
      <c r="AK151">
        <v>14</v>
      </c>
      <c r="AL151">
        <f t="shared" si="50"/>
        <v>-7.1167820830314458E-3</v>
      </c>
      <c r="AM151">
        <f t="shared" si="46"/>
        <v>-8.008808943490214E-3</v>
      </c>
      <c r="AN151">
        <f t="shared" si="46"/>
        <v>-8.9778749646702571E-3</v>
      </c>
      <c r="AO151">
        <f t="shared" si="46"/>
        <v>-1.0043414989146857E-2</v>
      </c>
      <c r="AP151">
        <f t="shared" si="46"/>
        <v>-1.1233456264756799E-2</v>
      </c>
      <c r="AQ151">
        <f t="shared" si="46"/>
        <v>-1.25907045978051E-2</v>
      </c>
      <c r="AR151">
        <f t="shared" si="46"/>
        <v>-1.4185296705011246E-2</v>
      </c>
      <c r="AS151">
        <f t="shared" si="46"/>
        <v>-1.6145644997051387E-2</v>
      </c>
      <c r="AT151">
        <f t="shared" si="46"/>
        <v>-1.8751586512031144E-2</v>
      </c>
      <c r="AU151">
        <f t="shared" si="46"/>
        <v>-2.2858872877349754E-2</v>
      </c>
      <c r="AV151">
        <f t="shared" si="46"/>
        <v>-2.6617844155172109E-2</v>
      </c>
      <c r="AX151">
        <v>14</v>
      </c>
      <c r="AY151">
        <f t="shared" si="51"/>
        <v>-6.3116102212385583E-3</v>
      </c>
      <c r="AZ151">
        <f t="shared" si="47"/>
        <v>-6.9617557666777422E-3</v>
      </c>
      <c r="BA151">
        <f t="shared" si="47"/>
        <v>-7.668050593475511E-3</v>
      </c>
      <c r="BB151">
        <f t="shared" si="47"/>
        <v>-8.4446596072941492E-3</v>
      </c>
      <c r="BC151">
        <f t="shared" si="47"/>
        <v>-9.3120102090783387E-3</v>
      </c>
      <c r="BD151">
        <f t="shared" si="47"/>
        <v>-1.0301228131655567E-2</v>
      </c>
      <c r="BE151">
        <f t="shared" si="47"/>
        <v>-1.1463431873770887E-2</v>
      </c>
      <c r="BF151">
        <f t="shared" si="47"/>
        <v>-1.2892213635929638E-2</v>
      </c>
      <c r="BG151">
        <f t="shared" si="47"/>
        <v>-1.479153006096171E-2</v>
      </c>
      <c r="BH151">
        <f t="shared" si="47"/>
        <v>-1.7785087825446123E-2</v>
      </c>
      <c r="BI151">
        <f t="shared" si="47"/>
        <v>-2.0524779352731708E-2</v>
      </c>
      <c r="BK151">
        <v>14</v>
      </c>
      <c r="BL151">
        <f t="shared" si="52"/>
        <v>-1.0279876055930136E-2</v>
      </c>
      <c r="BM151">
        <f t="shared" si="53"/>
        <v>-1.1155525105747861E-2</v>
      </c>
      <c r="BN151">
        <f t="shared" si="54"/>
        <v>-1.2106798860240565E-2</v>
      </c>
      <c r="BO151">
        <f t="shared" si="55"/>
        <v>-1.3152775333971228E-2</v>
      </c>
      <c r="BP151">
        <f t="shared" si="56"/>
        <v>-1.4320967188301477E-2</v>
      </c>
      <c r="BQ151">
        <f t="shared" si="57"/>
        <v>-1.5653296141478083E-2</v>
      </c>
      <c r="BR151">
        <f t="shared" si="58"/>
        <v>-1.7218611184574205E-2</v>
      </c>
      <c r="BS151">
        <f t="shared" si="59"/>
        <v>-1.914296704797715E-2</v>
      </c>
      <c r="BT151">
        <f t="shared" si="60"/>
        <v>-2.170106289982069E-2</v>
      </c>
      <c r="BU151">
        <f t="shared" si="61"/>
        <v>-2.5732938578172864E-2</v>
      </c>
      <c r="BV151">
        <f t="shared" si="62"/>
        <v>-2.9422894311147595E-2</v>
      </c>
    </row>
    <row r="152" spans="24:74">
      <c r="X152">
        <v>15</v>
      </c>
      <c r="Y152">
        <f t="shared" si="49"/>
        <v>-9.8072505739960035E-3</v>
      </c>
      <c r="Z152">
        <f t="shared" si="45"/>
        <v>-1.0463262503605932E-2</v>
      </c>
      <c r="AA152">
        <f t="shared" si="45"/>
        <v>-1.1175930359982799E-2</v>
      </c>
      <c r="AB152">
        <f t="shared" si="45"/>
        <v>-1.1959546861367083E-2</v>
      </c>
      <c r="AC152">
        <f t="shared" si="45"/>
        <v>-1.2834723728941268E-2</v>
      </c>
      <c r="AD152">
        <f t="shared" si="45"/>
        <v>-1.3832867548808933E-2</v>
      </c>
      <c r="AE152">
        <f t="shared" si="45"/>
        <v>-1.500555807143633E-2</v>
      </c>
      <c r="AF152">
        <f t="shared" si="45"/>
        <v>-1.6447231997160257E-2</v>
      </c>
      <c r="AG152">
        <f t="shared" si="45"/>
        <v>-1.8363686307530779E-2</v>
      </c>
      <c r="AH152">
        <f t="shared" si="45"/>
        <v>-2.1384255500466829E-2</v>
      </c>
      <c r="AI152">
        <f t="shared" si="45"/>
        <v>-2.4148667773931688E-2</v>
      </c>
      <c r="AK152">
        <v>15</v>
      </c>
      <c r="AL152">
        <f t="shared" si="50"/>
        <v>-7.3665693132671101E-3</v>
      </c>
      <c r="AM152">
        <f t="shared" si="46"/>
        <v>-8.2899048348834357E-3</v>
      </c>
      <c r="AN152">
        <f t="shared" si="46"/>
        <v>-9.2929834638013509E-3</v>
      </c>
      <c r="AO152">
        <f t="shared" si="46"/>
        <v>-1.0395922173289517E-2</v>
      </c>
      <c r="AP152">
        <f t="shared" si="46"/>
        <v>-1.1627731921030912E-2</v>
      </c>
      <c r="AQ152">
        <f t="shared" si="46"/>
        <v>-1.3032617416198091E-2</v>
      </c>
      <c r="AR152">
        <f t="shared" si="46"/>
        <v>-1.4683177057771259E-2</v>
      </c>
      <c r="AS152">
        <f t="shared" si="46"/>
        <v>-1.6712330318750024E-2</v>
      </c>
      <c r="AT152">
        <f t="shared" si="46"/>
        <v>-1.9409736052471975E-2</v>
      </c>
      <c r="AU152">
        <f t="shared" si="46"/>
        <v>-2.3661181347066195E-2</v>
      </c>
      <c r="AV152">
        <f t="shared" si="46"/>
        <v>-2.7552086273139684E-2</v>
      </c>
      <c r="AX152">
        <v>15</v>
      </c>
      <c r="AY152">
        <f t="shared" si="51"/>
        <v>-6.5331372565048586E-3</v>
      </c>
      <c r="AZ152">
        <f t="shared" si="47"/>
        <v>-7.2061018307060052E-3</v>
      </c>
      <c r="BA152">
        <f t="shared" si="47"/>
        <v>-7.9371864327782253E-3</v>
      </c>
      <c r="BB152">
        <f t="shared" si="47"/>
        <v>-8.7410531330448342E-3</v>
      </c>
      <c r="BC152">
        <f t="shared" si="47"/>
        <v>-9.6388463002940357E-3</v>
      </c>
      <c r="BD152">
        <f t="shared" si="47"/>
        <v>-1.066278412887614E-2</v>
      </c>
      <c r="BE152">
        <f t="shared" si="47"/>
        <v>-1.1865779291935019E-2</v>
      </c>
      <c r="BF152">
        <f t="shared" si="47"/>
        <v>-1.3344708920758369E-2</v>
      </c>
      <c r="BG152">
        <f t="shared" si="47"/>
        <v>-1.5310688197570185E-2</v>
      </c>
      <c r="BH152">
        <f t="shared" si="47"/>
        <v>-1.8409314867329062E-2</v>
      </c>
      <c r="BI152">
        <f t="shared" si="47"/>
        <v>-2.1245165016631817E-2</v>
      </c>
      <c r="BK152">
        <v>15</v>
      </c>
      <c r="BL152">
        <f t="shared" si="52"/>
        <v>-1.0640682630758255E-2</v>
      </c>
      <c r="BM152">
        <f t="shared" si="53"/>
        <v>-1.1547065507783364E-2</v>
      </c>
      <c r="BN152">
        <f t="shared" si="54"/>
        <v>-1.2531727391005925E-2</v>
      </c>
      <c r="BO152">
        <f t="shared" si="55"/>
        <v>-1.3614415901611766E-2</v>
      </c>
      <c r="BP152">
        <f t="shared" si="56"/>
        <v>-1.4823609349678146E-2</v>
      </c>
      <c r="BQ152">
        <f t="shared" si="57"/>
        <v>-1.6202700836130884E-2</v>
      </c>
      <c r="BR152">
        <f t="shared" si="58"/>
        <v>-1.7822955837272572E-2</v>
      </c>
      <c r="BS152">
        <f t="shared" si="59"/>
        <v>-1.9814853395151912E-2</v>
      </c>
      <c r="BT152">
        <f t="shared" si="60"/>
        <v>-2.2462734162432565E-2</v>
      </c>
      <c r="BU152">
        <f t="shared" si="61"/>
        <v>-2.6636121980203962E-2</v>
      </c>
      <c r="BV152">
        <f t="shared" si="62"/>
        <v>-3.0455589030439559E-2</v>
      </c>
    </row>
    <row r="153" spans="24:74">
      <c r="X153">
        <v>16</v>
      </c>
      <c r="Y153">
        <f t="shared" si="49"/>
        <v>-1.0128884838711907E-2</v>
      </c>
      <c r="Z153">
        <f t="shared" si="45"/>
        <v>-1.0806411046256612E-2</v>
      </c>
      <c r="AA153">
        <f t="shared" si="45"/>
        <v>-1.1542451243356597E-2</v>
      </c>
      <c r="AB153">
        <f t="shared" si="45"/>
        <v>-1.2351766885936505E-2</v>
      </c>
      <c r="AC153">
        <f t="shared" si="45"/>
        <v>-1.3255645668096717E-2</v>
      </c>
      <c r="AD153">
        <f t="shared" si="45"/>
        <v>-1.4286524172488001E-2</v>
      </c>
      <c r="AE153">
        <f t="shared" si="45"/>
        <v>-1.549767373632565E-2</v>
      </c>
      <c r="AF153">
        <f t="shared" si="45"/>
        <v>-1.6986628164323048E-2</v>
      </c>
      <c r="AG153">
        <f t="shared" si="45"/>
        <v>-1.8965933665078368E-2</v>
      </c>
      <c r="AH153">
        <f t="shared" si="45"/>
        <v>-2.2085564113160632E-2</v>
      </c>
      <c r="AI153">
        <f t="shared" si="45"/>
        <v>-2.4940636832408842E-2</v>
      </c>
      <c r="AK153">
        <v>16</v>
      </c>
      <c r="AL153">
        <f t="shared" si="50"/>
        <v>-7.6081600717242993E-3</v>
      </c>
      <c r="AM153">
        <f t="shared" si="46"/>
        <v>-8.5617768979061037E-3</v>
      </c>
      <c r="AN153">
        <f t="shared" si="46"/>
        <v>-9.5977520511689451E-3</v>
      </c>
      <c r="AO153">
        <f t="shared" si="46"/>
        <v>-1.073686225216499E-2</v>
      </c>
      <c r="AP153">
        <f t="shared" si="46"/>
        <v>-1.2009069889151226E-2</v>
      </c>
      <c r="AQ153">
        <f t="shared" si="46"/>
        <v>-1.3460029389447452E-2</v>
      </c>
      <c r="AR153">
        <f t="shared" si="46"/>
        <v>-1.5164720057110108E-2</v>
      </c>
      <c r="AS153">
        <f t="shared" si="46"/>
        <v>-1.7260420533556302E-2</v>
      </c>
      <c r="AT153">
        <f t="shared" si="46"/>
        <v>-2.0046289196134839E-2</v>
      </c>
      <c r="AU153">
        <f t="shared" si="46"/>
        <v>-2.4437163015674918E-2</v>
      </c>
      <c r="AV153">
        <f t="shared" si="46"/>
        <v>-2.8455672343770659E-2</v>
      </c>
      <c r="AX153">
        <v>16</v>
      </c>
      <c r="AY153">
        <f t="shared" si="51"/>
        <v>-6.7473951447814748E-3</v>
      </c>
      <c r="AZ153">
        <f t="shared" si="47"/>
        <v>-7.4424299683731026E-3</v>
      </c>
      <c r="BA153">
        <f t="shared" si="47"/>
        <v>-8.1974908986382714E-3</v>
      </c>
      <c r="BB153">
        <f t="shared" si="47"/>
        <v>-9.0277208566924821E-3</v>
      </c>
      <c r="BC153">
        <f t="shared" si="47"/>
        <v>-9.9549576527178055E-3</v>
      </c>
      <c r="BD153">
        <f t="shared" si="47"/>
        <v>-1.1012476094757881E-2</v>
      </c>
      <c r="BE153">
        <f t="shared" si="47"/>
        <v>-1.225492415664991E-2</v>
      </c>
      <c r="BF153">
        <f t="shared" si="47"/>
        <v>-1.378235610935539E-2</v>
      </c>
      <c r="BG153">
        <f t="shared" si="47"/>
        <v>-1.581281077551034E-2</v>
      </c>
      <c r="BH153">
        <f t="shared" si="47"/>
        <v>-1.9013058639001081E-2</v>
      </c>
      <c r="BI153">
        <f t="shared" si="47"/>
        <v>-2.194191207915825E-2</v>
      </c>
      <c r="BK153">
        <v>16</v>
      </c>
      <c r="BL153">
        <f t="shared" si="52"/>
        <v>-1.0989649765654731E-2</v>
      </c>
      <c r="BM153">
        <f t="shared" si="53"/>
        <v>-1.1925757975789613E-2</v>
      </c>
      <c r="BN153">
        <f t="shared" si="54"/>
        <v>-1.2942712395887271E-2</v>
      </c>
      <c r="BO153">
        <f t="shared" si="55"/>
        <v>-1.4060908281409013E-2</v>
      </c>
      <c r="BP153">
        <f t="shared" si="56"/>
        <v>-1.5309757904530137E-2</v>
      </c>
      <c r="BQ153">
        <f t="shared" si="57"/>
        <v>-1.6734077467177574E-2</v>
      </c>
      <c r="BR153">
        <f t="shared" si="58"/>
        <v>-1.8407469636785849E-2</v>
      </c>
      <c r="BS153">
        <f t="shared" si="59"/>
        <v>-2.0464692588523965E-2</v>
      </c>
      <c r="BT153">
        <f t="shared" si="60"/>
        <v>-2.3199412085702871E-2</v>
      </c>
      <c r="BU153">
        <f t="shared" si="61"/>
        <v>-2.7509668489834473E-2</v>
      </c>
      <c r="BV153">
        <f t="shared" si="62"/>
        <v>-3.1454397097021254E-2</v>
      </c>
    </row>
    <row r="154" spans="24:74">
      <c r="X154">
        <v>17</v>
      </c>
      <c r="Y154">
        <f t="shared" si="49"/>
        <v>-1.0440615514931624E-2</v>
      </c>
      <c r="Z154">
        <f t="shared" si="49"/>
        <v>-1.1138993544389367E-2</v>
      </c>
      <c r="AA154">
        <f t="shared" si="49"/>
        <v>-1.1897686413725288E-2</v>
      </c>
      <c r="AB154">
        <f t="shared" si="49"/>
        <v>-1.2731909883430684E-2</v>
      </c>
      <c r="AC154">
        <f t="shared" si="49"/>
        <v>-1.3663606806330986E-2</v>
      </c>
      <c r="AD154">
        <f t="shared" si="49"/>
        <v>-1.4726212046526993E-2</v>
      </c>
      <c r="AE154">
        <f t="shared" si="49"/>
        <v>-1.5974636441557839E-2</v>
      </c>
      <c r="AF154">
        <f t="shared" si="49"/>
        <v>-1.7509415536148938E-2</v>
      </c>
      <c r="AG154">
        <f t="shared" si="49"/>
        <v>-1.9549636947393999E-2</v>
      </c>
      <c r="AH154">
        <f t="shared" si="49"/>
        <v>-2.2765278409978031E-2</v>
      </c>
      <c r="AI154">
        <f t="shared" si="49"/>
        <v>-2.570822000754798E-2</v>
      </c>
      <c r="AK154">
        <v>17</v>
      </c>
      <c r="AL154">
        <f t="shared" si="50"/>
        <v>-7.8423118980815304E-3</v>
      </c>
      <c r="AM154">
        <f t="shared" si="50"/>
        <v>-8.8252776232599951E-3</v>
      </c>
      <c r="AN154">
        <f t="shared" si="50"/>
        <v>-9.8931363688645295E-3</v>
      </c>
      <c r="AO154">
        <f t="shared" si="50"/>
        <v>-1.1067304288345844E-2</v>
      </c>
      <c r="AP154">
        <f t="shared" si="50"/>
        <v>-1.2378665904598768E-2</v>
      </c>
      <c r="AQ154">
        <f t="shared" si="50"/>
        <v>-1.3874280724152458E-2</v>
      </c>
      <c r="AR154">
        <f t="shared" si="50"/>
        <v>-1.5631435644596913E-2</v>
      </c>
      <c r="AS154">
        <f t="shared" si="50"/>
        <v>-1.7791634250608142E-2</v>
      </c>
      <c r="AT154">
        <f t="shared" si="50"/>
        <v>-2.0663241939335521E-2</v>
      </c>
      <c r="AU154">
        <f t="shared" si="50"/>
        <v>-2.5189251076016272E-2</v>
      </c>
      <c r="AV154">
        <f t="shared" si="50"/>
        <v>-2.9331435680333421E-2</v>
      </c>
      <c r="AX154">
        <v>17</v>
      </c>
      <c r="AY154">
        <f t="shared" si="51"/>
        <v>-6.9550557199284466E-3</v>
      </c>
      <c r="AZ154">
        <f t="shared" si="51"/>
        <v>-7.6714812177161515E-3</v>
      </c>
      <c r="BA154">
        <f t="shared" si="51"/>
        <v>-8.4497802100312568E-3</v>
      </c>
      <c r="BB154">
        <f t="shared" si="51"/>
        <v>-9.3055616626836653E-3</v>
      </c>
      <c r="BC154">
        <f t="shared" si="51"/>
        <v>-1.0261335475176591E-2</v>
      </c>
      <c r="BD154">
        <f t="shared" si="51"/>
        <v>-1.1351400534569055E-2</v>
      </c>
      <c r="BE154">
        <f t="shared" si="51"/>
        <v>-1.2632086682950253E-2</v>
      </c>
      <c r="BF154">
        <f t="shared" si="51"/>
        <v>-1.4206527502187285E-2</v>
      </c>
      <c r="BG154">
        <f t="shared" si="51"/>
        <v>-1.6299472266333562E-2</v>
      </c>
      <c r="BH154">
        <f t="shared" si="51"/>
        <v>-1.9598212258665954E-2</v>
      </c>
      <c r="BI154">
        <f t="shared" si="51"/>
        <v>-2.2617205282596371E-2</v>
      </c>
      <c r="BK154">
        <v>17</v>
      </c>
      <c r="BL154">
        <f t="shared" si="52"/>
        <v>-1.1327871693084709E-2</v>
      </c>
      <c r="BM154">
        <f t="shared" si="53"/>
        <v>-1.229278994993321E-2</v>
      </c>
      <c r="BN154">
        <f t="shared" si="54"/>
        <v>-1.334104257255856E-2</v>
      </c>
      <c r="BO154">
        <f t="shared" si="55"/>
        <v>-1.4493652509092864E-2</v>
      </c>
      <c r="BP154">
        <f t="shared" si="56"/>
        <v>-1.5780937235753162E-2</v>
      </c>
      <c r="BQ154">
        <f t="shared" si="57"/>
        <v>-1.7249092236110396E-2</v>
      </c>
      <c r="BR154">
        <f t="shared" si="58"/>
        <v>-1.8973985403204496E-2</v>
      </c>
      <c r="BS154">
        <f t="shared" si="59"/>
        <v>-2.1094522284569792E-2</v>
      </c>
      <c r="BT154">
        <f t="shared" si="60"/>
        <v>-2.3913406620395955E-2</v>
      </c>
      <c r="BU154">
        <f t="shared" si="61"/>
        <v>-2.835631722732835E-2</v>
      </c>
      <c r="BV154">
        <f t="shared" si="62"/>
        <v>-3.2422450405285026E-2</v>
      </c>
    </row>
    <row r="155" spans="24:74">
      <c r="X155">
        <v>18</v>
      </c>
      <c r="Y155">
        <f t="shared" si="49"/>
        <v>-1.0743304732966197E-2</v>
      </c>
      <c r="Z155">
        <f t="shared" si="49"/>
        <v>-1.1461929796645894E-2</v>
      </c>
      <c r="AA155">
        <f t="shared" si="49"/>
        <v>-1.2242618318538819E-2</v>
      </c>
      <c r="AB155">
        <f t="shared" si="49"/>
        <v>-1.310102718702172E-2</v>
      </c>
      <c r="AC155">
        <f t="shared" si="49"/>
        <v>-1.4059735411375906E-2</v>
      </c>
      <c r="AD155">
        <f t="shared" si="49"/>
        <v>-1.5153147182927691E-2</v>
      </c>
      <c r="AE155">
        <f t="shared" si="49"/>
        <v>-1.6437765287358786E-2</v>
      </c>
      <c r="AF155">
        <f t="shared" si="49"/>
        <v>-1.8017039946730835E-2</v>
      </c>
      <c r="AG155">
        <f t="shared" si="49"/>
        <v>-2.0116410459166716E-2</v>
      </c>
      <c r="AH155">
        <f t="shared" si="49"/>
        <v>-2.3425278226119211E-2</v>
      </c>
      <c r="AI155">
        <f t="shared" si="49"/>
        <v>-2.6453540146960899E-2</v>
      </c>
      <c r="AK155">
        <v>18</v>
      </c>
      <c r="AL155">
        <f t="shared" si="50"/>
        <v>-8.0696723686034724E-3</v>
      </c>
      <c r="AM155">
        <f t="shared" si="50"/>
        <v>-9.0811357552735925E-3</v>
      </c>
      <c r="AN155">
        <f t="shared" si="50"/>
        <v>-1.0179953339292985E-2</v>
      </c>
      <c r="AO155">
        <f t="shared" si="50"/>
        <v>-1.1388162160757597E-2</v>
      </c>
      <c r="AP155">
        <f t="shared" si="50"/>
        <v>-1.2737542131543017E-2</v>
      </c>
      <c r="AQ155">
        <f t="shared" si="50"/>
        <v>-1.4276517084372777E-2</v>
      </c>
      <c r="AR155">
        <f t="shared" si="50"/>
        <v>-1.6084614580767306E-2</v>
      </c>
      <c r="AS155">
        <f t="shared" si="50"/>
        <v>-1.8307440608113779E-2</v>
      </c>
      <c r="AT155">
        <f t="shared" si="50"/>
        <v>-2.1262300542320353E-2</v>
      </c>
      <c r="AU155">
        <f t="shared" si="50"/>
        <v>-2.5919525522017251E-2</v>
      </c>
      <c r="AV155">
        <f t="shared" si="50"/>
        <v>-3.0181798316254095E-2</v>
      </c>
      <c r="AX155">
        <v>18</v>
      </c>
      <c r="AY155">
        <f t="shared" si="51"/>
        <v>-7.1566932933302503E-3</v>
      </c>
      <c r="AZ155">
        <f t="shared" si="51"/>
        <v>-7.8938890487139039E-3</v>
      </c>
      <c r="BA155">
        <f t="shared" si="51"/>
        <v>-8.6947521047131895E-3</v>
      </c>
      <c r="BB155">
        <f t="shared" si="51"/>
        <v>-9.5753439546397232E-3</v>
      </c>
      <c r="BC155">
        <f t="shared" si="51"/>
        <v>-1.0558827093992513E-2</v>
      </c>
      <c r="BD155">
        <f t="shared" si="51"/>
        <v>-1.1680494786387068E-2</v>
      </c>
      <c r="BE155">
        <f t="shared" si="51"/>
        <v>-1.2998309961140974E-2</v>
      </c>
      <c r="BF155">
        <f t="shared" si="51"/>
        <v>-1.4618396198479556E-2</v>
      </c>
      <c r="BG155">
        <f t="shared" si="51"/>
        <v>-1.6772018593474606E-2</v>
      </c>
      <c r="BH155">
        <f t="shared" si="51"/>
        <v>-2.01663940421027E-2</v>
      </c>
      <c r="BI155">
        <f t="shared" si="51"/>
        <v>-2.3272912235057723E-2</v>
      </c>
      <c r="BK155">
        <v>18</v>
      </c>
      <c r="BL155">
        <f t="shared" si="52"/>
        <v>-1.165628380823942E-2</v>
      </c>
      <c r="BM155">
        <f t="shared" si="53"/>
        <v>-1.2649176503205585E-2</v>
      </c>
      <c r="BN155">
        <f t="shared" si="54"/>
        <v>-1.3727819553118616E-2</v>
      </c>
      <c r="BO155">
        <f t="shared" si="55"/>
        <v>-1.4913845393139594E-2</v>
      </c>
      <c r="BP155">
        <f t="shared" si="56"/>
        <v>-1.6238450448926411E-2</v>
      </c>
      <c r="BQ155">
        <f t="shared" si="57"/>
        <v>-1.7749169480913402E-2</v>
      </c>
      <c r="BR155">
        <f t="shared" si="58"/>
        <v>-1.9524069906985117E-2</v>
      </c>
      <c r="BS155">
        <f t="shared" si="59"/>
        <v>-2.1706084356365056E-2</v>
      </c>
      <c r="BT155">
        <f t="shared" si="60"/>
        <v>-2.4606692408012467E-2</v>
      </c>
      <c r="BU155">
        <f t="shared" si="61"/>
        <v>-2.9178409706033762E-2</v>
      </c>
      <c r="BV155">
        <f t="shared" si="62"/>
        <v>-3.3362426228157271E-2</v>
      </c>
    </row>
    <row r="156" spans="24:74">
      <c r="X156">
        <v>19</v>
      </c>
      <c r="Y156">
        <f t="shared" si="49"/>
        <v>-1.103769635567662E-2</v>
      </c>
      <c r="Z156">
        <f t="shared" si="49"/>
        <v>-1.1776013423248553E-2</v>
      </c>
      <c r="AA156">
        <f t="shared" si="49"/>
        <v>-1.2578094632634203E-2</v>
      </c>
      <c r="AB156">
        <f t="shared" si="49"/>
        <v>-1.3460025907492328E-2</v>
      </c>
      <c r="AC156">
        <f t="shared" si="49"/>
        <v>-1.4445004974654072E-2</v>
      </c>
      <c r="AD156">
        <f t="shared" si="49"/>
        <v>-1.5568378780581562E-2</v>
      </c>
      <c r="AE156">
        <f t="shared" si="49"/>
        <v>-1.6888198419151981E-2</v>
      </c>
      <c r="AF156">
        <f t="shared" si="49"/>
        <v>-1.8510748889946499E-2</v>
      </c>
      <c r="AG156">
        <f t="shared" si="49"/>
        <v>-2.0667647053993151E-2</v>
      </c>
      <c r="AH156">
        <f t="shared" si="49"/>
        <v>-2.4067185520088925E-2</v>
      </c>
      <c r="AI156">
        <f t="shared" si="49"/>
        <v>-2.717842888500463E-2</v>
      </c>
      <c r="AK156">
        <v>19</v>
      </c>
      <c r="AL156">
        <f t="shared" si="50"/>
        <v>-8.2908002247318469E-3</v>
      </c>
      <c r="AM156">
        <f t="shared" si="50"/>
        <v>-9.3299800687784654E-3</v>
      </c>
      <c r="AN156">
        <f t="shared" si="50"/>
        <v>-1.0458907819051413E-2</v>
      </c>
      <c r="AO156">
        <f t="shared" si="50"/>
        <v>-1.1700224381975929E-2</v>
      </c>
      <c r="AP156">
        <f t="shared" si="50"/>
        <v>-1.3086580513181848E-2</v>
      </c>
      <c r="AQ156">
        <f t="shared" si="50"/>
        <v>-1.466772697142223E-2</v>
      </c>
      <c r="AR156">
        <f t="shared" si="50"/>
        <v>-1.6525370559006828E-2</v>
      </c>
      <c r="AS156">
        <f t="shared" si="50"/>
        <v>-1.8809107207196581E-2</v>
      </c>
      <c r="AT156">
        <f t="shared" si="50"/>
        <v>-2.1844937199735744E-2</v>
      </c>
      <c r="AU156">
        <f t="shared" si="50"/>
        <v>-2.6629781013039158E-2</v>
      </c>
      <c r="AV156">
        <f t="shared" si="50"/>
        <v>-3.1008850029250374E-2</v>
      </c>
      <c r="AX156">
        <v>19</v>
      </c>
      <c r="AY156">
        <f t="shared" si="51"/>
        <v>-7.3528033920598609E-3</v>
      </c>
      <c r="AZ156">
        <f t="shared" si="51"/>
        <v>-8.1102000316292423E-3</v>
      </c>
      <c r="BA156">
        <f t="shared" si="51"/>
        <v>-8.9330086044396625E-3</v>
      </c>
      <c r="BB156">
        <f t="shared" si="51"/>
        <v>-9.837730726204242E-3</v>
      </c>
      <c r="BC156">
        <f t="shared" si="51"/>
        <v>-1.0848163598855947E-2</v>
      </c>
      <c r="BD156">
        <f t="shared" si="51"/>
        <v>-1.2000567603801764E-2</v>
      </c>
      <c r="BE156">
        <f t="shared" si="51"/>
        <v>-1.3354493989898094E-2</v>
      </c>
      <c r="BF156">
        <f t="shared" si="51"/>
        <v>-1.501897437114264E-2</v>
      </c>
      <c r="BG156">
        <f t="shared" si="51"/>
        <v>-1.7231611045945151E-2</v>
      </c>
      <c r="BH156">
        <f t="shared" si="51"/>
        <v>-2.0719000303754672E-2</v>
      </c>
      <c r="BI156">
        <f t="shared" si="51"/>
        <v>-2.3910644345276313E-2</v>
      </c>
      <c r="BK156">
        <v>19</v>
      </c>
      <c r="BL156">
        <f t="shared" si="52"/>
        <v>-1.1975693188348603E-2</v>
      </c>
      <c r="BM156">
        <f t="shared" si="53"/>
        <v>-1.2995793460397777E-2</v>
      </c>
      <c r="BN156">
        <f t="shared" si="54"/>
        <v>-1.4103993847245954E-2</v>
      </c>
      <c r="BO156">
        <f t="shared" si="55"/>
        <v>-1.5322519563264015E-2</v>
      </c>
      <c r="BP156">
        <f t="shared" si="56"/>
        <v>-1.6683421888979977E-2</v>
      </c>
      <c r="BQ156">
        <f t="shared" si="57"/>
        <v>-1.823553814820203E-2</v>
      </c>
      <c r="BR156">
        <f t="shared" si="58"/>
        <v>-2.0059074988260713E-2</v>
      </c>
      <c r="BS156">
        <f t="shared" si="59"/>
        <v>-2.2300881726000442E-2</v>
      </c>
      <c r="BT156">
        <f t="shared" si="60"/>
        <v>-2.528097320778374E-2</v>
      </c>
      <c r="BU156">
        <f t="shared" si="61"/>
        <v>-2.9977966229373407E-2</v>
      </c>
      <c r="BV156">
        <f t="shared" si="62"/>
        <v>-3.4276634568978684E-2</v>
      </c>
    </row>
    <row r="157" spans="24:74">
      <c r="X157">
        <v>20</v>
      </c>
      <c r="Y157">
        <f t="shared" si="49"/>
        <v>-1.1324437517813408E-2</v>
      </c>
      <c r="Z157">
        <f t="shared" si="49"/>
        <v>-1.2081934846117205E-2</v>
      </c>
      <c r="AA157">
        <f t="shared" si="49"/>
        <v>-1.290485280356116E-2</v>
      </c>
      <c r="AB157">
        <f t="shared" si="49"/>
        <v>-1.3809695199592459E-2</v>
      </c>
      <c r="AC157">
        <f t="shared" si="49"/>
        <v>-1.4820262399757438E-2</v>
      </c>
      <c r="AD157">
        <f t="shared" si="49"/>
        <v>-1.5972819605938552E-2</v>
      </c>
      <c r="AE157">
        <f t="shared" si="49"/>
        <v>-1.7326925983768653E-2</v>
      </c>
      <c r="AF157">
        <f t="shared" si="49"/>
        <v>-1.8991627641969402E-2</v>
      </c>
      <c r="AG157">
        <f t="shared" si="49"/>
        <v>-2.1204558465933481E-2</v>
      </c>
      <c r="AH157">
        <f t="shared" si="49"/>
        <v>-2.4692411339228518E-2</v>
      </c>
      <c r="AI157">
        <f t="shared" si="49"/>
        <v>-2.7884479679700602E-2</v>
      </c>
      <c r="AK157">
        <v>20</v>
      </c>
      <c r="AL157">
        <f t="shared" si="50"/>
        <v>-8.5061815520376047E-3</v>
      </c>
      <c r="AM157">
        <f t="shared" si="50"/>
        <v>-9.5723575759526624E-3</v>
      </c>
      <c r="AN157">
        <f t="shared" si="50"/>
        <v>-1.0730613008800901E-2</v>
      </c>
      <c r="AO157">
        <f t="shared" si="50"/>
        <v>-1.2004176930446205E-2</v>
      </c>
      <c r="AP157">
        <f t="shared" si="50"/>
        <v>-1.3426548309344003E-2</v>
      </c>
      <c r="AQ157">
        <f t="shared" si="50"/>
        <v>-1.5048770346974747E-2</v>
      </c>
      <c r="AR157">
        <f t="shared" si="50"/>
        <v>-1.6954672453726349E-2</v>
      </c>
      <c r="AS157">
        <f t="shared" si="50"/>
        <v>-1.9297736816632542E-2</v>
      </c>
      <c r="AT157">
        <f t="shared" si="50"/>
        <v>-2.2412432669588558E-2</v>
      </c>
      <c r="AU157">
        <f t="shared" si="50"/>
        <v>-2.7321578840146438E-2</v>
      </c>
      <c r="AV157">
        <f t="shared" si="50"/>
        <v>-3.1814408853065981E-2</v>
      </c>
      <c r="AX157">
        <v>20</v>
      </c>
      <c r="AY157">
        <f t="shared" si="51"/>
        <v>-7.543817107391707E-3</v>
      </c>
      <c r="AZ157">
        <f t="shared" si="51"/>
        <v>-8.320889663531934E-3</v>
      </c>
      <c r="BA157">
        <f t="shared" si="51"/>
        <v>-9.1650734471455074E-3</v>
      </c>
      <c r="BB157">
        <f t="shared" si="51"/>
        <v>-1.0093298758728515E-2</v>
      </c>
      <c r="BC157">
        <f t="shared" si="51"/>
        <v>-1.1129981012304379E-2</v>
      </c>
      <c r="BD157">
        <f t="shared" si="51"/>
        <v>-1.2312322574235019E-2</v>
      </c>
      <c r="BE157">
        <f t="shared" si="51"/>
        <v>-1.3701421736686741E-2</v>
      </c>
      <c r="BF157">
        <f t="shared" si="51"/>
        <v>-1.5409142575314089E-2</v>
      </c>
      <c r="BG157">
        <f t="shared" si="51"/>
        <v>-1.7679259904691144E-2</v>
      </c>
      <c r="BH157">
        <f t="shared" si="51"/>
        <v>-2.1257245788498025E-2</v>
      </c>
      <c r="BI157">
        <f t="shared" si="51"/>
        <v>-2.4531803482660798E-2</v>
      </c>
      <c r="BK157">
        <v>20</v>
      </c>
      <c r="BL157">
        <f t="shared" si="52"/>
        <v>-1.2286801962459307E-2</v>
      </c>
      <c r="BM157">
        <f t="shared" si="53"/>
        <v>-1.3333402758537933E-2</v>
      </c>
      <c r="BN157">
        <f t="shared" si="54"/>
        <v>-1.4470392365216554E-2</v>
      </c>
      <c r="BO157">
        <f t="shared" si="55"/>
        <v>-1.5720573371310147E-2</v>
      </c>
      <c r="BP157">
        <f t="shared" si="56"/>
        <v>-1.7116829696797065E-2</v>
      </c>
      <c r="BQ157">
        <f t="shared" si="57"/>
        <v>-1.8709267378678278E-2</v>
      </c>
      <c r="BR157">
        <f t="shared" si="58"/>
        <v>-2.0580176700808261E-2</v>
      </c>
      <c r="BS157">
        <f t="shared" si="59"/>
        <v>-2.2880221883287852E-2</v>
      </c>
      <c r="BT157">
        <f t="shared" si="60"/>
        <v>-2.5937731230830895E-2</v>
      </c>
      <c r="BU157">
        <f t="shared" si="61"/>
        <v>-3.0756744390876931E-2</v>
      </c>
      <c r="BV157">
        <f t="shared" si="62"/>
        <v>-3.5167085050105788E-2</v>
      </c>
    </row>
    <row r="158" spans="24:74">
      <c r="X158">
        <v>21</v>
      </c>
      <c r="Y158">
        <f t="shared" si="49"/>
        <v>-1.1604095369721972E-2</v>
      </c>
      <c r="Z158">
        <f t="shared" si="49"/>
        <v>-1.2380299152569463E-2</v>
      </c>
      <c r="AA158">
        <f t="shared" si="49"/>
        <v>-1.322353913200469E-2</v>
      </c>
      <c r="AB158">
        <f t="shared" si="49"/>
        <v>-1.4150726680313253E-2</v>
      </c>
      <c r="AC158">
        <f t="shared" si="49"/>
        <v>-1.518624991489167E-2</v>
      </c>
      <c r="AD158">
        <f t="shared" si="49"/>
        <v>-1.6367269609560652E-2</v>
      </c>
      <c r="AE158">
        <f t="shared" si="49"/>
        <v>-1.7754815748110345E-2</v>
      </c>
      <c r="AF158">
        <f t="shared" si="49"/>
        <v>-1.9460627341269784E-2</v>
      </c>
      <c r="AG158">
        <f t="shared" si="49"/>
        <v>-2.1728206661433214E-2</v>
      </c>
      <c r="AH158">
        <f t="shared" si="49"/>
        <v>-2.5302192328589709E-2</v>
      </c>
      <c r="AI158">
        <f t="shared" si="49"/>
        <v>-2.857308904122929E-2</v>
      </c>
      <c r="AK158">
        <v>21</v>
      </c>
      <c r="AL158">
        <f t="shared" si="50"/>
        <v>-8.716242357004314E-3</v>
      </c>
      <c r="AM158">
        <f t="shared" si="50"/>
        <v>-9.8087476794947292E-3</v>
      </c>
      <c r="AN158">
        <f t="shared" si="50"/>
        <v>-1.0995606318974841E-2</v>
      </c>
      <c r="AO158">
        <f t="shared" si="50"/>
        <v>-1.2300620999215025E-2</v>
      </c>
      <c r="AP158">
        <f t="shared" si="50"/>
        <v>-1.3758117948262608E-2</v>
      </c>
      <c r="AQ158">
        <f t="shared" si="50"/>
        <v>-1.5420400883368296E-2</v>
      </c>
      <c r="AR158">
        <f t="shared" si="50"/>
        <v>-1.737336938863053E-2</v>
      </c>
      <c r="AS158">
        <f t="shared" si="50"/>
        <v>-1.9774295905447953E-2</v>
      </c>
      <c r="AT158">
        <f t="shared" si="50"/>
        <v>-2.2965909411065837E-2</v>
      </c>
      <c r="AU158">
        <f t="shared" si="50"/>
        <v>-2.7996287322326407E-2</v>
      </c>
      <c r="AV158">
        <f t="shared" si="50"/>
        <v>-3.2600068116547622E-2</v>
      </c>
      <c r="AX158">
        <v>21</v>
      </c>
      <c r="AY158">
        <f t="shared" si="51"/>
        <v>-7.730112248684657E-3</v>
      </c>
      <c r="AZ158">
        <f t="shared" si="51"/>
        <v>-8.5263746711193855E-3</v>
      </c>
      <c r="BA158">
        <f t="shared" si="51"/>
        <v>-9.3914056379303616E-3</v>
      </c>
      <c r="BB158">
        <f t="shared" si="51"/>
        <v>-1.0342553544681219E-2</v>
      </c>
      <c r="BC158">
        <f t="shared" si="51"/>
        <v>-1.1404836745914814E-2</v>
      </c>
      <c r="BD158">
        <f t="shared" si="51"/>
        <v>-1.2616376323279917E-2</v>
      </c>
      <c r="BE158">
        <f t="shared" si="51"/>
        <v>-1.4039779395947768E-2</v>
      </c>
      <c r="BF158">
        <f t="shared" si="51"/>
        <v>-1.5789672531489534E-2</v>
      </c>
      <c r="BG158">
        <f t="shared" si="51"/>
        <v>-1.8115850582197373E-2</v>
      </c>
      <c r="BH158">
        <f t="shared" si="51"/>
        <v>-2.1782195101464126E-2</v>
      </c>
      <c r="BI158">
        <f t="shared" si="51"/>
        <v>-2.5137618248702139E-2</v>
      </c>
      <c r="BK158">
        <v>21</v>
      </c>
      <c r="BL158">
        <f t="shared" si="52"/>
        <v>-1.2590225478041627E-2</v>
      </c>
      <c r="BM158">
        <f t="shared" si="53"/>
        <v>-1.3662672160944807E-2</v>
      </c>
      <c r="BN158">
        <f t="shared" si="54"/>
        <v>-1.4827739813049167E-2</v>
      </c>
      <c r="BO158">
        <f t="shared" si="55"/>
        <v>-1.610879413484706E-2</v>
      </c>
      <c r="BP158">
        <f t="shared" si="56"/>
        <v>-1.7539531117239462E-2</v>
      </c>
      <c r="BQ158">
        <f t="shared" si="57"/>
        <v>-1.9171294169649036E-2</v>
      </c>
      <c r="BR158">
        <f t="shared" si="58"/>
        <v>-2.1088405740793105E-2</v>
      </c>
      <c r="BS158">
        <f t="shared" si="59"/>
        <v>-2.34452507152282E-2</v>
      </c>
      <c r="BT158">
        <f t="shared" si="60"/>
        <v>-2.6578265490301681E-2</v>
      </c>
      <c r="BU158">
        <f t="shared" si="61"/>
        <v>-3.1516284549451989E-2</v>
      </c>
      <c r="BV158">
        <f t="shared" si="62"/>
        <v>-3.6035538909074766E-2</v>
      </c>
    </row>
    <row r="159" spans="24:74">
      <c r="X159">
        <v>22</v>
      </c>
      <c r="Y159">
        <f t="shared" si="49"/>
        <v>-1.1877170269232731E-2</v>
      </c>
      <c r="Z159">
        <f t="shared" si="49"/>
        <v>-1.2671640169623003E-2</v>
      </c>
      <c r="AA159">
        <f t="shared" si="49"/>
        <v>-1.3534723804708331E-2</v>
      </c>
      <c r="AB159">
        <f t="shared" si="49"/>
        <v>-1.4483730515865437E-2</v>
      </c>
      <c r="AC159">
        <f t="shared" si="49"/>
        <v>-1.5543622337069005E-2</v>
      </c>
      <c r="AD159">
        <f t="shared" si="49"/>
        <v>-1.6752434532934027E-2</v>
      </c>
      <c r="AE159">
        <f t="shared" si="49"/>
        <v>-1.8172633283365869E-2</v>
      </c>
      <c r="AF159">
        <f t="shared" si="49"/>
        <v>-1.9918587112050339E-2</v>
      </c>
      <c r="AG159">
        <f t="shared" si="49"/>
        <v>-2.2239528540612331E-2</v>
      </c>
      <c r="AH159">
        <f t="shared" si="49"/>
        <v>-2.5897619495239849E-2</v>
      </c>
      <c r="AI159">
        <f t="shared" si="49"/>
        <v>-2.9245489014690783E-2</v>
      </c>
      <c r="AK159">
        <v>22</v>
      </c>
      <c r="AL159">
        <f t="shared" si="50"/>
        <v>-8.9213584759187531E-3</v>
      </c>
      <c r="AM159">
        <f t="shared" si="50"/>
        <v>-1.0039573323507736E-2</v>
      </c>
      <c r="AN159">
        <f t="shared" si="50"/>
        <v>-1.1254361869920118E-2</v>
      </c>
      <c r="AO159">
        <f t="shared" si="50"/>
        <v>-1.2590086979651988E-2</v>
      </c>
      <c r="AP159">
        <f t="shared" si="50"/>
        <v>-1.408188266722398E-2</v>
      </c>
      <c r="AQ159">
        <f t="shared" si="50"/>
        <v>-1.5783283493987717E-2</v>
      </c>
      <c r="AR159">
        <f t="shared" si="50"/>
        <v>-1.7782210487294926E-2</v>
      </c>
      <c r="AS159">
        <f t="shared" si="50"/>
        <v>-2.0239637122943101E-2</v>
      </c>
      <c r="AT159">
        <f t="shared" si="50"/>
        <v>-2.350635769288225E-2</v>
      </c>
      <c r="AU159">
        <f t="shared" si="50"/>
        <v>-2.8655113633523972E-2</v>
      </c>
      <c r="AV159">
        <f t="shared" si="50"/>
        <v>-3.3367233504398401E-2</v>
      </c>
      <c r="AX159">
        <v>22</v>
      </c>
      <c r="AY159">
        <f t="shared" si="51"/>
        <v>-7.9120221312097803E-3</v>
      </c>
      <c r="AZ159">
        <f t="shared" si="51"/>
        <v>-8.7270227037598482E-3</v>
      </c>
      <c r="BA159">
        <f t="shared" si="51"/>
        <v>-9.6124101254955185E-3</v>
      </c>
      <c r="BB159">
        <f t="shared" si="51"/>
        <v>-1.0585941045379273E-2</v>
      </c>
      <c r="BC159">
        <f t="shared" si="51"/>
        <v>-1.1673222565670613E-2</v>
      </c>
      <c r="BD159">
        <f t="shared" si="51"/>
        <v>-1.2913272857382785E-2</v>
      </c>
      <c r="BE159">
        <f t="shared" si="51"/>
        <v>-1.4370172349947898E-2</v>
      </c>
      <c r="BF159">
        <f t="shared" si="51"/>
        <v>-1.6161245075704812E-2</v>
      </c>
      <c r="BG159">
        <f t="shared" si="51"/>
        <v>-1.8542164217139862E-2</v>
      </c>
      <c r="BH159">
        <f t="shared" si="51"/>
        <v>-2.229478747070442E-2</v>
      </c>
      <c r="BI159">
        <f t="shared" si="51"/>
        <v>-2.5729172554185983E-2</v>
      </c>
      <c r="BK159">
        <v>22</v>
      </c>
      <c r="BL159">
        <f t="shared" si="52"/>
        <v>-1.2886506613941705E-2</v>
      </c>
      <c r="BM159">
        <f t="shared" si="53"/>
        <v>-1.398419078937089E-2</v>
      </c>
      <c r="BN159">
        <f t="shared" si="54"/>
        <v>-1.5176675549132931E-2</v>
      </c>
      <c r="BO159">
        <f t="shared" si="55"/>
        <v>-1.6487876450138154E-2</v>
      </c>
      <c r="BP159">
        <f t="shared" si="56"/>
        <v>-1.7952282438622374E-2</v>
      </c>
      <c r="BQ159">
        <f t="shared" si="57"/>
        <v>-1.9622445169538962E-2</v>
      </c>
      <c r="BR159">
        <f t="shared" si="58"/>
        <v>-2.1584671420712902E-2</v>
      </c>
      <c r="BS159">
        <f t="shared" si="59"/>
        <v>-2.3996979159288629E-2</v>
      </c>
      <c r="BT159">
        <f t="shared" si="60"/>
        <v>-2.7203722016354723E-2</v>
      </c>
      <c r="BU159">
        <f t="shared" si="61"/>
        <v>-3.2257945658059409E-2</v>
      </c>
      <c r="BV159">
        <f t="shared" si="62"/>
        <v>-3.6883549964903201E-2</v>
      </c>
    </row>
    <row r="160" spans="24:74">
      <c r="X160">
        <v>23</v>
      </c>
      <c r="Y160">
        <f t="shared" si="49"/>
        <v>-1.2144106301374706E-2</v>
      </c>
      <c r="Z160">
        <f t="shared" si="49"/>
        <v>-1.295643168737806E-2</v>
      </c>
      <c r="AA160">
        <f t="shared" si="49"/>
        <v>-1.3838912882297414E-2</v>
      </c>
      <c r="AB160">
        <f t="shared" si="49"/>
        <v>-1.4809248250046118E-2</v>
      </c>
      <c r="AC160">
        <f t="shared" si="49"/>
        <v>-1.5892960839230481E-2</v>
      </c>
      <c r="AD160">
        <f t="shared" si="49"/>
        <v>-1.7128940746246778E-2</v>
      </c>
      <c r="AE160">
        <f t="shared" si="49"/>
        <v>-1.8581058060671542E-2</v>
      </c>
      <c r="AF160">
        <f t="shared" si="49"/>
        <v>-2.0366251706313034E-2</v>
      </c>
      <c r="AG160">
        <f t="shared" si="49"/>
        <v>-2.2739355635010193E-2</v>
      </c>
      <c r="AH160">
        <f t="shared" si="49"/>
        <v>-2.647966114600997E-2</v>
      </c>
      <c r="AI160">
        <f t="shared" si="49"/>
        <v>-2.990277308309015E-2</v>
      </c>
      <c r="AK160">
        <v>23</v>
      </c>
      <c r="AL160">
        <f t="shared" si="50"/>
        <v>-9.1218634765961384E-3</v>
      </c>
      <c r="AM160">
        <f t="shared" si="50"/>
        <v>-1.0265209885637169E-2</v>
      </c>
      <c r="AN160">
        <f t="shared" si="50"/>
        <v>-1.1507300459983834E-2</v>
      </c>
      <c r="AO160">
        <f t="shared" si="50"/>
        <v>-1.2873045612599814E-2</v>
      </c>
      <c r="AP160">
        <f t="shared" si="50"/>
        <v>-1.4398368985014258E-2</v>
      </c>
      <c r="AQ160">
        <f t="shared" si="50"/>
        <v>-1.6138008312656934E-2</v>
      </c>
      <c r="AR160">
        <f t="shared" si="50"/>
        <v>-1.8181860623025327E-2</v>
      </c>
      <c r="AS160">
        <f t="shared" si="50"/>
        <v>-2.0694517225115863E-2</v>
      </c>
      <c r="AT160">
        <f t="shared" si="50"/>
        <v>-2.4034656413066662E-2</v>
      </c>
      <c r="AU160">
        <f t="shared" si="50"/>
        <v>-2.9299129182726369E-2</v>
      </c>
      <c r="AV160">
        <f t="shared" si="50"/>
        <v>-3.4117152610828316E-2</v>
      </c>
      <c r="AX160">
        <v>23</v>
      </c>
      <c r="AY160">
        <f t="shared" si="51"/>
        <v>-8.0898425838975465E-3</v>
      </c>
      <c r="AZ160">
        <f t="shared" si="51"/>
        <v>-8.9231600630927527E-3</v>
      </c>
      <c r="BA160">
        <f t="shared" si="51"/>
        <v>-9.8284463159396332E-3</v>
      </c>
      <c r="BB160">
        <f t="shared" si="51"/>
        <v>-1.0823857067048378E-2</v>
      </c>
      <c r="BC160">
        <f t="shared" si="51"/>
        <v>-1.1935574931036811E-2</v>
      </c>
      <c r="BD160">
        <f t="shared" si="51"/>
        <v>-1.3203495001241898E-2</v>
      </c>
      <c r="BE160">
        <f t="shared" si="51"/>
        <v>-1.4693137896567045E-2</v>
      </c>
      <c r="BF160">
        <f t="shared" si="51"/>
        <v>-1.6524464473692057E-2</v>
      </c>
      <c r="BG160">
        <f t="shared" si="51"/>
        <v>-1.8958894097342884E-2</v>
      </c>
      <c r="BH160">
        <f t="shared" si="51"/>
        <v>-2.2795856493878653E-2</v>
      </c>
      <c r="BI160">
        <f t="shared" si="51"/>
        <v>-2.6307428407745817E-2</v>
      </c>
      <c r="BK160">
        <v>23</v>
      </c>
      <c r="BL160">
        <f t="shared" si="52"/>
        <v>-1.3176127194073297E-2</v>
      </c>
      <c r="BM160">
        <f t="shared" si="53"/>
        <v>-1.4298481509922474E-2</v>
      </c>
      <c r="BN160">
        <f t="shared" si="54"/>
        <v>-1.5517767026341615E-2</v>
      </c>
      <c r="BO160">
        <f t="shared" si="55"/>
        <v>-1.6858436795597551E-2</v>
      </c>
      <c r="BP160">
        <f t="shared" si="56"/>
        <v>-1.835575489320793E-2</v>
      </c>
      <c r="BQ160">
        <f t="shared" si="57"/>
        <v>-2.0063454057661814E-2</v>
      </c>
      <c r="BR160">
        <f t="shared" si="58"/>
        <v>-2.2069780787129824E-2</v>
      </c>
      <c r="BS160">
        <f t="shared" si="59"/>
        <v>-2.453630445773684E-2</v>
      </c>
      <c r="BT160">
        <f t="shared" si="60"/>
        <v>-2.7815117950733968E-2</v>
      </c>
      <c r="BU160">
        <f t="shared" si="61"/>
        <v>-3.2982933834857689E-2</v>
      </c>
      <c r="BV160">
        <f t="shared" si="62"/>
        <v>-3.7712497286172653E-2</v>
      </c>
    </row>
    <row r="161" spans="24:74">
      <c r="X161">
        <v>24</v>
      </c>
      <c r="Y161">
        <f t="shared" si="49"/>
        <v>-1.240529975912843E-2</v>
      </c>
      <c r="Z161">
        <f t="shared" si="49"/>
        <v>-1.3235096507052201E-2</v>
      </c>
      <c r="AA161">
        <f t="shared" si="49"/>
        <v>-1.4136557963588462E-2</v>
      </c>
      <c r="AB161">
        <f t="shared" si="49"/>
        <v>-1.5127763146175192E-2</v>
      </c>
      <c r="AC161">
        <f t="shared" si="49"/>
        <v>-1.6234784048985585E-2</v>
      </c>
      <c r="AD161">
        <f t="shared" si="49"/>
        <v>-1.7497347210266644E-2</v>
      </c>
      <c r="AE161">
        <f t="shared" si="49"/>
        <v>-1.8980696427064965E-2</v>
      </c>
      <c r="AF161">
        <f t="shared" si="49"/>
        <v>-2.0804285726490575E-2</v>
      </c>
      <c r="AG161">
        <f t="shared" si="49"/>
        <v>-2.3228429987457812E-2</v>
      </c>
      <c r="AH161">
        <f t="shared" si="49"/>
        <v>-2.704918137938361E-2</v>
      </c>
      <c r="AI161">
        <f t="shared" si="49"/>
        <v>-3.0545917049732894E-2</v>
      </c>
      <c r="AK161">
        <v>24</v>
      </c>
      <c r="AL161">
        <f t="shared" si="50"/>
        <v>-9.3180550285705994E-3</v>
      </c>
      <c r="AM161">
        <f t="shared" si="50"/>
        <v>-1.0485992345709488E-2</v>
      </c>
      <c r="AN161">
        <f t="shared" si="50"/>
        <v>-1.1754797601557268E-2</v>
      </c>
      <c r="AO161">
        <f t="shared" si="50"/>
        <v>-1.3149916978177016E-2</v>
      </c>
      <c r="AP161">
        <f t="shared" si="50"/>
        <v>-1.470804675692112E-2</v>
      </c>
      <c r="AQ161">
        <f t="shared" si="50"/>
        <v>-1.6485101963505826E-2</v>
      </c>
      <c r="AR161">
        <f t="shared" si="50"/>
        <v>-1.8572913116034769E-2</v>
      </c>
      <c r="AS161">
        <f t="shared" si="50"/>
        <v>-2.1139611526535155E-2</v>
      </c>
      <c r="AT161">
        <f t="shared" si="50"/>
        <v>-2.4551589883398763E-2</v>
      </c>
      <c r="AU161">
        <f t="shared" si="50"/>
        <v>-2.992929007480807E-2</v>
      </c>
      <c r="AV161">
        <f t="shared" si="50"/>
        <v>-3.4850938765032591E-2</v>
      </c>
      <c r="AX161">
        <v>24</v>
      </c>
      <c r="AY161">
        <f t="shared" si="51"/>
        <v>-8.2638375988236187E-3</v>
      </c>
      <c r="AZ161">
        <f t="shared" si="51"/>
        <v>-9.1150779344560222E-3</v>
      </c>
      <c r="BA161">
        <f t="shared" si="51"/>
        <v>-1.003983493638645E-2</v>
      </c>
      <c r="BB161">
        <f t="shared" si="51"/>
        <v>-1.1056654819589E-2</v>
      </c>
      <c r="BC161">
        <f t="shared" si="51"/>
        <v>-1.2192283330086583E-2</v>
      </c>
      <c r="BD161">
        <f t="shared" si="51"/>
        <v>-1.3487473618377188E-2</v>
      </c>
      <c r="BE161">
        <f t="shared" si="51"/>
        <v>-1.5009155510149872E-2</v>
      </c>
      <c r="BF161">
        <f t="shared" si="51"/>
        <v>-1.6879869960625547E-2</v>
      </c>
      <c r="BG161">
        <f t="shared" si="51"/>
        <v>-1.9366658899591944E-2</v>
      </c>
      <c r="BH161">
        <f t="shared" si="51"/>
        <v>-2.3286146057584119E-2</v>
      </c>
      <c r="BI161">
        <f t="shared" si="51"/>
        <v>-2.6873244287474223E-2</v>
      </c>
      <c r="BK161">
        <v>24</v>
      </c>
      <c r="BL161">
        <f t="shared" si="52"/>
        <v>-1.3459517188875413E-2</v>
      </c>
      <c r="BM161">
        <f t="shared" si="53"/>
        <v>-1.4606010918305667E-2</v>
      </c>
      <c r="BN161">
        <f t="shared" si="54"/>
        <v>-1.5851520628759282E-2</v>
      </c>
      <c r="BO161">
        <f t="shared" si="55"/>
        <v>-1.7221025304763209E-2</v>
      </c>
      <c r="BP161">
        <f t="shared" si="56"/>
        <v>-1.8750547475820126E-2</v>
      </c>
      <c r="BQ161">
        <f t="shared" si="57"/>
        <v>-2.0494975555395277E-2</v>
      </c>
      <c r="BR161">
        <f t="shared" si="58"/>
        <v>-2.2544454032949864E-2</v>
      </c>
      <c r="BS161">
        <f t="shared" si="59"/>
        <v>-2.5064027292400187E-2</v>
      </c>
      <c r="BT161">
        <f t="shared" si="60"/>
        <v>-2.841336097126463E-2</v>
      </c>
      <c r="BU161">
        <f t="shared" si="61"/>
        <v>-3.3692325396607561E-2</v>
      </c>
      <c r="BV161">
        <f t="shared" si="62"/>
        <v>-3.8523611527291259E-2</v>
      </c>
    </row>
    <row r="162" spans="24:74">
      <c r="X162">
        <v>25</v>
      </c>
      <c r="Y162">
        <f t="shared" si="49"/>
        <v>-1.2661106048389884E-2</v>
      </c>
      <c r="Z162">
        <f t="shared" si="49"/>
        <v>-1.3508013807820764E-2</v>
      </c>
      <c r="AA162">
        <f t="shared" si="49"/>
        <v>-1.4428064054195746E-2</v>
      </c>
      <c r="AB162">
        <f t="shared" si="49"/>
        <v>-1.5439708607420631E-2</v>
      </c>
      <c r="AC162">
        <f t="shared" si="49"/>
        <v>-1.6569557085120895E-2</v>
      </c>
      <c r="AD162">
        <f t="shared" si="49"/>
        <v>-1.7858155215610003E-2</v>
      </c>
      <c r="AE162">
        <f t="shared" si="49"/>
        <v>-1.9372092170407064E-2</v>
      </c>
      <c r="AF162">
        <f t="shared" si="49"/>
        <v>-2.123328520540381E-2</v>
      </c>
      <c r="AG162">
        <f t="shared" si="49"/>
        <v>-2.3707417081347961E-2</v>
      </c>
      <c r="AH162">
        <f t="shared" si="49"/>
        <v>-2.7606955141450791E-2</v>
      </c>
      <c r="AI162">
        <f t="shared" si="49"/>
        <v>-3.1175796040511052E-2</v>
      </c>
      <c r="AK162">
        <v>25</v>
      </c>
      <c r="AL162">
        <f t="shared" si="50"/>
        <v>-9.5102000896553733E-3</v>
      </c>
      <c r="AM162">
        <f t="shared" si="50"/>
        <v>-1.070222112238263E-2</v>
      </c>
      <c r="AN162">
        <f t="shared" si="50"/>
        <v>-1.1997190063961181E-2</v>
      </c>
      <c r="AO162">
        <f t="shared" si="50"/>
        <v>-1.3421077815206238E-2</v>
      </c>
      <c r="AP162">
        <f t="shared" si="50"/>
        <v>-1.5011337361439031E-2</v>
      </c>
      <c r="AQ162">
        <f t="shared" si="50"/>
        <v>-1.6825036736809316E-2</v>
      </c>
      <c r="AR162">
        <f t="shared" si="50"/>
        <v>-1.8955900071387637E-2</v>
      </c>
      <c r="AS162">
        <f t="shared" si="50"/>
        <v>-2.1575525666945379E-2</v>
      </c>
      <c r="AT162">
        <f t="shared" si="50"/>
        <v>-2.5057861495168549E-2</v>
      </c>
      <c r="AU162">
        <f t="shared" si="50"/>
        <v>-3.0546453769593647E-2</v>
      </c>
      <c r="AV162">
        <f t="shared" si="50"/>
        <v>-3.5569590429713326E-2</v>
      </c>
      <c r="AX162">
        <v>25</v>
      </c>
      <c r="AY162">
        <f t="shared" si="51"/>
        <v>-8.4342439309768435E-3</v>
      </c>
      <c r="AZ162">
        <f t="shared" si="51"/>
        <v>-9.3030374604663787E-3</v>
      </c>
      <c r="BA162">
        <f t="shared" si="51"/>
        <v>-1.0246863623297839E-2</v>
      </c>
      <c r="BB162">
        <f t="shared" si="51"/>
        <v>-1.1284651070865603E-2</v>
      </c>
      <c r="BC162">
        <f t="shared" si="51"/>
        <v>-1.2443697065897256E-2</v>
      </c>
      <c r="BD162">
        <f t="shared" si="51"/>
        <v>-1.3765595118447351E-2</v>
      </c>
      <c r="BE162">
        <f t="shared" si="51"/>
        <v>-1.5318655195812388E-2</v>
      </c>
      <c r="BF162">
        <f t="shared" si="51"/>
        <v>-1.7227945136694237E-2</v>
      </c>
      <c r="BG162">
        <f t="shared" si="51"/>
        <v>-1.9766013469387923E-2</v>
      </c>
      <c r="BH162">
        <f t="shared" si="51"/>
        <v>-2.3766323298751349E-2</v>
      </c>
      <c r="BI162">
        <f t="shared" si="51"/>
        <v>-2.7427390098947811E-2</v>
      </c>
      <c r="BK162">
        <v>25</v>
      </c>
      <c r="BL162">
        <f t="shared" si="52"/>
        <v>-1.3737062207068414E-2</v>
      </c>
      <c r="BM162">
        <f t="shared" si="53"/>
        <v>-1.4907197469737015E-2</v>
      </c>
      <c r="BN162">
        <f t="shared" si="54"/>
        <v>-1.6178390494859089E-2</v>
      </c>
      <c r="BO162">
        <f t="shared" si="55"/>
        <v>-1.7576135351761266E-2</v>
      </c>
      <c r="BP162">
        <f t="shared" si="56"/>
        <v>-1.913719738066267E-2</v>
      </c>
      <c r="BQ162">
        <f t="shared" si="57"/>
        <v>-2.0917596833971968E-2</v>
      </c>
      <c r="BR162">
        <f t="shared" si="58"/>
        <v>-2.3009337045982313E-2</v>
      </c>
      <c r="BS162">
        <f t="shared" si="59"/>
        <v>-2.5580865735654951E-2</v>
      </c>
      <c r="BT162">
        <f t="shared" si="60"/>
        <v>-2.8999265107128587E-2</v>
      </c>
      <c r="BU162">
        <f t="shared" si="61"/>
        <v>-3.4387085612293089E-2</v>
      </c>
      <c r="BV162">
        <f t="shared" si="62"/>
        <v>-3.9317996371276566E-2</v>
      </c>
    </row>
    <row r="163" spans="24:74">
      <c r="X163">
        <v>26</v>
      </c>
      <c r="Y163">
        <f t="shared" si="49"/>
        <v>-1.2911845360881529E-2</v>
      </c>
      <c r="Z163">
        <f t="shared" si="49"/>
        <v>-1.3775525199191771E-2</v>
      </c>
      <c r="AA163">
        <f t="shared" si="49"/>
        <v>-1.4713796031142147E-2</v>
      </c>
      <c r="AB163">
        <f t="shared" si="49"/>
        <v>-1.5745475094684856E-2</v>
      </c>
      <c r="AC163">
        <f t="shared" si="49"/>
        <v>-1.6897698981724205E-2</v>
      </c>
      <c r="AD163">
        <f t="shared" si="49"/>
        <v>-1.8211816384232832E-2</v>
      </c>
      <c r="AE163">
        <f t="shared" si="49"/>
        <v>-1.9755735199204722E-2</v>
      </c>
      <c r="AF163">
        <f t="shared" si="49"/>
        <v>-2.1653787120007002E-2</v>
      </c>
      <c r="AG163">
        <f t="shared" si="49"/>
        <v>-2.4176916462935228E-2</v>
      </c>
      <c r="AH163">
        <f t="shared" si="49"/>
        <v>-2.8153680595427645E-2</v>
      </c>
      <c r="AI163">
        <f t="shared" si="49"/>
        <v>-3.1793198472470904E-2</v>
      </c>
      <c r="AK163">
        <v>26</v>
      </c>
      <c r="AL163">
        <f t="shared" si="50"/>
        <v>-9.69853916706492E-3</v>
      </c>
      <c r="AM163">
        <f t="shared" si="50"/>
        <v>-1.091416686836278E-2</v>
      </c>
      <c r="AN163">
        <f t="shared" si="50"/>
        <v>-1.2234781248883907E-2</v>
      </c>
      <c r="AO163">
        <f t="shared" si="50"/>
        <v>-1.3686867534636764E-2</v>
      </c>
      <c r="AP163">
        <f t="shared" si="50"/>
        <v>-1.530862042622041E-2</v>
      </c>
      <c r="AQ163">
        <f t="shared" si="50"/>
        <v>-1.7158238127581233E-2</v>
      </c>
      <c r="AR163">
        <f t="shared" si="50"/>
        <v>-1.9331300872344082E-2</v>
      </c>
      <c r="AS163">
        <f t="shared" si="50"/>
        <v>-2.200280527835529E-2</v>
      </c>
      <c r="AT163">
        <f t="shared" si="50"/>
        <v>-2.555410494655394E-2</v>
      </c>
      <c r="AU163">
        <f t="shared" si="50"/>
        <v>-3.1151392768443576E-2</v>
      </c>
      <c r="AV163">
        <f t="shared" si="50"/>
        <v>-3.6274007138322281E-2</v>
      </c>
      <c r="AX163">
        <v>26</v>
      </c>
      <c r="AY163">
        <f t="shared" si="51"/>
        <v>-8.6012748772904875E-3</v>
      </c>
      <c r="AZ163">
        <f t="shared" si="51"/>
        <v>-9.4872739093205451E-3</v>
      </c>
      <c r="BA163">
        <f t="shared" si="51"/>
        <v>-1.044979151366395E-2</v>
      </c>
      <c r="BB163">
        <f t="shared" si="51"/>
        <v>-1.1508131202885885E-2</v>
      </c>
      <c r="BC163">
        <f t="shared" si="51"/>
        <v>-1.2690130832049479E-2</v>
      </c>
      <c r="BD163">
        <f t="shared" si="51"/>
        <v>-1.4038207625036124E-2</v>
      </c>
      <c r="BE163">
        <f t="shared" si="51"/>
        <v>-1.5622024353089372E-2</v>
      </c>
      <c r="BF163">
        <f t="shared" si="51"/>
        <v>-1.7569125686221966E-2</v>
      </c>
      <c r="BG163">
        <f t="shared" si="51"/>
        <v>-2.0157457677269369E-2</v>
      </c>
      <c r="BH163">
        <f t="shared" si="51"/>
        <v>-2.4236989253337594E-2</v>
      </c>
      <c r="BI163">
        <f t="shared" si="51"/>
        <v>-2.7970559464291285E-2</v>
      </c>
      <c r="BK163">
        <v>26</v>
      </c>
      <c r="BL163">
        <f t="shared" si="52"/>
        <v>-1.400910965065596E-2</v>
      </c>
      <c r="BM163">
        <f t="shared" si="53"/>
        <v>-1.5202418158234006E-2</v>
      </c>
      <c r="BN163">
        <f t="shared" si="54"/>
        <v>-1.6498785766362101E-2</v>
      </c>
      <c r="BO163">
        <f t="shared" si="55"/>
        <v>-1.7924211426435736E-2</v>
      </c>
      <c r="BP163">
        <f t="shared" si="56"/>
        <v>-1.9516188575895134E-2</v>
      </c>
      <c r="BQ163">
        <f t="shared" si="57"/>
        <v>-2.1331846886777937E-2</v>
      </c>
      <c r="BR163">
        <f t="shared" si="58"/>
        <v>-2.3465011718459428E-2</v>
      </c>
      <c r="BS163">
        <f t="shared" si="59"/>
        <v>-2.6087466712140329E-2</v>
      </c>
      <c r="BT163">
        <f t="shared" si="60"/>
        <v>-2.9573563732219796E-2</v>
      </c>
      <c r="BU163">
        <f t="shared" si="61"/>
        <v>-3.506808411053363E-2</v>
      </c>
      <c r="BV163">
        <f t="shared" si="62"/>
        <v>-4.0096646146501901E-2</v>
      </c>
    </row>
    <row r="164" spans="24:74">
      <c r="X164">
        <v>27</v>
      </c>
      <c r="Y164">
        <f t="shared" si="49"/>
        <v>-1.3157807373497338E-2</v>
      </c>
      <c r="Z164">
        <f t="shared" si="49"/>
        <v>-1.4037939734692501E-2</v>
      </c>
      <c r="AA164">
        <f t="shared" si="49"/>
        <v>-1.4994083998035141E-2</v>
      </c>
      <c r="AB164">
        <f t="shared" si="49"/>
        <v>-1.604541585726663E-2</v>
      </c>
      <c r="AC164">
        <f t="shared" si="49"/>
        <v>-1.7219588838205357E-2</v>
      </c>
      <c r="AD164">
        <f t="shared" si="49"/>
        <v>-1.8558739297732597E-2</v>
      </c>
      <c r="AE164">
        <f t="shared" si="49"/>
        <v>-2.0132068732831368E-2</v>
      </c>
      <c r="AF164">
        <f t="shared" si="49"/>
        <v>-2.2066277272415981E-2</v>
      </c>
      <c r="AG164">
        <f t="shared" si="49"/>
        <v>-2.463747054067256E-2</v>
      </c>
      <c r="AH164">
        <f t="shared" si="49"/>
        <v>-2.8689989368360567E-2</v>
      </c>
      <c r="AI164">
        <f t="shared" si="49"/>
        <v>-3.2398837625141869E-2</v>
      </c>
      <c r="AK164">
        <v>27</v>
      </c>
      <c r="AL164">
        <f t="shared" si="50"/>
        <v>-9.883289847257521E-3</v>
      </c>
      <c r="AM164">
        <f t="shared" si="50"/>
        <v>-1.1122074442682118E-2</v>
      </c>
      <c r="AN164">
        <f t="shared" si="50"/>
        <v>-1.2467845643304765E-2</v>
      </c>
      <c r="AO164">
        <f t="shared" si="50"/>
        <v>-1.3947593200963625E-2</v>
      </c>
      <c r="AP164">
        <f t="shared" si="50"/>
        <v>-1.5600239399741601E-2</v>
      </c>
      <c r="AQ164">
        <f t="shared" si="50"/>
        <v>-1.748509108041996E-2</v>
      </c>
      <c r="AR164">
        <f t="shared" si="50"/>
        <v>-1.9699549216105134E-2</v>
      </c>
      <c r="AS164">
        <f t="shared" si="50"/>
        <v>-2.2421943993093468E-2</v>
      </c>
      <c r="AT164">
        <f t="shared" si="50"/>
        <v>-2.6040893543193458E-2</v>
      </c>
      <c r="AU164">
        <f t="shared" si="50"/>
        <v>-3.1744805951994033E-2</v>
      </c>
      <c r="AV164">
        <f t="shared" si="50"/>
        <v>-3.6965002697207504E-2</v>
      </c>
      <c r="AX164">
        <v>27</v>
      </c>
      <c r="AY164">
        <f t="shared" si="51"/>
        <v>-8.765123407128806E-3</v>
      </c>
      <c r="AZ164">
        <f t="shared" si="51"/>
        <v>-9.6680001277465854E-3</v>
      </c>
      <c r="BA164">
        <f t="shared" si="51"/>
        <v>-1.0648853048268705E-2</v>
      </c>
      <c r="BB164">
        <f t="shared" si="51"/>
        <v>-1.1727353400255458E-2</v>
      </c>
      <c r="BC164">
        <f t="shared" si="51"/>
        <v>-1.2931869331277887E-2</v>
      </c>
      <c r="BD164">
        <f t="shared" si="51"/>
        <v>-1.4305626084943757E-2</v>
      </c>
      <c r="BE164">
        <f t="shared" si="51"/>
        <v>-1.5919613461665615E-2</v>
      </c>
      <c r="BF164">
        <f t="shared" si="51"/>
        <v>-1.7903805772058141E-2</v>
      </c>
      <c r="BG164">
        <f t="shared" si="51"/>
        <v>-2.0541443755242396E-2</v>
      </c>
      <c r="BH164">
        <f t="shared" si="51"/>
        <v>-2.4698687677527181E-2</v>
      </c>
      <c r="BI164">
        <f t="shared" si="51"/>
        <v>-2.8503379902233512E-2</v>
      </c>
      <c r="BK164">
        <v>27</v>
      </c>
      <c r="BL164">
        <f t="shared" si="52"/>
        <v>-1.4275973813626053E-2</v>
      </c>
      <c r="BM164">
        <f t="shared" si="53"/>
        <v>-1.5492014049628031E-2</v>
      </c>
      <c r="BN164">
        <f t="shared" si="54"/>
        <v>-1.6813076593071203E-2</v>
      </c>
      <c r="BO164">
        <f t="shared" si="55"/>
        <v>-1.8265655657974798E-2</v>
      </c>
      <c r="BP164">
        <f t="shared" si="56"/>
        <v>-1.988795890666907E-2</v>
      </c>
      <c r="BQ164">
        <f t="shared" si="57"/>
        <v>-2.1738204293208802E-2</v>
      </c>
      <c r="BR164">
        <f t="shared" si="58"/>
        <v>-2.3912004487270884E-2</v>
      </c>
      <c r="BS164">
        <f t="shared" si="59"/>
        <v>-2.6584415493451308E-2</v>
      </c>
      <c r="BT164">
        <f t="shared" si="60"/>
        <v>-3.0136920328623619E-2</v>
      </c>
      <c r="BU164">
        <f t="shared" si="61"/>
        <v>-3.5736107642827419E-2</v>
      </c>
      <c r="BV164">
        <f t="shared" si="62"/>
        <v>-4.0860460420115867E-2</v>
      </c>
    </row>
    <row r="165" spans="24:74">
      <c r="X165">
        <v>28</v>
      </c>
      <c r="Y165">
        <f t="shared" si="49"/>
        <v>-1.3399255170822142E-2</v>
      </c>
      <c r="Z165">
        <f t="shared" si="49"/>
        <v>-1.4295538096768153E-2</v>
      </c>
      <c r="AA165">
        <f t="shared" si="49"/>
        <v>-1.5269227755004916E-2</v>
      </c>
      <c r="AB165">
        <f t="shared" si="49"/>
        <v>-1.6339851716215353E-2</v>
      </c>
      <c r="AC165">
        <f t="shared" si="49"/>
        <v>-1.7535570952687277E-2</v>
      </c>
      <c r="AD165">
        <f t="shared" si="49"/>
        <v>-1.889929502995805E-2</v>
      </c>
      <c r="AE165">
        <f t="shared" si="49"/>
        <v>-2.050149530316743E-2</v>
      </c>
      <c r="AF165">
        <f t="shared" si="49"/>
        <v>-2.2471196868162204E-2</v>
      </c>
      <c r="AG165">
        <f t="shared" si="49"/>
        <v>-2.5089571929972576E-2</v>
      </c>
      <c r="AH165">
        <f t="shared" si="49"/>
        <v>-2.921645510399791E-2</v>
      </c>
      <c r="AI165">
        <f t="shared" si="49"/>
        <v>-3.2993361299065757E-2</v>
      </c>
      <c r="AK165">
        <v>28</v>
      </c>
      <c r="AL165">
        <f t="shared" si="50"/>
        <v>-1.0064649742276917E-2</v>
      </c>
      <c r="AM165">
        <f t="shared" si="50"/>
        <v>-1.1326166226338799E-2</v>
      </c>
      <c r="AN165">
        <f t="shared" si="50"/>
        <v>-1.269663253632655E-2</v>
      </c>
      <c r="AO165">
        <f t="shared" si="50"/>
        <v>-1.4203533690192718E-2</v>
      </c>
      <c r="AP165">
        <f t="shared" si="50"/>
        <v>-1.5886506201944078E-2</v>
      </c>
      <c r="AQ165">
        <f t="shared" si="50"/>
        <v>-1.7805945202049259E-2</v>
      </c>
      <c r="AR165">
        <f t="shared" si="50"/>
        <v>-2.0061038986513281E-2</v>
      </c>
      <c r="AS165">
        <f t="shared" si="50"/>
        <v>-2.2833390128091383E-2</v>
      </c>
      <c r="AT165">
        <f t="shared" si="50"/>
        <v>-2.6518747961326847E-2</v>
      </c>
      <c r="AU165">
        <f t="shared" si="50"/>
        <v>-3.2327328043710524E-2</v>
      </c>
      <c r="AV165">
        <f t="shared" si="50"/>
        <v>-3.7643316205377815E-2</v>
      </c>
      <c r="AX165">
        <v>28</v>
      </c>
      <c r="AY165">
        <f t="shared" si="51"/>
        <v>-8.9259647752882205E-3</v>
      </c>
      <c r="AZ165">
        <f t="shared" si="51"/>
        <v>-9.8454094231647683E-3</v>
      </c>
      <c r="BA165">
        <f t="shared" si="51"/>
        <v>-1.0844261146256128E-2</v>
      </c>
      <c r="BB165">
        <f t="shared" si="51"/>
        <v>-1.1942552146259642E-2</v>
      </c>
      <c r="BC165">
        <f t="shared" si="51"/>
        <v>-1.3169171130635307E-2</v>
      </c>
      <c r="BD165">
        <f t="shared" si="51"/>
        <v>-1.4568136532886564E-2</v>
      </c>
      <c r="BE165">
        <f t="shared" si="51"/>
        <v>-1.6211740827226814E-2</v>
      </c>
      <c r="BF165">
        <f t="shared" si="51"/>
        <v>-1.8232343372943046E-2</v>
      </c>
      <c r="BG165">
        <f t="shared" si="51"/>
        <v>-2.0918382420461384E-2</v>
      </c>
      <c r="BH165">
        <f t="shared" si="51"/>
        <v>-2.5151912410742525E-2</v>
      </c>
      <c r="BI165">
        <f t="shared" si="51"/>
        <v>-2.902642132534846E-2</v>
      </c>
      <c r="BK165">
        <v>28</v>
      </c>
      <c r="BL165">
        <f t="shared" si="52"/>
        <v>-1.4537940137810838E-2</v>
      </c>
      <c r="BM165">
        <f t="shared" si="53"/>
        <v>-1.5776294899942186E-2</v>
      </c>
      <c r="BN165">
        <f t="shared" si="54"/>
        <v>-1.7121599145075342E-2</v>
      </c>
      <c r="BO165">
        <f t="shared" si="55"/>
        <v>-1.8600833260148431E-2</v>
      </c>
      <c r="BP165">
        <f t="shared" si="56"/>
        <v>-2.0252906023996049E-2</v>
      </c>
      <c r="BQ165">
        <f t="shared" si="57"/>
        <v>-2.2137103699120746E-2</v>
      </c>
      <c r="BR165">
        <f t="shared" si="58"/>
        <v>-2.4350793462453894E-2</v>
      </c>
      <c r="BS165">
        <f t="shared" si="59"/>
        <v>-2.7072243623310541E-2</v>
      </c>
      <c r="BT165">
        <f t="shared" si="60"/>
        <v>-3.0689937470838039E-2</v>
      </c>
      <c r="BU165">
        <f t="shared" si="61"/>
        <v>-3.6391870736965912E-2</v>
      </c>
      <c r="BV165">
        <f t="shared" si="62"/>
        <v>-4.1610256179095119E-2</v>
      </c>
    </row>
    <row r="166" spans="24:74">
      <c r="X166">
        <v>29</v>
      </c>
      <c r="Y166">
        <f t="shared" si="49"/>
        <v>-1.3636428542237402E-2</v>
      </c>
      <c r="Z166">
        <f t="shared" si="49"/>
        <v>-1.4548576114432664E-2</v>
      </c>
      <c r="AA166">
        <f t="shared" si="49"/>
        <v>-1.5539500555947461E-2</v>
      </c>
      <c r="AB166">
        <f t="shared" si="49"/>
        <v>-1.6629075085018652E-2</v>
      </c>
      <c r="AC166">
        <f t="shared" si="49"/>
        <v>-1.7845959136919845E-2</v>
      </c>
      <c r="AD166">
        <f t="shared" si="49"/>
        <v>-1.9233821797489694E-2</v>
      </c>
      <c r="AE166">
        <f t="shared" si="49"/>
        <v>-2.0864381799328396E-2</v>
      </c>
      <c r="AF166">
        <f t="shared" si="49"/>
        <v>-2.2868948045598064E-2</v>
      </c>
      <c r="AG166">
        <f t="shared" si="49"/>
        <v>-2.5533669626906886E-2</v>
      </c>
      <c r="AH166">
        <f t="shared" si="49"/>
        <v>-2.9733600651976347E-2</v>
      </c>
      <c r="AI166">
        <f t="shared" si="49"/>
        <v>-3.3577359934352666E-2</v>
      </c>
      <c r="AK166">
        <v>29</v>
      </c>
      <c r="AL166">
        <f t="shared" si="50"/>
        <v>-1.0242798966323905E-2</v>
      </c>
      <c r="AM166">
        <f t="shared" si="50"/>
        <v>-1.1526644909285294E-2</v>
      </c>
      <c r="AN166">
        <f t="shared" si="50"/>
        <v>-1.29213691433895E-2</v>
      </c>
      <c r="AO166">
        <f t="shared" si="50"/>
        <v>-1.4454943184852452E-2</v>
      </c>
      <c r="AP166">
        <f t="shared" si="50"/>
        <v>-1.6167705133368959E-2</v>
      </c>
      <c r="AQ166">
        <f t="shared" si="50"/>
        <v>-1.8121119142762133E-2</v>
      </c>
      <c r="AR166">
        <f t="shared" si="50"/>
        <v>-2.0416129190399025E-2</v>
      </c>
      <c r="AS166">
        <f t="shared" si="50"/>
        <v>-2.3237552303412286E-2</v>
      </c>
      <c r="AT166">
        <f t="shared" si="50"/>
        <v>-2.6988142773166489E-2</v>
      </c>
      <c r="AU166">
        <f t="shared" si="50"/>
        <v>-3.289953756455536E-2</v>
      </c>
      <c r="AV166">
        <f t="shared" si="50"/>
        <v>-3.8309621317256091E-2</v>
      </c>
      <c r="AX166">
        <v>29</v>
      </c>
      <c r="AY166">
        <f t="shared" si="51"/>
        <v>-9.0839587183768541E-3</v>
      </c>
      <c r="AZ166">
        <f t="shared" si="51"/>
        <v>-1.0019677986311497E-2</v>
      </c>
      <c r="BA166">
        <f t="shared" si="51"/>
        <v>-1.1036209873538054E-2</v>
      </c>
      <c r="BB166">
        <f t="shared" si="51"/>
        <v>-1.2153941161523628E-2</v>
      </c>
      <c r="BC166">
        <f t="shared" si="51"/>
        <v>-1.3402271901982558E-2</v>
      </c>
      <c r="BD166">
        <f t="shared" si="51"/>
        <v>-1.4825999676225039E-2</v>
      </c>
      <c r="BE166">
        <f t="shared" si="51"/>
        <v>-1.6498696570623396E-2</v>
      </c>
      <c r="BF166">
        <f t="shared" si="51"/>
        <v>-1.8555064769873966E-2</v>
      </c>
      <c r="BG166">
        <f t="shared" si="51"/>
        <v>-2.1288648022538884E-2</v>
      </c>
      <c r="BH166">
        <f t="shared" si="51"/>
        <v>-2.5597113564683315E-2</v>
      </c>
      <c r="BI166">
        <f t="shared" si="51"/>
        <v>-2.9540203182480618E-2</v>
      </c>
      <c r="BK166">
        <v>29</v>
      </c>
      <c r="BL166">
        <f t="shared" si="52"/>
        <v>-1.4795268790184453E-2</v>
      </c>
      <c r="BM166">
        <f t="shared" si="53"/>
        <v>-1.6055543037406458E-2</v>
      </c>
      <c r="BN166">
        <f t="shared" si="54"/>
        <v>-1.742465982579891E-2</v>
      </c>
      <c r="BO166">
        <f t="shared" si="55"/>
        <v>-1.8930077108347473E-2</v>
      </c>
      <c r="BP166">
        <f t="shared" si="56"/>
        <v>-2.0611392368306246E-2</v>
      </c>
      <c r="BQ166">
        <f t="shared" si="57"/>
        <v>-2.2528941264026783E-2</v>
      </c>
      <c r="BR166">
        <f t="shared" si="58"/>
        <v>-2.4781814419104022E-2</v>
      </c>
      <c r="BS166">
        <f t="shared" si="59"/>
        <v>-2.7551435579136384E-2</v>
      </c>
      <c r="BT166">
        <f t="shared" si="60"/>
        <v>-3.1233164377534494E-2</v>
      </c>
      <c r="BU166">
        <f t="shared" si="61"/>
        <v>-3.7036024651848395E-2</v>
      </c>
      <c r="BV166">
        <f t="shared" si="62"/>
        <v>-4.2346778069128135E-2</v>
      </c>
    </row>
    <row r="167" spans="24:74">
      <c r="X167">
        <v>30</v>
      </c>
      <c r="Y167">
        <f t="shared" si="49"/>
        <v>-1.3869546771336469E-2</v>
      </c>
      <c r="Z167">
        <f t="shared" si="49"/>
        <v>-1.4797287739269372E-2</v>
      </c>
      <c r="AA167">
        <f t="shared" si="49"/>
        <v>-1.58051522872249E-2</v>
      </c>
      <c r="AB167">
        <f t="shared" si="49"/>
        <v>-1.6913353371181911E-2</v>
      </c>
      <c r="AC167">
        <f t="shared" si="49"/>
        <v>-1.8151040366780526E-2</v>
      </c>
      <c r="AD167">
        <f t="shared" si="49"/>
        <v>-1.9562628894036264E-2</v>
      </c>
      <c r="AE167">
        <f t="shared" si="49"/>
        <v>-2.122106373560232E-2</v>
      </c>
      <c r="AF167">
        <f t="shared" si="49"/>
        <v>-2.3259898553880762E-2</v>
      </c>
      <c r="AG167">
        <f t="shared" si="49"/>
        <v>-2.597017423127513E-2</v>
      </c>
      <c r="AH167">
        <f t="shared" si="49"/>
        <v>-3.0241904150011642E-2</v>
      </c>
      <c r="AI167">
        <f t="shared" si="49"/>
        <v>-3.4151373479136292E-2</v>
      </c>
      <c r="AK167">
        <v>30</v>
      </c>
      <c r="AL167">
        <f t="shared" si="50"/>
        <v>-1.0417902230983803E-2</v>
      </c>
      <c r="AM167">
        <f t="shared" si="50"/>
        <v>-1.1723695848274446E-2</v>
      </c>
      <c r="AN167">
        <f t="shared" si="50"/>
        <v>-1.3142263249416771E-2</v>
      </c>
      <c r="AO167">
        <f t="shared" si="50"/>
        <v>-1.4702054130841215E-2</v>
      </c>
      <c r="AP167">
        <f t="shared" si="50"/>
        <v>-1.6444096182360479E-2</v>
      </c>
      <c r="AQ167">
        <f t="shared" si="50"/>
        <v>-1.8430904303207145E-2</v>
      </c>
      <c r="AR167">
        <f t="shared" si="50"/>
        <v>-2.0765148133825594E-2</v>
      </c>
      <c r="AS167">
        <f t="shared" si="50"/>
        <v>-2.3634804195635354E-2</v>
      </c>
      <c r="AT167">
        <f t="shared" si="50"/>
        <v>-2.7449511967487888E-2</v>
      </c>
      <c r="AU167">
        <f t="shared" si="50"/>
        <v>-3.3461963562790312E-2</v>
      </c>
      <c r="AV167">
        <f t="shared" si="50"/>
        <v>-3.8964534079147725E-2</v>
      </c>
      <c r="AX167">
        <v>30</v>
      </c>
      <c r="AY167">
        <f t="shared" si="51"/>
        <v>-9.2392513129941258E-3</v>
      </c>
      <c r="AZ167">
        <f t="shared" si="51"/>
        <v>-1.019096694082602E-2</v>
      </c>
      <c r="BA167">
        <f t="shared" si="51"/>
        <v>-1.1224876700318692E-2</v>
      </c>
      <c r="BB167">
        <f t="shared" si="51"/>
        <v>-1.2361715890175838E-2</v>
      </c>
      <c r="BC167">
        <f t="shared" si="51"/>
        <v>-1.3631387163505555E-2</v>
      </c>
      <c r="BD167">
        <f t="shared" si="51"/>
        <v>-1.5079453927713225E-2</v>
      </c>
      <c r="BE167">
        <f t="shared" si="51"/>
        <v>-1.6780746002780324E-2</v>
      </c>
      <c r="BF167">
        <f t="shared" si="51"/>
        <v>-1.8872268341657714E-2</v>
      </c>
      <c r="BG167">
        <f t="shared" si="51"/>
        <v>-2.1652582898269431E-2</v>
      </c>
      <c r="BH167">
        <f t="shared" si="51"/>
        <v>-2.6034702759373411E-2</v>
      </c>
      <c r="BI167">
        <f t="shared" si="51"/>
        <v>-3.0045200501375133E-2</v>
      </c>
      <c r="BK167">
        <v>30</v>
      </c>
      <c r="BL167">
        <f t="shared" si="52"/>
        <v>-1.5048197689326146E-2</v>
      </c>
      <c r="BM167">
        <f t="shared" si="53"/>
        <v>-1.6330016646717797E-2</v>
      </c>
      <c r="BN167">
        <f t="shared" si="54"/>
        <v>-1.7722538836322979E-2</v>
      </c>
      <c r="BO167">
        <f t="shared" si="55"/>
        <v>-1.9253691611847291E-2</v>
      </c>
      <c r="BP167">
        <f t="shared" si="56"/>
        <v>-2.0963749385635454E-2</v>
      </c>
      <c r="BQ167">
        <f t="shared" si="57"/>
        <v>-2.2914079269530187E-2</v>
      </c>
      <c r="BR167">
        <f t="shared" si="58"/>
        <v>-2.520546586664759E-2</v>
      </c>
      <c r="BS167">
        <f t="shared" si="59"/>
        <v>-2.8022434407858399E-2</v>
      </c>
      <c r="BT167">
        <f t="shared" si="60"/>
        <v>-3.1767103300493579E-2</v>
      </c>
      <c r="BU167">
        <f t="shared" si="61"/>
        <v>-3.7669164953428542E-2</v>
      </c>
      <c r="BV167">
        <f t="shared" si="62"/>
        <v>-4.307070705690888E-2</v>
      </c>
    </row>
    <row r="168" spans="24:74">
      <c r="X168">
        <v>31</v>
      </c>
      <c r="Y168">
        <f t="shared" si="49"/>
        <v>-1.4098811010047367E-2</v>
      </c>
      <c r="Z168">
        <f t="shared" si="49"/>
        <v>-1.5041887578360062E-2</v>
      </c>
      <c r="AA168">
        <f t="shared" si="49"/>
        <v>-1.6066412173115985E-2</v>
      </c>
      <c r="AB168">
        <f t="shared" si="49"/>
        <v>-1.7192931871375307E-2</v>
      </c>
      <c r="AC168">
        <f t="shared" si="49"/>
        <v>-1.8451077889282762E-2</v>
      </c>
      <c r="AD168">
        <f t="shared" si="49"/>
        <v>-1.988600003907209E-2</v>
      </c>
      <c r="AE168">
        <f t="shared" si="49"/>
        <v>-2.1571848883970186E-2</v>
      </c>
      <c r="AF168">
        <f t="shared" si="49"/>
        <v>-2.3644385734490653E-2</v>
      </c>
      <c r="AG168">
        <f t="shared" si="49"/>
        <v>-2.639946239205538E-2</v>
      </c>
      <c r="AH168">
        <f t="shared" si="49"/>
        <v>-3.0741804200563348E-2</v>
      </c>
      <c r="AI168">
        <f t="shared" si="49"/>
        <v>-3.4715897235442945E-2</v>
      </c>
      <c r="AK168">
        <v>31</v>
      </c>
      <c r="AL168">
        <f t="shared" si="50"/>
        <v>-1.0590110628513213E-2</v>
      </c>
      <c r="AM168">
        <f t="shared" si="50"/>
        <v>-1.1917489073665744E-2</v>
      </c>
      <c r="AN168">
        <f t="shared" si="50"/>
        <v>-1.3359505458444299E-2</v>
      </c>
      <c r="AO168">
        <f t="shared" si="50"/>
        <v>-1.4945079754054779E-2</v>
      </c>
      <c r="AP168">
        <f t="shared" si="50"/>
        <v>-1.6715917839887819E-2</v>
      </c>
      <c r="AQ168">
        <f t="shared" si="50"/>
        <v>-1.8735567989302565E-2</v>
      </c>
      <c r="AR168">
        <f t="shared" si="50"/>
        <v>-2.1108396976567828E-2</v>
      </c>
      <c r="AS168">
        <f t="shared" si="50"/>
        <v>-2.4025488583548582E-2</v>
      </c>
      <c r="AT168">
        <f t="shared" si="50"/>
        <v>-2.7903253648306009E-2</v>
      </c>
      <c r="AU168">
        <f t="shared" si="50"/>
        <v>-3.4015091341835654E-2</v>
      </c>
      <c r="AV168">
        <f t="shared" si="50"/>
        <v>-3.9608619599003525E-2</v>
      </c>
      <c r="AX168">
        <v>31</v>
      </c>
      <c r="AY168">
        <f t="shared" si="51"/>
        <v>-9.3919765572616516E-3</v>
      </c>
      <c r="AZ168">
        <f t="shared" si="51"/>
        <v>-1.0359424087691482E-2</v>
      </c>
      <c r="BA168">
        <f t="shared" si="51"/>
        <v>-1.1410424422515403E-2</v>
      </c>
      <c r="BB168">
        <f t="shared" si="51"/>
        <v>-1.2566055615867428E-2</v>
      </c>
      <c r="BC168">
        <f t="shared" si="51"/>
        <v>-1.385671461307105E-2</v>
      </c>
      <c r="BD168">
        <f t="shared" si="51"/>
        <v>-1.5328717986727613E-2</v>
      </c>
      <c r="BE168">
        <f t="shared" si="51"/>
        <v>-1.705813249714503E-2</v>
      </c>
      <c r="BF168">
        <f t="shared" si="51"/>
        <v>-1.9184227795375392E-2</v>
      </c>
      <c r="BG168">
        <f t="shared" si="51"/>
        <v>-2.2010501078015256E-2</v>
      </c>
      <c r="BH168">
        <f t="shared" si="51"/>
        <v>-2.6465057579656923E-2</v>
      </c>
      <c r="BI168">
        <f t="shared" si="51"/>
        <v>-3.0541849031671724E-2</v>
      </c>
      <c r="BK168">
        <v>31</v>
      </c>
      <c r="BL168">
        <f t="shared" si="52"/>
        <v>-1.529694508129893E-2</v>
      </c>
      <c r="BM168">
        <f t="shared" si="53"/>
        <v>-1.6599952564334323E-2</v>
      </c>
      <c r="BN168">
        <f t="shared" si="54"/>
        <v>-1.8015493209044883E-2</v>
      </c>
      <c r="BO168">
        <f t="shared" si="55"/>
        <v>-1.9571956009562658E-2</v>
      </c>
      <c r="BP168">
        <f t="shared" si="56"/>
        <v>-2.1310281116099526E-2</v>
      </c>
      <c r="BQ168">
        <f t="shared" si="57"/>
        <v>-2.3292850041647044E-2</v>
      </c>
      <c r="BR168">
        <f t="shared" si="58"/>
        <v>-2.5622113363392984E-2</v>
      </c>
      <c r="BS168">
        <f t="shared" si="59"/>
        <v>-2.8485646522663843E-2</v>
      </c>
      <c r="BT168">
        <f t="shared" si="60"/>
        <v>-3.2292214962346133E-2</v>
      </c>
      <c r="BU168">
        <f t="shared" si="61"/>
        <v>-3.8291837962742076E-2</v>
      </c>
      <c r="BV168">
        <f t="shared" si="62"/>
        <v>-4.378266780277474E-2</v>
      </c>
    </row>
    <row r="169" spans="24:74">
      <c r="X169">
        <v>32</v>
      </c>
      <c r="Y169">
        <f t="shared" si="49"/>
        <v>-1.4324406310621599E-2</v>
      </c>
      <c r="Z169">
        <f t="shared" si="49"/>
        <v>-1.528257306219453E-2</v>
      </c>
      <c r="AA169">
        <f t="shared" si="49"/>
        <v>-1.6323491091385096E-2</v>
      </c>
      <c r="AB169">
        <f t="shared" si="49"/>
        <v>-1.7468036249362297E-2</v>
      </c>
      <c r="AC169">
        <f t="shared" si="49"/>
        <v>-1.8746313881834543E-2</v>
      </c>
      <c r="AD169">
        <f t="shared" si="49"/>
        <v>-2.0204196243903592E-2</v>
      </c>
      <c r="AE169">
        <f t="shared" si="49"/>
        <v>-2.1917020383145053E-2</v>
      </c>
      <c r="AF169">
        <f t="shared" si="49"/>
        <v>-2.4022719928974447E-2</v>
      </c>
      <c r="AG169">
        <f t="shared" si="49"/>
        <v>-2.6821880612222293E-2</v>
      </c>
      <c r="AH169">
        <f t="shared" si="49"/>
        <v>-3.1233704301492287E-2</v>
      </c>
      <c r="AI169">
        <f t="shared" si="49"/>
        <v>-3.5271386862614537E-2</v>
      </c>
      <c r="AK169">
        <v>32</v>
      </c>
      <c r="AL169">
        <f t="shared" si="50"/>
        <v>-1.0759563158137964E-2</v>
      </c>
      <c r="AM169">
        <f t="shared" si="50"/>
        <v>-1.2108181007031458E-2</v>
      </c>
      <c r="AN169">
        <f t="shared" si="50"/>
        <v>-1.3573271119057316E-2</v>
      </c>
      <c r="AO169">
        <f t="shared" si="50"/>
        <v>-1.5184216214343463E-2</v>
      </c>
      <c r="AP169">
        <f t="shared" si="50"/>
        <v>-1.6983389508724026E-2</v>
      </c>
      <c r="AQ169">
        <f t="shared" si="50"/>
        <v>-1.9035356112497039E-2</v>
      </c>
      <c r="AR169">
        <f t="shared" si="50"/>
        <v>-2.1446152774356412E-2</v>
      </c>
      <c r="AS169">
        <f t="shared" si="50"/>
        <v>-2.4409920810818376E-2</v>
      </c>
      <c r="AT169">
        <f t="shared" si="50"/>
        <v>-2.8349734056427142E-2</v>
      </c>
      <c r="AU169">
        <f t="shared" si="50"/>
        <v>-3.4559367362689671E-2</v>
      </c>
      <c r="AV169">
        <f t="shared" si="50"/>
        <v>-4.0242397755005467E-2</v>
      </c>
      <c r="AX169">
        <v>32</v>
      </c>
      <c r="AY169">
        <f t="shared" si="51"/>
        <v>-9.542257724440336E-3</v>
      </c>
      <c r="AZ169">
        <f t="shared" si="51"/>
        <v>-1.0525185398285208E-2</v>
      </c>
      <c r="BA169">
        <f t="shared" si="51"/>
        <v>-1.1593002806284254E-2</v>
      </c>
      <c r="BB169">
        <f t="shared" si="51"/>
        <v>-1.2767125272852965E-2</v>
      </c>
      <c r="BC169">
        <f t="shared" si="51"/>
        <v>-1.4078436125323354E-2</v>
      </c>
      <c r="BD169">
        <f t="shared" si="51"/>
        <v>-1.5573993048516093E-2</v>
      </c>
      <c r="BE169">
        <f t="shared" si="51"/>
        <v>-1.7331079948187968E-2</v>
      </c>
      <c r="BF169">
        <f t="shared" si="51"/>
        <v>-1.9491194931306077E-2</v>
      </c>
      <c r="BG169">
        <f t="shared" si="51"/>
        <v>-2.2362691457966145E-2</v>
      </c>
      <c r="BH169">
        <f t="shared" si="51"/>
        <v>-2.6888525389470268E-2</v>
      </c>
      <c r="BI169">
        <f t="shared" si="51"/>
        <v>-3.1030549646743635E-2</v>
      </c>
      <c r="BK169">
        <v>32</v>
      </c>
      <c r="BL169">
        <f t="shared" si="52"/>
        <v>-1.5541711744319228E-2</v>
      </c>
      <c r="BM169">
        <f t="shared" si="53"/>
        <v>-1.686556867094078E-2</v>
      </c>
      <c r="BN169">
        <f t="shared" si="54"/>
        <v>-1.8303759404158161E-2</v>
      </c>
      <c r="BO169">
        <f t="shared" si="55"/>
        <v>-1.9885127190852794E-2</v>
      </c>
      <c r="BP169">
        <f t="shared" si="56"/>
        <v>-2.1651267265235218E-2</v>
      </c>
      <c r="BQ169">
        <f t="shared" si="57"/>
        <v>-2.3665559307884533E-2</v>
      </c>
      <c r="BR169">
        <f t="shared" si="58"/>
        <v>-2.6032093209313493E-2</v>
      </c>
      <c r="BS169">
        <f t="shared" si="59"/>
        <v>-2.8941445808486746E-2</v>
      </c>
      <c r="BT169">
        <f t="shared" si="60"/>
        <v>-3.2808923210683294E-2</v>
      </c>
      <c r="BU169">
        <f t="shared" si="61"/>
        <v>-3.8904546274711682E-2</v>
      </c>
      <c r="BV169">
        <f t="shared" si="62"/>
        <v>-4.4483234970876376E-2</v>
      </c>
    </row>
    <row r="170" spans="24:74">
      <c r="X170">
        <v>33</v>
      </c>
      <c r="Y170">
        <f t="shared" si="49"/>
        <v>-1.4546503373887446E-2</v>
      </c>
      <c r="Z170">
        <f t="shared" si="49"/>
        <v>-1.5519526309865417E-2</v>
      </c>
      <c r="AA170">
        <f t="shared" si="49"/>
        <v>-1.6576583565518183E-2</v>
      </c>
      <c r="AB170">
        <f t="shared" si="49"/>
        <v>-1.7738874667924048E-2</v>
      </c>
      <c r="AC170">
        <f t="shared" si="49"/>
        <v>-1.9036971740173006E-2</v>
      </c>
      <c r="AD170">
        <f t="shared" si="49"/>
        <v>-2.0517458277534296E-2</v>
      </c>
      <c r="AE170">
        <f t="shared" si="49"/>
        <v>-2.2256839413482443E-2</v>
      </c>
      <c r="AF170">
        <f t="shared" si="49"/>
        <v>-2.4395187410850255E-2</v>
      </c>
      <c r="AG170">
        <f t="shared" si="49"/>
        <v>-2.7237748522281821E-2</v>
      </c>
      <c r="AH170">
        <f t="shared" si="49"/>
        <v>-3.1717976658045835E-2</v>
      </c>
      <c r="AI170">
        <f t="shared" si="49"/>
        <v>-3.5818262682081596E-2</v>
      </c>
      <c r="AK170">
        <v>33</v>
      </c>
      <c r="AL170">
        <f t="shared" si="50"/>
        <v>-1.0926388039227375E-2</v>
      </c>
      <c r="AM170">
        <f t="shared" si="50"/>
        <v>-1.229591593892591E-2</v>
      </c>
      <c r="AN170">
        <f t="shared" si="50"/>
        <v>-1.3783721980969717E-2</v>
      </c>
      <c r="AO170">
        <f t="shared" si="50"/>
        <v>-1.5419644458702794E-2</v>
      </c>
      <c r="AP170">
        <f t="shared" si="50"/>
        <v>-1.7246713576220679E-2</v>
      </c>
      <c r="AQ170">
        <f t="shared" si="50"/>
        <v>-1.9330495512980973E-2</v>
      </c>
      <c r="AR170">
        <f t="shared" si="50"/>
        <v>-2.1778671096320191E-2</v>
      </c>
      <c r="AS170">
        <f t="shared" si="50"/>
        <v>-2.478839176515138E-2</v>
      </c>
      <c r="AT170">
        <f t="shared" si="50"/>
        <v>-2.878929102945376E-2</v>
      </c>
      <c r="AU170">
        <f t="shared" si="50"/>
        <v>-3.5095203461801686E-2</v>
      </c>
      <c r="AV170">
        <f t="shared" si="50"/>
        <v>-4.0866348107037542E-2</v>
      </c>
      <c r="AX170">
        <v>33</v>
      </c>
      <c r="AY170">
        <f t="shared" si="51"/>
        <v>-9.6902085275359286E-3</v>
      </c>
      <c r="AZ170">
        <f t="shared" si="51"/>
        <v>-1.0688376298947831E-2</v>
      </c>
      <c r="BA170">
        <f t="shared" si="51"/>
        <v>-1.1772750002913219E-2</v>
      </c>
      <c r="BB170">
        <f t="shared" si="51"/>
        <v>-1.2965077004181981E-2</v>
      </c>
      <c r="BC170">
        <f t="shared" si="51"/>
        <v>-1.4296719469917649E-2</v>
      </c>
      <c r="BD170">
        <f t="shared" si="51"/>
        <v>-1.5815464704959776E-2</v>
      </c>
      <c r="BE170">
        <f t="shared" si="51"/>
        <v>-1.7599794886611907E-2</v>
      </c>
      <c r="BF170">
        <f t="shared" si="51"/>
        <v>-1.9793402021772041E-2</v>
      </c>
      <c r="BG170">
        <f t="shared" si="51"/>
        <v>-2.2709420529442685E-2</v>
      </c>
      <c r="BH170">
        <f t="shared" si="51"/>
        <v>-2.7305426613510694E-2</v>
      </c>
      <c r="BI170">
        <f t="shared" si="51"/>
        <v>-3.1511672130888513E-2</v>
      </c>
      <c r="BK170">
        <v>33</v>
      </c>
      <c r="BL170">
        <f t="shared" si="52"/>
        <v>-1.5782682885578894E-2</v>
      </c>
      <c r="BM170">
        <f t="shared" si="53"/>
        <v>-1.7127065949843496E-2</v>
      </c>
      <c r="BN170">
        <f t="shared" si="54"/>
        <v>-1.8587555543574684E-2</v>
      </c>
      <c r="BO170">
        <f t="shared" si="55"/>
        <v>-2.0193442122444866E-2</v>
      </c>
      <c r="BP170">
        <f t="shared" si="56"/>
        <v>-2.1986965846476036E-2</v>
      </c>
      <c r="BQ170">
        <f t="shared" si="57"/>
        <v>-2.4032489085555494E-2</v>
      </c>
      <c r="BR170">
        <f t="shared" si="58"/>
        <v>-2.6435715623190723E-2</v>
      </c>
      <c r="BS170">
        <f t="shared" si="59"/>
        <v>-2.9390177154229594E-2</v>
      </c>
      <c r="BT170">
        <f t="shared" si="60"/>
        <v>-3.3317619022292896E-2</v>
      </c>
      <c r="BU170">
        <f t="shared" si="61"/>
        <v>-3.9507753506336826E-2</v>
      </c>
      <c r="BV170">
        <f t="shared" si="62"/>
        <v>-4.5172938658230632E-2</v>
      </c>
    </row>
    <row r="171" spans="24:74">
      <c r="X171">
        <v>34</v>
      </c>
      <c r="Y171">
        <f t="shared" ref="Y171:AI202" si="63">_xlfn.NORM.INV(1-Y$137,$T$127,$Y$128)*SQRT($X171)</f>
        <v>-1.4765260060739258E-2</v>
      </c>
      <c r="Z171">
        <f t="shared" si="63"/>
        <v>-1.5752915741661794E-2</v>
      </c>
      <c r="AA171">
        <f t="shared" si="63"/>
        <v>-1.6825869487152412E-2</v>
      </c>
      <c r="AB171">
        <f t="shared" si="63"/>
        <v>-1.8005639632059724E-2</v>
      </c>
      <c r="AC171">
        <f t="shared" si="63"/>
        <v>-1.9323258056446614E-2</v>
      </c>
      <c r="AD171">
        <f t="shared" si="63"/>
        <v>-2.0826008798580525E-2</v>
      </c>
      <c r="AE171">
        <f t="shared" si="63"/>
        <v>-2.2591547509630574E-2</v>
      </c>
      <c r="AF171">
        <f t="shared" si="63"/>
        <v>-2.4762052920448009E-2</v>
      </c>
      <c r="AG171">
        <f t="shared" si="63"/>
        <v>-2.7647361710474747E-2</v>
      </c>
      <c r="AH171">
        <f t="shared" si="63"/>
        <v>-3.219496547859034E-2</v>
      </c>
      <c r="AI171">
        <f t="shared" si="63"/>
        <v>-3.6356913399145707E-2</v>
      </c>
      <c r="AK171">
        <v>34</v>
      </c>
      <c r="AL171">
        <f t="shared" ref="AL171:AV202" si="64">_xlfn.NORM.INV(1-AL$137,$U$127,$Z$128)*SQRT($AK171)</f>
        <v>-1.109070384662679E-2</v>
      </c>
      <c r="AM171">
        <f t="shared" si="64"/>
        <v>-1.2480827306522078E-2</v>
      </c>
      <c r="AN171">
        <f t="shared" si="64"/>
        <v>-1.3991007627254732E-2</v>
      </c>
      <c r="AO171">
        <f t="shared" si="64"/>
        <v>-1.5651531823488607E-2</v>
      </c>
      <c r="AP171">
        <f t="shared" si="64"/>
        <v>-1.7506077206368997E-2</v>
      </c>
      <c r="AQ171">
        <f t="shared" si="64"/>
        <v>-1.9621195968268015E-2</v>
      </c>
      <c r="AR171">
        <f t="shared" si="64"/>
        <v>-2.2106188287951179E-2</v>
      </c>
      <c r="AS171">
        <f t="shared" si="64"/>
        <v>-2.5161170453991712E-2</v>
      </c>
      <c r="AT171">
        <f t="shared" si="64"/>
        <v>-2.922223699320483E-2</v>
      </c>
      <c r="AU171">
        <f t="shared" si="64"/>
        <v>-3.5622980497723292E-2</v>
      </c>
      <c r="AV171">
        <f t="shared" si="64"/>
        <v>-4.1480914143001639E-2</v>
      </c>
      <c r="AX171">
        <v>34</v>
      </c>
      <c r="AY171">
        <f t="shared" ref="AY171:BI202" si="65">_xlfn.NORM.INV(1-AY$137,$V$127,$AA$128)*SQRT($AX171)</f>
        <v>-9.8359341261833808E-3</v>
      </c>
      <c r="AZ171">
        <f t="shared" si="65"/>
        <v>-1.0849112781584649E-2</v>
      </c>
      <c r="BA171">
        <f t="shared" si="65"/>
        <v>-1.1949793772097985E-2</v>
      </c>
      <c r="BB171">
        <f t="shared" si="65"/>
        <v>-1.3160051508866368E-2</v>
      </c>
      <c r="BC171">
        <f t="shared" si="65"/>
        <v>-1.4511719797054904E-2</v>
      </c>
      <c r="BD171">
        <f t="shared" si="65"/>
        <v>-1.6053304587916761E-2</v>
      </c>
      <c r="BE171">
        <f t="shared" si="65"/>
        <v>-1.786446830810081E-2</v>
      </c>
      <c r="BF171">
        <f t="shared" si="65"/>
        <v>-2.0091063867819631E-2</v>
      </c>
      <c r="BG171">
        <f t="shared" si="65"/>
        <v>-2.3050934738573052E-2</v>
      </c>
      <c r="BH171">
        <f t="shared" si="65"/>
        <v>-2.7716057574472042E-2</v>
      </c>
      <c r="BI171">
        <f t="shared" si="65"/>
        <v>-3.1985558453624198E-2</v>
      </c>
      <c r="BK171">
        <v>34</v>
      </c>
      <c r="BL171">
        <f t="shared" si="52"/>
        <v>-1.6020029781182665E-2</v>
      </c>
      <c r="BM171">
        <f t="shared" si="53"/>
        <v>-1.7384630266599223E-2</v>
      </c>
      <c r="BN171">
        <f t="shared" si="54"/>
        <v>-1.886708334230916E-2</v>
      </c>
      <c r="BO171">
        <f t="shared" si="55"/>
        <v>-2.0497119946681967E-2</v>
      </c>
      <c r="BP171">
        <f t="shared" si="56"/>
        <v>-2.2317615465760703E-2</v>
      </c>
      <c r="BQ171">
        <f t="shared" si="57"/>
        <v>-2.4393900178931782E-2</v>
      </c>
      <c r="BR171">
        <f t="shared" si="58"/>
        <v>-2.6833267489480943E-2</v>
      </c>
      <c r="BS171">
        <f t="shared" si="59"/>
        <v>-2.9832159506620087E-2</v>
      </c>
      <c r="BT171">
        <f t="shared" si="60"/>
        <v>-3.3818663965106528E-2</v>
      </c>
      <c r="BU171">
        <f t="shared" si="61"/>
        <v>-4.010188840184159E-2</v>
      </c>
      <c r="BV171">
        <f t="shared" si="62"/>
        <v>-4.5852269088523155E-2</v>
      </c>
    </row>
    <row r="172" spans="24:74">
      <c r="X172">
        <v>35</v>
      </c>
      <c r="Y172">
        <f t="shared" si="63"/>
        <v>-1.4980822704911932E-2</v>
      </c>
      <c r="Z172">
        <f t="shared" si="63"/>
        <v>-1.5982897479655776E-2</v>
      </c>
      <c r="AA172">
        <f t="shared" si="63"/>
        <v>-1.707151561205875E-2</v>
      </c>
      <c r="AB172">
        <f t="shared" si="63"/>
        <v>-1.8268509589862064E-2</v>
      </c>
      <c r="AC172">
        <f t="shared" si="63"/>
        <v>-1.9605364337239747E-2</v>
      </c>
      <c r="AD172">
        <f t="shared" si="63"/>
        <v>-2.1130054206905058E-2</v>
      </c>
      <c r="AE172">
        <f t="shared" si="63"/>
        <v>-2.2921368569137516E-2</v>
      </c>
      <c r="AF172">
        <f t="shared" si="63"/>
        <v>-2.5123561866495534E-2</v>
      </c>
      <c r="AG172">
        <f t="shared" si="63"/>
        <v>-2.8050994180894635E-2</v>
      </c>
      <c r="AH172">
        <f t="shared" si="63"/>
        <v>-3.2664989837055007E-2</v>
      </c>
      <c r="AI172">
        <f t="shared" si="63"/>
        <v>-3.6887699335460898E-2</v>
      </c>
      <c r="AK172">
        <v>35</v>
      </c>
      <c r="AL172">
        <f t="shared" si="64"/>
        <v>-1.1252620496728464E-2</v>
      </c>
      <c r="AM172">
        <f t="shared" si="64"/>
        <v>-1.2663038803277911E-2</v>
      </c>
      <c r="AN172">
        <f t="shared" si="64"/>
        <v>-1.4195266718280867E-2</v>
      </c>
      <c r="AO172">
        <f t="shared" si="64"/>
        <v>-1.5880033425989679E-2</v>
      </c>
      <c r="AP172">
        <f t="shared" si="64"/>
        <v>-1.7761653896259479E-2</v>
      </c>
      <c r="AQ172">
        <f t="shared" si="64"/>
        <v>-1.9907651937709187E-2</v>
      </c>
      <c r="AR172">
        <f t="shared" si="64"/>
        <v>-2.2428923436558591E-2</v>
      </c>
      <c r="AS172">
        <f t="shared" si="64"/>
        <v>-2.5528506241592482E-2</v>
      </c>
      <c r="AT172">
        <f t="shared" si="64"/>
        <v>-2.9648861559855393E-2</v>
      </c>
      <c r="AU172">
        <f t="shared" si="64"/>
        <v>-3.6143051518336008E-2</v>
      </c>
      <c r="AV172">
        <f t="shared" si="64"/>
        <v>-4.208650696687212E-2</v>
      </c>
      <c r="AX172">
        <v>35</v>
      </c>
      <c r="AY172">
        <f t="shared" si="65"/>
        <v>-9.9795320011565481E-3</v>
      </c>
      <c r="AZ172">
        <f t="shared" si="65"/>
        <v>-1.1007502368256707E-2</v>
      </c>
      <c r="BA172">
        <f t="shared" si="65"/>
        <v>-1.2124252544394245E-2</v>
      </c>
      <c r="BB172">
        <f t="shared" si="65"/>
        <v>-1.3352179211936285E-2</v>
      </c>
      <c r="BC172">
        <f t="shared" si="65"/>
        <v>-1.4723580927714155E-2</v>
      </c>
      <c r="BD172">
        <f t="shared" si="65"/>
        <v>-1.6287671796516228E-2</v>
      </c>
      <c r="BE172">
        <f t="shared" si="65"/>
        <v>-1.8125277261643914E-2</v>
      </c>
      <c r="BF172">
        <f t="shared" si="65"/>
        <v>-2.0384379585509226E-2</v>
      </c>
      <c r="BG172">
        <f t="shared" si="65"/>
        <v>-2.338746253574412E-2</v>
      </c>
      <c r="BH172">
        <f t="shared" si="65"/>
        <v>-2.812069295727045E-2</v>
      </c>
      <c r="BI172">
        <f t="shared" si="65"/>
        <v>-3.2452525613514346E-2</v>
      </c>
      <c r="BK172">
        <v>35</v>
      </c>
      <c r="BL172">
        <f t="shared" si="52"/>
        <v>-1.6253911200483848E-2</v>
      </c>
      <c r="BM172">
        <f t="shared" si="53"/>
        <v>-1.7638433914676982E-2</v>
      </c>
      <c r="BN172">
        <f t="shared" si="54"/>
        <v>-1.914252978594537E-2</v>
      </c>
      <c r="BO172">
        <f t="shared" si="55"/>
        <v>-2.0796363803915453E-2</v>
      </c>
      <c r="BP172">
        <f t="shared" si="56"/>
        <v>-2.2643437305785066E-2</v>
      </c>
      <c r="BQ172">
        <f t="shared" si="57"/>
        <v>-2.4750034348098016E-2</v>
      </c>
      <c r="BR172">
        <f t="shared" si="58"/>
        <v>-2.7225014744052197E-2</v>
      </c>
      <c r="BS172">
        <f t="shared" si="59"/>
        <v>-3.0267688522578794E-2</v>
      </c>
      <c r="BT172">
        <f t="shared" si="60"/>
        <v>-3.4312393205005905E-2</v>
      </c>
      <c r="BU172">
        <f t="shared" si="61"/>
        <v>-4.0687348398120562E-2</v>
      </c>
      <c r="BV172">
        <f t="shared" si="62"/>
        <v>-4.6521680688818665E-2</v>
      </c>
    </row>
    <row r="173" spans="24:74">
      <c r="X173">
        <v>36</v>
      </c>
      <c r="Y173">
        <f t="shared" si="63"/>
        <v>-1.519332725806786E-2</v>
      </c>
      <c r="Z173">
        <f t="shared" si="63"/>
        <v>-1.6209616569384917E-2</v>
      </c>
      <c r="AA173">
        <f t="shared" si="63"/>
        <v>-1.7313676865034898E-2</v>
      </c>
      <c r="AB173">
        <f t="shared" si="63"/>
        <v>-1.8527650328904757E-2</v>
      </c>
      <c r="AC173">
        <f t="shared" si="63"/>
        <v>-1.9883468502145077E-2</v>
      </c>
      <c r="AD173">
        <f t="shared" si="63"/>
        <v>-2.1429786258732E-2</v>
      </c>
      <c r="AE173">
        <f t="shared" si="63"/>
        <v>-2.3246510604488475E-2</v>
      </c>
      <c r="AF173">
        <f t="shared" si="63"/>
        <v>-2.5479942246484574E-2</v>
      </c>
      <c r="AG173">
        <f t="shared" si="63"/>
        <v>-2.8448900497617551E-2</v>
      </c>
      <c r="AH173">
        <f t="shared" si="63"/>
        <v>-3.3128346169740946E-2</v>
      </c>
      <c r="AI173">
        <f t="shared" si="63"/>
        <v>-3.7410955248613265E-2</v>
      </c>
      <c r="AK173">
        <v>36</v>
      </c>
      <c r="AL173">
        <f t="shared" si="64"/>
        <v>-1.1412240107586449E-2</v>
      </c>
      <c r="AM173">
        <f t="shared" si="64"/>
        <v>-1.2842665346859156E-2</v>
      </c>
      <c r="AN173">
        <f t="shared" si="64"/>
        <v>-1.4396628076753418E-2</v>
      </c>
      <c r="AO173">
        <f t="shared" si="64"/>
        <v>-1.6105293378247485E-2</v>
      </c>
      <c r="AP173">
        <f t="shared" si="64"/>
        <v>-1.801360483372684E-2</v>
      </c>
      <c r="AQ173">
        <f t="shared" si="64"/>
        <v>-2.0190044084171178E-2</v>
      </c>
      <c r="AR173">
        <f t="shared" si="64"/>
        <v>-2.2747080085665162E-2</v>
      </c>
      <c r="AS173">
        <f t="shared" si="64"/>
        <v>-2.5890630800334453E-2</v>
      </c>
      <c r="AT173">
        <f t="shared" si="64"/>
        <v>-3.0069433794202259E-2</v>
      </c>
      <c r="AU173">
        <f t="shared" si="64"/>
        <v>-3.6655744523512376E-2</v>
      </c>
      <c r="AV173">
        <f t="shared" si="64"/>
        <v>-4.2683508515655985E-2</v>
      </c>
      <c r="AX173">
        <v>36</v>
      </c>
      <c r="AY173">
        <f t="shared" si="65"/>
        <v>-1.0121092717172212E-2</v>
      </c>
      <c r="AZ173">
        <f t="shared" si="65"/>
        <v>-1.1163644952559653E-2</v>
      </c>
      <c r="BA173">
        <f t="shared" si="65"/>
        <v>-1.2296236347957408E-2</v>
      </c>
      <c r="BB173">
        <f t="shared" si="65"/>
        <v>-1.3541581285038722E-2</v>
      </c>
      <c r="BC173">
        <f t="shared" si="65"/>
        <v>-1.4932436479076709E-2</v>
      </c>
      <c r="BD173">
        <f t="shared" si="65"/>
        <v>-1.651871414213682E-2</v>
      </c>
      <c r="BE173">
        <f t="shared" si="65"/>
        <v>-1.8382386234974867E-2</v>
      </c>
      <c r="BF173">
        <f t="shared" si="65"/>
        <v>-2.0673534164033086E-2</v>
      </c>
      <c r="BG173">
        <f t="shared" si="65"/>
        <v>-2.371921616326551E-2</v>
      </c>
      <c r="BH173">
        <f t="shared" si="65"/>
        <v>-2.8519587958501621E-2</v>
      </c>
      <c r="BI173">
        <f t="shared" si="65"/>
        <v>-3.2912868118737379E-2</v>
      </c>
      <c r="BK173">
        <v>36</v>
      </c>
      <c r="BL173">
        <f t="shared" si="52"/>
        <v>-1.6484474648482097E-2</v>
      </c>
      <c r="BM173">
        <f t="shared" si="53"/>
        <v>-1.788863696368442E-2</v>
      </c>
      <c r="BN173">
        <f t="shared" si="54"/>
        <v>-1.9414068593830908E-2</v>
      </c>
      <c r="BO173">
        <f t="shared" si="55"/>
        <v>-2.1091362422113517E-2</v>
      </c>
      <c r="BP173">
        <f t="shared" si="56"/>
        <v>-2.2964636856795208E-2</v>
      </c>
      <c r="BQ173">
        <f t="shared" si="57"/>
        <v>-2.5101116200766355E-2</v>
      </c>
      <c r="BR173">
        <f t="shared" si="58"/>
        <v>-2.761120445517877E-2</v>
      </c>
      <c r="BS173">
        <f t="shared" si="59"/>
        <v>-3.0697038882785938E-2</v>
      </c>
      <c r="BT173">
        <f t="shared" si="60"/>
        <v>-3.4799118128554296E-2</v>
      </c>
      <c r="BU173">
        <f t="shared" si="61"/>
        <v>-4.1264502734751698E-2</v>
      </c>
      <c r="BV173">
        <f t="shared" si="62"/>
        <v>-4.7181595645531871E-2</v>
      </c>
    </row>
    <row r="174" spans="24:74">
      <c r="X174">
        <v>37</v>
      </c>
      <c r="Y174">
        <f t="shared" si="63"/>
        <v>-1.5402900292655628E-2</v>
      </c>
      <c r="Z174">
        <f t="shared" si="63"/>
        <v>-1.6433208049792623E-2</v>
      </c>
      <c r="AA174">
        <f t="shared" si="63"/>
        <v>-1.7552497482720902E-2</v>
      </c>
      <c r="AB174">
        <f t="shared" si="63"/>
        <v>-1.8783216199188223E-2</v>
      </c>
      <c r="AC174">
        <f t="shared" si="63"/>
        <v>-2.0157736196202154E-2</v>
      </c>
      <c r="AD174">
        <f t="shared" si="63"/>
        <v>-2.1725383481152449E-2</v>
      </c>
      <c r="AE174">
        <f t="shared" si="63"/>
        <v>-2.3567167277527116E-2</v>
      </c>
      <c r="AF174">
        <f t="shared" si="63"/>
        <v>-2.5831406328513166E-2</v>
      </c>
      <c r="AG174">
        <f t="shared" si="63"/>
        <v>-2.8841317662515069E-2</v>
      </c>
      <c r="AH174">
        <f t="shared" si="63"/>
        <v>-3.3585310462008126E-2</v>
      </c>
      <c r="AI174">
        <f t="shared" si="63"/>
        <v>-3.7926992801488042E-2</v>
      </c>
      <c r="AK174">
        <v>37</v>
      </c>
      <c r="AL174">
        <f t="shared" si="64"/>
        <v>-1.1569657752198896E-2</v>
      </c>
      <c r="AM174">
        <f t="shared" si="64"/>
        <v>-1.3019813926839043E-2</v>
      </c>
      <c r="AN174">
        <f t="shared" si="64"/>
        <v>-1.4595211637985835E-2</v>
      </c>
      <c r="AO174">
        <f t="shared" si="64"/>
        <v>-1.6327445850110638E-2</v>
      </c>
      <c r="AP174">
        <f t="shared" si="64"/>
        <v>-1.8262080086365415E-2</v>
      </c>
      <c r="AQ174">
        <f t="shared" si="64"/>
        <v>-2.0468540606710946E-2</v>
      </c>
      <c r="AR174">
        <f t="shared" si="64"/>
        <v>-2.306084773646281E-2</v>
      </c>
      <c r="AS174">
        <f t="shared" si="64"/>
        <v>-2.6247759819676569E-2</v>
      </c>
      <c r="AT174">
        <f t="shared" si="64"/>
        <v>-3.0484204198442753E-2</v>
      </c>
      <c r="AU174">
        <f t="shared" si="64"/>
        <v>-3.7161364884634208E-2</v>
      </c>
      <c r="AV174">
        <f t="shared" si="64"/>
        <v>-4.3272274376782868E-2</v>
      </c>
      <c r="AX174">
        <v>37</v>
      </c>
      <c r="AY174">
        <f t="shared" si="65"/>
        <v>-1.026070059094822E-2</v>
      </c>
      <c r="AZ174">
        <f t="shared" si="65"/>
        <v>-1.1317633536497118E-2</v>
      </c>
      <c r="BA174">
        <f t="shared" si="65"/>
        <v>-1.246584762017439E-2</v>
      </c>
      <c r="BB174">
        <f t="shared" si="65"/>
        <v>-1.3728370540270193E-2</v>
      </c>
      <c r="BC174">
        <f t="shared" si="65"/>
        <v>-1.5138410850164345E-2</v>
      </c>
      <c r="BD174">
        <f t="shared" si="65"/>
        <v>-1.6746569238749523E-2</v>
      </c>
      <c r="BE174">
        <f t="shared" si="65"/>
        <v>-1.8635948367929145E-2</v>
      </c>
      <c r="BF174">
        <f t="shared" si="65"/>
        <v>-2.0958699830303427E-2</v>
      </c>
      <c r="BG174">
        <f t="shared" si="65"/>
        <v>-2.4046393220992557E-2</v>
      </c>
      <c r="BH174">
        <f t="shared" si="65"/>
        <v>-2.8912980168919657E-2</v>
      </c>
      <c r="BI174">
        <f t="shared" si="65"/>
        <v>-3.3366860159550427E-2</v>
      </c>
      <c r="BK174">
        <v>37</v>
      </c>
      <c r="BL174">
        <f t="shared" si="52"/>
        <v>-1.6711857453906305E-2</v>
      </c>
      <c r="BM174">
        <f t="shared" si="53"/>
        <v>-1.8135388440134549E-2</v>
      </c>
      <c r="BN174">
        <f t="shared" si="54"/>
        <v>-1.9681861500532343E-2</v>
      </c>
      <c r="BO174">
        <f t="shared" si="55"/>
        <v>-2.1382291509028664E-2</v>
      </c>
      <c r="BP174">
        <f t="shared" si="56"/>
        <v>-2.3281405432403222E-2</v>
      </c>
      <c r="BQ174">
        <f t="shared" si="57"/>
        <v>-2.5447354849113868E-2</v>
      </c>
      <c r="BR174">
        <f t="shared" si="58"/>
        <v>-2.7992066646060784E-2</v>
      </c>
      <c r="BS174">
        <f t="shared" si="59"/>
        <v>-3.1120466317886307E-2</v>
      </c>
      <c r="BT174">
        <f t="shared" si="60"/>
        <v>-3.5279128639965268E-2</v>
      </c>
      <c r="BU174">
        <f t="shared" si="61"/>
        <v>-4.1833695177722674E-2</v>
      </c>
      <c r="BV174">
        <f t="shared" si="62"/>
        <v>-4.7832407018720491E-2</v>
      </c>
    </row>
    <row r="175" spans="24:74">
      <c r="X175">
        <v>38</v>
      </c>
      <c r="Y175">
        <f t="shared" si="63"/>
        <v>-1.5609659883553959E-2</v>
      </c>
      <c r="Z175">
        <f t="shared" si="63"/>
        <v>-1.6653797893845721E-2</v>
      </c>
      <c r="AA175">
        <f t="shared" si="63"/>
        <v>-1.7788112018283519E-2</v>
      </c>
      <c r="AB175">
        <f t="shared" si="63"/>
        <v>-1.9035351188268872E-2</v>
      </c>
      <c r="AC175">
        <f t="shared" si="63"/>
        <v>-2.0428321943702612E-2</v>
      </c>
      <c r="AD175">
        <f t="shared" si="63"/>
        <v>-2.201701241565995E-2</v>
      </c>
      <c r="AE175">
        <f t="shared" si="63"/>
        <v>-2.3883519248412591E-2</v>
      </c>
      <c r="AF175">
        <f t="shared" si="63"/>
        <v>-2.6178152129845048E-2</v>
      </c>
      <c r="AG175">
        <f t="shared" si="63"/>
        <v>-2.9228466766097451E-2</v>
      </c>
      <c r="AH175">
        <f t="shared" si="63"/>
        <v>-3.4036140170659125E-2</v>
      </c>
      <c r="AI175">
        <f t="shared" si="63"/>
        <v>-3.8436102733166215E-2</v>
      </c>
      <c r="AK175">
        <v>38</v>
      </c>
      <c r="AL175">
        <f t="shared" si="64"/>
        <v>-1.1724962120741681E-2</v>
      </c>
      <c r="AM175">
        <f t="shared" si="64"/>
        <v>-1.3194584349937167E-2</v>
      </c>
      <c r="AN175">
        <f t="shared" si="64"/>
        <v>-1.4791129285312515E-2</v>
      </c>
      <c r="AO175">
        <f t="shared" si="64"/>
        <v>-1.6546616003798722E-2</v>
      </c>
      <c r="AP175">
        <f t="shared" si="64"/>
        <v>-1.8507219646829227E-2</v>
      </c>
      <c r="AQ175">
        <f t="shared" si="64"/>
        <v>-2.0743298412170957E-2</v>
      </c>
      <c r="AR175">
        <f t="shared" si="64"/>
        <v>-2.337040316778851E-2</v>
      </c>
      <c r="AS175">
        <f t="shared" si="64"/>
        <v>-2.6600094508546928E-2</v>
      </c>
      <c r="AT175">
        <f t="shared" si="64"/>
        <v>-3.0893406457054826E-2</v>
      </c>
      <c r="AU175">
        <f t="shared" si="64"/>
        <v>-3.7660197471665505E-2</v>
      </c>
      <c r="AV175">
        <f t="shared" si="64"/>
        <v>-4.3853136264959215E-2</v>
      </c>
      <c r="AX175">
        <v>38</v>
      </c>
      <c r="AY175">
        <f t="shared" si="65"/>
        <v>-1.0398434278513951E-2</v>
      </c>
      <c r="AZ175">
        <f t="shared" si="65"/>
        <v>-1.1469554878288777E-2</v>
      </c>
      <c r="BA175">
        <f t="shared" si="65"/>
        <v>-1.2633181921194123E-2</v>
      </c>
      <c r="BB175">
        <f t="shared" si="65"/>
        <v>-1.3912652215972553E-2</v>
      </c>
      <c r="BC175">
        <f t="shared" si="65"/>
        <v>-1.5341620088344202E-2</v>
      </c>
      <c r="BD175">
        <f t="shared" si="65"/>
        <v>-1.6971365461471644E-2</v>
      </c>
      <c r="BE175">
        <f t="shared" si="65"/>
        <v>-1.888610651914387E-2</v>
      </c>
      <c r="BF175">
        <f t="shared" si="65"/>
        <v>-2.1240037248603846E-2</v>
      </c>
      <c r="BG175">
        <f t="shared" si="65"/>
        <v>-2.4369178042713664E-2</v>
      </c>
      <c r="BH175">
        <f t="shared" si="65"/>
        <v>-2.9301091228382131E-2</v>
      </c>
      <c r="BI175">
        <f t="shared" si="65"/>
        <v>-3.3814757518169307E-2</v>
      </c>
      <c r="BK175">
        <v>38</v>
      </c>
      <c r="BL175">
        <f t="shared" si="52"/>
        <v>-1.693618772578169E-2</v>
      </c>
      <c r="BM175">
        <f t="shared" si="53"/>
        <v>-1.8378827365494114E-2</v>
      </c>
      <c r="BN175">
        <f t="shared" si="54"/>
        <v>-1.9946059382401911E-2</v>
      </c>
      <c r="BO175">
        <f t="shared" si="55"/>
        <v>-2.1669314976095037E-2</v>
      </c>
      <c r="BP175">
        <f t="shared" si="56"/>
        <v>-2.3593921502187636E-2</v>
      </c>
      <c r="BQ175">
        <f t="shared" si="57"/>
        <v>-2.5788945366359266E-2</v>
      </c>
      <c r="BR175">
        <f t="shared" si="58"/>
        <v>-2.8367815897057235E-2</v>
      </c>
      <c r="BS175">
        <f t="shared" si="59"/>
        <v>-3.153820938978813E-2</v>
      </c>
      <c r="BT175">
        <f t="shared" si="60"/>
        <v>-3.5752695180438616E-2</v>
      </c>
      <c r="BU175">
        <f t="shared" si="61"/>
        <v>-4.2395246413942503E-2</v>
      </c>
      <c r="BV175">
        <f t="shared" si="62"/>
        <v>-4.8474481479956123E-2</v>
      </c>
    </row>
    <row r="176" spans="24:74">
      <c r="X176">
        <v>39</v>
      </c>
      <c r="Y176">
        <f t="shared" si="63"/>
        <v>-1.5813716385940934E-2</v>
      </c>
      <c r="Z176">
        <f t="shared" si="63"/>
        <v>-1.687150383843572E-2</v>
      </c>
      <c r="AA176">
        <f t="shared" si="63"/>
        <v>-1.8020646227843263E-2</v>
      </c>
      <c r="AB176">
        <f t="shared" si="63"/>
        <v>-1.9284189869839274E-2</v>
      </c>
      <c r="AC176">
        <f t="shared" si="63"/>
        <v>-2.0695370166185598E-2</v>
      </c>
      <c r="AD176">
        <f t="shared" si="63"/>
        <v>-2.2304828715314477E-2</v>
      </c>
      <c r="AE176">
        <f t="shared" si="63"/>
        <v>-2.4195735365796278E-2</v>
      </c>
      <c r="AF176">
        <f t="shared" si="63"/>
        <v>-2.6520364721433824E-2</v>
      </c>
      <c r="AG176">
        <f t="shared" si="63"/>
        <v>-2.9610554444042803E-2</v>
      </c>
      <c r="AH176">
        <f t="shared" si="63"/>
        <v>-3.4481075920046914E-2</v>
      </c>
      <c r="AI176">
        <f t="shared" si="63"/>
        <v>-3.8938556774293649E-2</v>
      </c>
      <c r="AK176">
        <v>39</v>
      </c>
      <c r="AL176">
        <f t="shared" si="64"/>
        <v>-1.1878236104853217E-2</v>
      </c>
      <c r="AM176">
        <f t="shared" si="64"/>
        <v>-1.3367069897539316E-2</v>
      </c>
      <c r="AN176">
        <f t="shared" si="64"/>
        <v>-1.4984485587168545E-2</v>
      </c>
      <c r="AO176">
        <f t="shared" si="64"/>
        <v>-1.676292081846242E-2</v>
      </c>
      <c r="AP176">
        <f t="shared" si="64"/>
        <v>-1.8749154355093969E-2</v>
      </c>
      <c r="AQ176">
        <f t="shared" si="64"/>
        <v>-2.1014464148870739E-2</v>
      </c>
      <c r="AR176">
        <f t="shared" si="64"/>
        <v>-2.3675911600731167E-2</v>
      </c>
      <c r="AS176">
        <f t="shared" si="64"/>
        <v>-2.6947822920893431E-2</v>
      </c>
      <c r="AT176">
        <f t="shared" si="64"/>
        <v>-3.129725897629438E-2</v>
      </c>
      <c r="AU176">
        <f t="shared" si="64"/>
        <v>-3.8152508529856306E-2</v>
      </c>
      <c r="AV176">
        <f t="shared" si="64"/>
        <v>-4.4426404207482104E-2</v>
      </c>
      <c r="AX176">
        <v>39</v>
      </c>
      <c r="AY176">
        <f t="shared" si="65"/>
        <v>-1.0534367293390846E-2</v>
      </c>
      <c r="AZ176">
        <f t="shared" si="65"/>
        <v>-1.161949006392757E-2</v>
      </c>
      <c r="BA176">
        <f t="shared" si="65"/>
        <v>-1.2798328563471273E-2</v>
      </c>
      <c r="BB176">
        <f t="shared" si="65"/>
        <v>-1.4094524670036006E-2</v>
      </c>
      <c r="BC176">
        <f t="shared" si="65"/>
        <v>-1.5542172653840879E-2</v>
      </c>
      <c r="BD176">
        <f t="shared" si="65"/>
        <v>-1.7193222792293295E-2</v>
      </c>
      <c r="BE176">
        <f t="shared" si="65"/>
        <v>-1.9132994207200719E-2</v>
      </c>
      <c r="BF176">
        <f t="shared" si="65"/>
        <v>-2.1517696579034587E-2</v>
      </c>
      <c r="BG176">
        <f t="shared" si="65"/>
        <v>-2.4687742910528675E-2</v>
      </c>
      <c r="BH176">
        <f t="shared" si="65"/>
        <v>-2.9684128285998281E-2</v>
      </c>
      <c r="BI176">
        <f t="shared" si="65"/>
        <v>-3.4256799253844228E-2</v>
      </c>
      <c r="BK176">
        <v>39</v>
      </c>
      <c r="BL176">
        <f t="shared" si="52"/>
        <v>-1.7157585197403305E-2</v>
      </c>
      <c r="BM176">
        <f t="shared" si="53"/>
        <v>-1.8619083672047468E-2</v>
      </c>
      <c r="BN176">
        <f t="shared" si="54"/>
        <v>-2.0206803251540534E-2</v>
      </c>
      <c r="BO176">
        <f t="shared" si="55"/>
        <v>-2.1952586018265687E-2</v>
      </c>
      <c r="BP176">
        <f t="shared" si="56"/>
        <v>-2.3902351867438693E-2</v>
      </c>
      <c r="BQ176">
        <f t="shared" si="57"/>
        <v>-2.6126070071891924E-2</v>
      </c>
      <c r="BR176">
        <f t="shared" si="58"/>
        <v>-2.8738652759326726E-2</v>
      </c>
      <c r="BS176">
        <f t="shared" si="59"/>
        <v>-3.1950491063292667E-2</v>
      </c>
      <c r="BT176">
        <f t="shared" si="60"/>
        <v>-3.6220070509808508E-2</v>
      </c>
      <c r="BU176">
        <f t="shared" si="61"/>
        <v>-4.2949456163904942E-2</v>
      </c>
      <c r="BV176">
        <f t="shared" si="62"/>
        <v>-4.9108161727931532E-2</v>
      </c>
    </row>
    <row r="177" spans="24:74">
      <c r="X177">
        <v>40</v>
      </c>
      <c r="Y177">
        <f t="shared" si="63"/>
        <v>-1.601517312393843E-2</v>
      </c>
      <c r="Z177">
        <f t="shared" si="63"/>
        <v>-1.7086436119087042E-2</v>
      </c>
      <c r="AA177">
        <f t="shared" si="63"/>
        <v>-1.8250217855224651E-2</v>
      </c>
      <c r="AB177">
        <f t="shared" si="63"/>
        <v>-1.9529858243502281E-2</v>
      </c>
      <c r="AC177">
        <f t="shared" si="63"/>
        <v>-2.0959016083664999E-2</v>
      </c>
      <c r="AD177">
        <f t="shared" si="63"/>
        <v>-2.2588978116057177E-2</v>
      </c>
      <c r="AE177">
        <f t="shared" si="63"/>
        <v>-2.4503973720480413E-2</v>
      </c>
      <c r="AF177">
        <f t="shared" si="63"/>
        <v>-2.6858217382812893E-2</v>
      </c>
      <c r="AG177">
        <f t="shared" si="63"/>
        <v>-2.9987774166656361E-2</v>
      </c>
      <c r="AH177">
        <f t="shared" si="63"/>
        <v>-3.492034300363217E-2</v>
      </c>
      <c r="AI177">
        <f t="shared" si="63"/>
        <v>-3.9434609342749567E-2</v>
      </c>
      <c r="AK177">
        <v>40</v>
      </c>
      <c r="AL177">
        <f t="shared" si="64"/>
        <v>-1.2029557314899403E-2</v>
      </c>
      <c r="AM177">
        <f t="shared" si="64"/>
        <v>-1.35373579077971E-2</v>
      </c>
      <c r="AN177">
        <f t="shared" si="64"/>
        <v>-1.5175378449623399E-2</v>
      </c>
      <c r="AO177">
        <f t="shared" si="64"/>
        <v>-1.6976469820163251E-2</v>
      </c>
      <c r="AP177">
        <f t="shared" si="64"/>
        <v>-1.8988006714931838E-2</v>
      </c>
      <c r="AQ177">
        <f t="shared" si="64"/>
        <v>-2.1282175121729755E-2</v>
      </c>
      <c r="AR177">
        <f t="shared" si="64"/>
        <v>-2.3977527729653322E-2</v>
      </c>
      <c r="AS177">
        <f t="shared" si="64"/>
        <v>-2.7291121129188339E-2</v>
      </c>
      <c r="AT177">
        <f t="shared" si="64"/>
        <v>-3.1695966247105974E-2</v>
      </c>
      <c r="AU177">
        <f t="shared" si="64"/>
        <v>-3.8638547341180871E-2</v>
      </c>
      <c r="AV177">
        <f t="shared" si="64"/>
        <v>-4.4992368478888572E-2</v>
      </c>
      <c r="AX177">
        <v>40</v>
      </c>
      <c r="AY177">
        <f t="shared" si="65"/>
        <v>-1.0668568465335523E-2</v>
      </c>
      <c r="AZ177">
        <f t="shared" si="65"/>
        <v>-1.176751501317696E-2</v>
      </c>
      <c r="BA177">
        <f t="shared" si="65"/>
        <v>-1.296137116909871E-2</v>
      </c>
      <c r="BB177">
        <f t="shared" si="65"/>
        <v>-1.4274079993677391E-2</v>
      </c>
      <c r="BC177">
        <f t="shared" si="65"/>
        <v>-1.5740170096555883E-2</v>
      </c>
      <c r="BD177">
        <f t="shared" si="65"/>
        <v>-1.7412253568795583E-2</v>
      </c>
      <c r="BE177">
        <f t="shared" si="65"/>
        <v>-1.9376736443815917E-2</v>
      </c>
      <c r="BF177">
        <f t="shared" si="65"/>
        <v>-2.1791818414549868E-2</v>
      </c>
      <c r="BG177">
        <f t="shared" si="65"/>
        <v>-2.5002249129933089E-2</v>
      </c>
      <c r="BH177">
        <f t="shared" si="65"/>
        <v>-3.0062285292792267E-2</v>
      </c>
      <c r="BI177">
        <f t="shared" si="65"/>
        <v>-3.469320919465043E-2</v>
      </c>
      <c r="BK177">
        <v>40</v>
      </c>
      <c r="BL177">
        <f t="shared" si="52"/>
        <v>-1.7376161973502308E-2</v>
      </c>
      <c r="BM177">
        <f t="shared" si="53"/>
        <v>-1.8856279013707185E-2</v>
      </c>
      <c r="BN177">
        <f t="shared" si="54"/>
        <v>-2.0464225135749341E-2</v>
      </c>
      <c r="BO177">
        <f t="shared" si="55"/>
        <v>-2.2232248069988143E-2</v>
      </c>
      <c r="BP177">
        <f t="shared" si="56"/>
        <v>-2.4206852702040958E-2</v>
      </c>
      <c r="BQ177">
        <f t="shared" si="57"/>
        <v>-2.6458899668991349E-2</v>
      </c>
      <c r="BR177">
        <f t="shared" si="58"/>
        <v>-2.9104765006317816E-2</v>
      </c>
      <c r="BS177">
        <f t="shared" si="59"/>
        <v>-3.2357520097451367E-2</v>
      </c>
      <c r="BT177">
        <f t="shared" si="60"/>
        <v>-3.6681491283829241E-2</v>
      </c>
      <c r="BU177">
        <f t="shared" si="61"/>
        <v>-4.349660505202077E-2</v>
      </c>
      <c r="BV177">
        <f t="shared" si="62"/>
        <v>-4.9733768626987702E-2</v>
      </c>
    </row>
    <row r="178" spans="24:74">
      <c r="X178">
        <v>41</v>
      </c>
      <c r="Y178">
        <f t="shared" si="63"/>
        <v>-1.6214127002230579E-2</v>
      </c>
      <c r="Z178">
        <f t="shared" si="63"/>
        <v>-1.7298698122486945E-2</v>
      </c>
      <c r="AA178">
        <f t="shared" si="63"/>
        <v>-1.8476937328930888E-2</v>
      </c>
      <c r="AB178">
        <f t="shared" si="63"/>
        <v>-1.9772474480615122E-2</v>
      </c>
      <c r="AC178">
        <f t="shared" si="63"/>
        <v>-2.1219386515052958E-2</v>
      </c>
      <c r="AD178">
        <f t="shared" si="63"/>
        <v>-2.2869597299382049E-2</v>
      </c>
      <c r="AE178">
        <f t="shared" si="63"/>
        <v>-2.4808382581223316E-2</v>
      </c>
      <c r="AF178">
        <f t="shared" si="63"/>
        <v>-2.7191872627809092E-2</v>
      </c>
      <c r="AG178">
        <f t="shared" si="63"/>
        <v>-3.0360307384101729E-2</v>
      </c>
      <c r="AH178">
        <f t="shared" si="63"/>
        <v>-3.5354152717588988E-2</v>
      </c>
      <c r="AI178">
        <f t="shared" si="63"/>
        <v>-3.9924499049651868E-2</v>
      </c>
      <c r="AK178">
        <v>41</v>
      </c>
      <c r="AL178">
        <f t="shared" si="64"/>
        <v>-1.2178998539381675E-2</v>
      </c>
      <c r="AM178">
        <f t="shared" si="64"/>
        <v>-1.3705530292618799E-2</v>
      </c>
      <c r="AN178">
        <f t="shared" si="64"/>
        <v>-1.5363899695927677E-2</v>
      </c>
      <c r="AO178">
        <f t="shared" si="64"/>
        <v>-1.7187365730203873E-2</v>
      </c>
      <c r="AP178">
        <f t="shared" si="64"/>
        <v>-1.9223891619062305E-2</v>
      </c>
      <c r="AQ178">
        <f t="shared" si="64"/>
        <v>-2.1546560105032361E-2</v>
      </c>
      <c r="AR178">
        <f t="shared" si="64"/>
        <v>-2.4275396637891446E-2</v>
      </c>
      <c r="AS178">
        <f t="shared" si="64"/>
        <v>-2.7630154266674496E-2</v>
      </c>
      <c r="AT178">
        <f t="shared" si="64"/>
        <v>-3.2089720055589813E-2</v>
      </c>
      <c r="AU178">
        <f t="shared" si="64"/>
        <v>-3.9118547699941414E-2</v>
      </c>
      <c r="AV178">
        <f t="shared" si="64"/>
        <v>-4.5551301319211375E-2</v>
      </c>
      <c r="AX178">
        <v>41</v>
      </c>
      <c r="AY178">
        <f t="shared" si="65"/>
        <v>-1.0801102347771747E-2</v>
      </c>
      <c r="AZ178">
        <f t="shared" si="65"/>
        <v>-1.19137009289716E-2</v>
      </c>
      <c r="BA178">
        <f t="shared" si="65"/>
        <v>-1.3122388164801475E-2</v>
      </c>
      <c r="BB178">
        <f t="shared" si="65"/>
        <v>-1.4451404556566417E-2</v>
      </c>
      <c r="BC178">
        <f t="shared" si="65"/>
        <v>-1.5935707657183749E-2</v>
      </c>
      <c r="BD178">
        <f t="shared" si="65"/>
        <v>-1.7628563149123509E-2</v>
      </c>
      <c r="BE178">
        <f t="shared" si="65"/>
        <v>-1.961745047383659E-2</v>
      </c>
      <c r="BF178">
        <f t="shared" si="65"/>
        <v>-2.2062534613186049E-2</v>
      </c>
      <c r="BG178">
        <f t="shared" si="65"/>
        <v>-2.5312847984652394E-2</v>
      </c>
      <c r="BH178">
        <f t="shared" si="65"/>
        <v>-3.0435744149779956E-2</v>
      </c>
      <c r="BI178">
        <f t="shared" si="65"/>
        <v>-3.5124197262419693E-2</v>
      </c>
      <c r="BK178">
        <v>41</v>
      </c>
      <c r="BL178">
        <f t="shared" si="52"/>
        <v>-1.7592023193840504E-2</v>
      </c>
      <c r="BM178">
        <f t="shared" si="53"/>
        <v>-1.9090527486134143E-2</v>
      </c>
      <c r="BN178">
        <f t="shared" si="54"/>
        <v>-2.0718448860057088E-2</v>
      </c>
      <c r="BO178">
        <f t="shared" si="55"/>
        <v>-2.2508435654252576E-2</v>
      </c>
      <c r="BP178">
        <f t="shared" si="56"/>
        <v>-2.4507570476931511E-2</v>
      </c>
      <c r="BQ178">
        <f t="shared" si="57"/>
        <v>-2.6787594255290901E-2</v>
      </c>
      <c r="BR178">
        <f t="shared" si="58"/>
        <v>-2.9466328745278172E-2</v>
      </c>
      <c r="BS178">
        <f t="shared" si="59"/>
        <v>-3.2759492281297542E-2</v>
      </c>
      <c r="BT178">
        <f t="shared" si="60"/>
        <v>-3.7137179455039145E-2</v>
      </c>
      <c r="BU178">
        <f t="shared" si="61"/>
        <v>-4.4036956267750449E-2</v>
      </c>
      <c r="BV178">
        <f t="shared" si="62"/>
        <v>-5.0351603106443543E-2</v>
      </c>
    </row>
    <row r="179" spans="24:74">
      <c r="X179">
        <v>42</v>
      </c>
      <c r="Y179">
        <f t="shared" si="63"/>
        <v>-1.6410669050931647E-2</v>
      </c>
      <c r="Z179">
        <f t="shared" si="63"/>
        <v>-1.7508386967799872E-2</v>
      </c>
      <c r="AA179">
        <f t="shared" si="63"/>
        <v>-1.8700908383052377E-2</v>
      </c>
      <c r="AB179">
        <f t="shared" si="63"/>
        <v>-2.0012149588733808E-2</v>
      </c>
      <c r="AC179">
        <f t="shared" si="63"/>
        <v>-2.1476600591227062E-2</v>
      </c>
      <c r="AD179">
        <f t="shared" si="63"/>
        <v>-2.3146814660857669E-2</v>
      </c>
      <c r="AE179">
        <f t="shared" si="63"/>
        <v>-2.5109101228413061E-2</v>
      </c>
      <c r="AF179">
        <f t="shared" si="63"/>
        <v>-2.7521483118312397E-2</v>
      </c>
      <c r="AG179">
        <f t="shared" si="63"/>
        <v>-3.0728324546644283E-2</v>
      </c>
      <c r="AH179">
        <f t="shared" si="63"/>
        <v>-3.578270354886405E-2</v>
      </c>
      <c r="AI179">
        <f t="shared" si="63"/>
        <v>-4.0408450041000521E-2</v>
      </c>
      <c r="AK179">
        <v>42</v>
      </c>
      <c r="AL179">
        <f t="shared" si="64"/>
        <v>-1.2326628154206333E-2</v>
      </c>
      <c r="AM179">
        <f t="shared" si="64"/>
        <v>-1.3871663998237072E-2</v>
      </c>
      <c r="AN179">
        <f t="shared" si="64"/>
        <v>-1.5550135582809526E-2</v>
      </c>
      <c r="AO179">
        <f t="shared" si="64"/>
        <v>-1.7395705042701184E-2</v>
      </c>
      <c r="AP179">
        <f t="shared" si="64"/>
        <v>-1.945691699516168E-2</v>
      </c>
      <c r="AQ179">
        <f t="shared" si="64"/>
        <v>-2.18077400664895E-2</v>
      </c>
      <c r="AR179">
        <f t="shared" si="64"/>
        <v>-2.4569654613518861E-2</v>
      </c>
      <c r="AS179">
        <f t="shared" si="64"/>
        <v>-2.7965077455863262E-2</v>
      </c>
      <c r="AT179">
        <f t="shared" si="64"/>
        <v>-3.2478700561361214E-2</v>
      </c>
      <c r="AU179">
        <f t="shared" si="64"/>
        <v>-3.9592729227327948E-2</v>
      </c>
      <c r="AV179">
        <f t="shared" si="64"/>
        <v>-4.6103458464708376E-2</v>
      </c>
      <c r="AX179">
        <v>42</v>
      </c>
      <c r="AY179">
        <f t="shared" si="65"/>
        <v>-1.0932029580756225E-2</v>
      </c>
      <c r="AZ179">
        <f t="shared" si="65"/>
        <v>-1.2058114697771473E-2</v>
      </c>
      <c r="BA179">
        <f t="shared" si="65"/>
        <v>-1.3281453222908267E-2</v>
      </c>
      <c r="BB179">
        <f t="shared" si="65"/>
        <v>-1.4626579492458111E-2</v>
      </c>
      <c r="BC179">
        <f t="shared" si="65"/>
        <v>-1.6128874802723767E-2</v>
      </c>
      <c r="BD179">
        <f t="shared" si="65"/>
        <v>-1.7842250504385263E-2</v>
      </c>
      <c r="BE179">
        <f t="shared" si="65"/>
        <v>-1.9855246434475674E-2</v>
      </c>
      <c r="BF179">
        <f t="shared" si="65"/>
        <v>-2.2329969039462425E-2</v>
      </c>
      <c r="BG179">
        <f t="shared" si="65"/>
        <v>-2.5619681587268055E-2</v>
      </c>
      <c r="BH179">
        <f t="shared" si="65"/>
        <v>-3.0804675730747366E-2</v>
      </c>
      <c r="BI179">
        <f t="shared" si="65"/>
        <v>-3.5549960653071977E-2</v>
      </c>
      <c r="BK179">
        <v>42</v>
      </c>
      <c r="BL179">
        <f t="shared" si="52"/>
        <v>-1.7805267624381754E-2</v>
      </c>
      <c r="BM179">
        <f t="shared" si="53"/>
        <v>-1.932193626826547E-2</v>
      </c>
      <c r="BN179">
        <f t="shared" si="54"/>
        <v>-2.0969590742953632E-2</v>
      </c>
      <c r="BO179">
        <f t="shared" si="55"/>
        <v>-2.2781275138976882E-2</v>
      </c>
      <c r="BP179">
        <f t="shared" si="56"/>
        <v>-2.4804642783664978E-2</v>
      </c>
      <c r="BQ179">
        <f t="shared" si="57"/>
        <v>-2.7112304222961906E-2</v>
      </c>
      <c r="BR179">
        <f t="shared" si="58"/>
        <v>-2.9823509407456244E-2</v>
      </c>
      <c r="BS179">
        <f t="shared" si="59"/>
        <v>-3.3156591534713231E-2</v>
      </c>
      <c r="BT179">
        <f t="shared" si="60"/>
        <v>-3.7587343520737435E-2</v>
      </c>
      <c r="BU179">
        <f t="shared" si="61"/>
        <v>-4.4570757045444623E-2</v>
      </c>
      <c r="BV179">
        <f t="shared" si="62"/>
        <v>-5.0961947852636913E-2</v>
      </c>
    </row>
    <row r="180" spans="24:74">
      <c r="X180">
        <v>43</v>
      </c>
      <c r="Y180">
        <f t="shared" si="63"/>
        <v>-1.6604884912396978E-2</v>
      </c>
      <c r="Z180">
        <f t="shared" si="63"/>
        <v>-1.7715594026041448E-2</v>
      </c>
      <c r="AA180">
        <f t="shared" si="63"/>
        <v>-1.892222861201602E-2</v>
      </c>
      <c r="AB180">
        <f t="shared" si="63"/>
        <v>-2.0248988005259448E-2</v>
      </c>
      <c r="AC180">
        <f t="shared" si="63"/>
        <v>-2.1730770392118584E-2</v>
      </c>
      <c r="AD180">
        <f t="shared" si="63"/>
        <v>-2.3420750996761143E-2</v>
      </c>
      <c r="AE180">
        <f t="shared" si="63"/>
        <v>-2.5406260698911283E-2</v>
      </c>
      <c r="AF180">
        <f t="shared" si="63"/>
        <v>-2.7847192480681331E-2</v>
      </c>
      <c r="AG180">
        <f t="shared" si="63"/>
        <v>-3.1091986016185281E-2</v>
      </c>
      <c r="AH180">
        <f t="shared" si="63"/>
        <v>-3.6206182236645318E-2</v>
      </c>
      <c r="AI180">
        <f t="shared" si="63"/>
        <v>-4.088667319636579E-2</v>
      </c>
      <c r="AK180">
        <v>43</v>
      </c>
      <c r="AL180">
        <f t="shared" si="64"/>
        <v>-1.2472510488345297E-2</v>
      </c>
      <c r="AM180">
        <f t="shared" si="64"/>
        <v>-1.403583141670209E-2</v>
      </c>
      <c r="AN180">
        <f t="shared" si="64"/>
        <v>-1.5734167261758445E-2</v>
      </c>
      <c r="AO180">
        <f t="shared" si="64"/>
        <v>-1.7601578540617661E-2</v>
      </c>
      <c r="AP180">
        <f t="shared" si="64"/>
        <v>-1.9687184383038851E-2</v>
      </c>
      <c r="AQ180">
        <f t="shared" si="64"/>
        <v>-2.2065828814149962E-2</v>
      </c>
      <c r="AR180">
        <f t="shared" si="64"/>
        <v>-2.4860429878187262E-2</v>
      </c>
      <c r="AS180">
        <f t="shared" si="64"/>
        <v>-2.8296036638098845E-2</v>
      </c>
      <c r="AT180">
        <f t="shared" si="64"/>
        <v>-3.2863077261008393E-2</v>
      </c>
      <c r="AU180">
        <f t="shared" si="64"/>
        <v>-4.0061298545908688E-2</v>
      </c>
      <c r="AV180">
        <f t="shared" si="64"/>
        <v>-4.6649080515489182E-2</v>
      </c>
      <c r="AX180">
        <v>43</v>
      </c>
      <c r="AY180">
        <f t="shared" si="65"/>
        <v>-1.1061407215269579E-2</v>
      </c>
      <c r="AZ180">
        <f t="shared" si="65"/>
        <v>-1.2200819247257376E-2</v>
      </c>
      <c r="BA180">
        <f t="shared" si="65"/>
        <v>-1.3438635655336406E-2</v>
      </c>
      <c r="BB180">
        <f t="shared" si="65"/>
        <v>-1.4799681133079985E-2</v>
      </c>
      <c r="BC180">
        <f t="shared" si="65"/>
        <v>-1.6319755704931688E-2</v>
      </c>
      <c r="BD180">
        <f t="shared" si="65"/>
        <v>-1.8053408747930044E-2</v>
      </c>
      <c r="BE180">
        <f t="shared" si="65"/>
        <v>-2.0090227944303832E-2</v>
      </c>
      <c r="BF180">
        <f t="shared" si="65"/>
        <v>-2.2594238226784018E-2</v>
      </c>
      <c r="BG180">
        <f t="shared" si="65"/>
        <v>-2.5922883639207323E-2</v>
      </c>
      <c r="BH180">
        <f t="shared" si="65"/>
        <v>-3.1169240796049661E-2</v>
      </c>
      <c r="BI180">
        <f t="shared" si="65"/>
        <v>-3.5970684891179931E-2</v>
      </c>
      <c r="BK180">
        <v>43</v>
      </c>
      <c r="BL180">
        <f t="shared" si="52"/>
        <v>-1.8015988185472696E-2</v>
      </c>
      <c r="BM180">
        <f t="shared" si="53"/>
        <v>-1.955060619548616E-2</v>
      </c>
      <c r="BN180">
        <f t="shared" si="54"/>
        <v>-2.1217760218438055E-2</v>
      </c>
      <c r="BO180">
        <f t="shared" si="55"/>
        <v>-2.3050885412797123E-2</v>
      </c>
      <c r="BP180">
        <f t="shared" si="56"/>
        <v>-2.5098199070225743E-2</v>
      </c>
      <c r="BQ180">
        <f t="shared" si="57"/>
        <v>-2.7433171062981057E-2</v>
      </c>
      <c r="BR180">
        <f t="shared" si="58"/>
        <v>-3.0176462632794714E-2</v>
      </c>
      <c r="BS180">
        <f t="shared" si="59"/>
        <v>-3.3548990891996158E-2</v>
      </c>
      <c r="BT180">
        <f t="shared" si="60"/>
        <v>-3.8032179637986357E-2</v>
      </c>
      <c r="BU180">
        <f t="shared" si="61"/>
        <v>-4.5098239986504349E-2</v>
      </c>
      <c r="BV180">
        <f t="shared" si="62"/>
        <v>-5.156506882067504E-2</v>
      </c>
    </row>
    <row r="181" spans="24:74">
      <c r="X181">
        <v>44</v>
      </c>
      <c r="Y181">
        <f t="shared" si="63"/>
        <v>-1.6796855277363434E-2</v>
      </c>
      <c r="Z181">
        <f t="shared" si="63"/>
        <v>-1.7920405385392555E-2</v>
      </c>
      <c r="AA181">
        <f t="shared" si="63"/>
        <v>-1.91409899675925E-2</v>
      </c>
      <c r="AB181">
        <f t="shared" si="63"/>
        <v>-2.0483088129293964E-2</v>
      </c>
      <c r="AC181">
        <f t="shared" si="63"/>
        <v>-2.1982001517488369E-2</v>
      </c>
      <c r="AD181">
        <f t="shared" si="63"/>
        <v>-2.3691520119242686E-2</v>
      </c>
      <c r="AE181">
        <f t="shared" si="63"/>
        <v>-2.5699984453368723E-2</v>
      </c>
      <c r="AF181">
        <f t="shared" si="63"/>
        <v>-2.8169136037171531E-2</v>
      </c>
      <c r="AG181">
        <f t="shared" si="63"/>
        <v>-3.1451442882917478E-2</v>
      </c>
      <c r="AH181">
        <f t="shared" si="63"/>
        <v>-3.6624764723346061E-2</v>
      </c>
      <c r="AI181">
        <f t="shared" si="63"/>
        <v>-4.1359367202809069E-2</v>
      </c>
      <c r="AK181">
        <v>44</v>
      </c>
      <c r="AL181">
        <f t="shared" si="64"/>
        <v>-1.2616706151436464E-2</v>
      </c>
      <c r="AM181">
        <f t="shared" si="64"/>
        <v>-1.4198100754543768E-2</v>
      </c>
      <c r="AN181">
        <f t="shared" si="64"/>
        <v>-1.5916071192295655E-2</v>
      </c>
      <c r="AO181">
        <f t="shared" si="64"/>
        <v>-1.7805071758080757E-2</v>
      </c>
      <c r="AP181">
        <f t="shared" si="64"/>
        <v>-1.9914789451734763E-2</v>
      </c>
      <c r="AQ181">
        <f t="shared" si="64"/>
        <v>-2.2320933575976837E-2</v>
      </c>
      <c r="AR181">
        <f t="shared" si="64"/>
        <v>-2.514784324010557E-2</v>
      </c>
      <c r="AS181">
        <f t="shared" si="64"/>
        <v>-2.8623169316776102E-2</v>
      </c>
      <c r="AT181">
        <f t="shared" si="64"/>
        <v>-3.3243009851267213E-2</v>
      </c>
      <c r="AU181">
        <f t="shared" si="64"/>
        <v>-4.0524450331871777E-2</v>
      </c>
      <c r="AV181">
        <f t="shared" si="64"/>
        <v>-4.7188394160790154E-2</v>
      </c>
      <c r="AX181">
        <v>44</v>
      </c>
      <c r="AY181">
        <f t="shared" si="65"/>
        <v>-1.1189289003752951E-2</v>
      </c>
      <c r="AZ181">
        <f t="shared" si="65"/>
        <v>-1.2341873866795094E-2</v>
      </c>
      <c r="BA181">
        <f t="shared" si="65"/>
        <v>-1.3594000766568227E-2</v>
      </c>
      <c r="BB181">
        <f t="shared" si="65"/>
        <v>-1.4970781396857386E-2</v>
      </c>
      <c r="BC181">
        <f t="shared" si="65"/>
        <v>-1.6508429668971036E-2</v>
      </c>
      <c r="BD181">
        <f t="shared" si="65"/>
        <v>-1.8262125609535104E-2</v>
      </c>
      <c r="BE181">
        <f t="shared" si="65"/>
        <v>-2.0322492630935166E-2</v>
      </c>
      <c r="BF181">
        <f t="shared" si="65"/>
        <v>-2.2855451970897143E-2</v>
      </c>
      <c r="BG181">
        <f t="shared" si="65"/>
        <v>-2.6222580111628296E-2</v>
      </c>
      <c r="BH181">
        <f t="shared" si="65"/>
        <v>-3.1529590811295943E-2</v>
      </c>
      <c r="BI181">
        <f t="shared" si="65"/>
        <v>-3.6386544774767424E-2</v>
      </c>
      <c r="BK181">
        <v>44</v>
      </c>
      <c r="BL181">
        <f t="shared" si="52"/>
        <v>-1.8224272425046945E-2</v>
      </c>
      <c r="BM181">
        <f t="shared" si="53"/>
        <v>-1.9776632273141231E-2</v>
      </c>
      <c r="BN181">
        <f t="shared" si="54"/>
        <v>-2.1463060393319931E-2</v>
      </c>
      <c r="BO181">
        <f t="shared" si="55"/>
        <v>-2.3317378490517331E-2</v>
      </c>
      <c r="BP181">
        <f t="shared" si="56"/>
        <v>-2.5388361300252099E-2</v>
      </c>
      <c r="BQ181">
        <f t="shared" si="57"/>
        <v>-2.7750328085684419E-2</v>
      </c>
      <c r="BR181">
        <f t="shared" si="58"/>
        <v>-3.0525335062539124E-2</v>
      </c>
      <c r="BS181">
        <f t="shared" si="59"/>
        <v>-3.3936853383050497E-2</v>
      </c>
      <c r="BT181">
        <f t="shared" si="60"/>
        <v>-3.84718726225564E-2</v>
      </c>
      <c r="BU181">
        <f t="shared" si="61"/>
        <v>-4.5619624243921894E-2</v>
      </c>
      <c r="BV181">
        <f t="shared" si="62"/>
        <v>-5.2161216588831799E-2</v>
      </c>
    </row>
    <row r="182" spans="24:74">
      <c r="X182">
        <v>45</v>
      </c>
      <c r="Y182">
        <f t="shared" si="63"/>
        <v>-1.6986656276720115E-2</v>
      </c>
      <c r="Z182">
        <f t="shared" si="63"/>
        <v>-1.8122902269175806E-2</v>
      </c>
      <c r="AA182">
        <f t="shared" si="63"/>
        <v>-1.9357279205341742E-2</v>
      </c>
      <c r="AB182">
        <f t="shared" si="63"/>
        <v>-2.071454279938869E-2</v>
      </c>
      <c r="AC182">
        <f t="shared" si="63"/>
        <v>-2.2230393599636158E-2</v>
      </c>
      <c r="AD182">
        <f t="shared" si="63"/>
        <v>-2.3959229408907826E-2</v>
      </c>
      <c r="AE182">
        <f t="shared" si="63"/>
        <v>-2.5990388975652978E-2</v>
      </c>
      <c r="AF182">
        <f t="shared" si="63"/>
        <v>-2.8487441462954104E-2</v>
      </c>
      <c r="AG182">
        <f t="shared" si="63"/>
        <v>-3.180683769890022E-2</v>
      </c>
      <c r="AH182">
        <f t="shared" si="63"/>
        <v>-3.7038617008842777E-2</v>
      </c>
      <c r="AI182">
        <f t="shared" si="63"/>
        <v>-4.1826719519550901E-2</v>
      </c>
      <c r="AK182">
        <v>45</v>
      </c>
      <c r="AL182">
        <f t="shared" si="64"/>
        <v>-1.2759272328056407E-2</v>
      </c>
      <c r="AM182">
        <f t="shared" si="64"/>
        <v>-1.4358536363928994E-2</v>
      </c>
      <c r="AN182">
        <f t="shared" si="64"/>
        <v>-1.6095919513201353E-2</v>
      </c>
      <c r="AO182">
        <f t="shared" si="64"/>
        <v>-1.8006265395669307E-2</v>
      </c>
      <c r="AP182">
        <f t="shared" si="64"/>
        <v>-2.0139822464016004E-2</v>
      </c>
      <c r="AQ182">
        <f t="shared" si="64"/>
        <v>-2.2573155520462122E-2</v>
      </c>
      <c r="AR182">
        <f t="shared" si="64"/>
        <v>-2.5432008680589521E-2</v>
      </c>
      <c r="AS182">
        <f t="shared" si="64"/>
        <v>-2.8946605224948813E-2</v>
      </c>
      <c r="AT182">
        <f t="shared" si="64"/>
        <v>-3.3618649004382835E-2</v>
      </c>
      <c r="AU182">
        <f t="shared" si="64"/>
        <v>-4.0982368260219657E-2</v>
      </c>
      <c r="AV182">
        <f t="shared" si="64"/>
        <v>-4.7721613279598972E-2</v>
      </c>
      <c r="AX182">
        <v>45</v>
      </c>
      <c r="AY182">
        <f t="shared" si="65"/>
        <v>-1.131572566108756E-2</v>
      </c>
      <c r="AZ182">
        <f t="shared" si="65"/>
        <v>-1.2481334495297902E-2</v>
      </c>
      <c r="BA182">
        <f t="shared" si="65"/>
        <v>-1.3747610170718261E-2</v>
      </c>
      <c r="BB182">
        <f t="shared" si="65"/>
        <v>-1.5139948138092772E-2</v>
      </c>
      <c r="BC182">
        <f t="shared" si="65"/>
        <v>-1.6694971518456569E-2</v>
      </c>
      <c r="BD182">
        <f t="shared" si="65"/>
        <v>-1.8468483861352528E-2</v>
      </c>
      <c r="BE182">
        <f t="shared" si="65"/>
        <v>-2.0552132605030114E-2</v>
      </c>
      <c r="BF182">
        <f t="shared" si="65"/>
        <v>-2.3113713862971133E-2</v>
      </c>
      <c r="BG182">
        <f t="shared" si="65"/>
        <v>-2.6518889857036716E-2</v>
      </c>
      <c r="BH182">
        <f t="shared" si="65"/>
        <v>-3.1885868682747037E-2</v>
      </c>
      <c r="BI182">
        <f t="shared" si="65"/>
        <v>-3.6797705223991201E-2</v>
      </c>
      <c r="BK182">
        <v>45</v>
      </c>
      <c r="BL182">
        <f t="shared" si="52"/>
        <v>-1.843020294368896E-2</v>
      </c>
      <c r="BM182">
        <f t="shared" si="53"/>
        <v>-2.0000104137806896E-2</v>
      </c>
      <c r="BN182">
        <f t="shared" si="54"/>
        <v>-2.1705588547824832E-2</v>
      </c>
      <c r="BO182">
        <f t="shared" si="55"/>
        <v>-2.3580860056965219E-2</v>
      </c>
      <c r="BP182">
        <f t="shared" si="56"/>
        <v>-2.5675244545195593E-2</v>
      </c>
      <c r="BQ182">
        <f t="shared" si="57"/>
        <v>-2.8063901068017424E-2</v>
      </c>
      <c r="BR182">
        <f t="shared" si="58"/>
        <v>-3.0870265051212386E-2</v>
      </c>
      <c r="BS182">
        <f t="shared" si="59"/>
        <v>-3.4320332824931785E-2</v>
      </c>
      <c r="BT182">
        <f t="shared" si="60"/>
        <v>-3.8906596846246332E-2</v>
      </c>
      <c r="BU182">
        <f t="shared" si="61"/>
        <v>-4.6135116586315389E-2</v>
      </c>
      <c r="BV182">
        <f t="shared" si="62"/>
        <v>-5.2750627575158665E-2</v>
      </c>
    </row>
    <row r="183" spans="24:74">
      <c r="X183">
        <v>46</v>
      </c>
      <c r="Y183">
        <f t="shared" si="63"/>
        <v>-1.7174359834304678E-2</v>
      </c>
      <c r="Z183">
        <f t="shared" si="63"/>
        <v>-1.8323161412250578E-2</v>
      </c>
      <c r="AA183">
        <f t="shared" si="63"/>
        <v>-1.9571178286644744E-2</v>
      </c>
      <c r="AB183">
        <f t="shared" si="63"/>
        <v>-2.0943439723765247E-2</v>
      </c>
      <c r="AC183">
        <f t="shared" si="63"/>
        <v>-2.2476040765104236E-2</v>
      </c>
      <c r="AD183">
        <f t="shared" si="63"/>
        <v>-2.4223980312427319E-2</v>
      </c>
      <c r="AE183">
        <f t="shared" si="63"/>
        <v>-2.6277584312643616E-2</v>
      </c>
      <c r="AF183">
        <f t="shared" si="63"/>
        <v>-2.8802229377772087E-2</v>
      </c>
      <c r="AG183">
        <f t="shared" si="63"/>
        <v>-3.215830513865648E-2</v>
      </c>
      <c r="AH183">
        <f t="shared" si="63"/>
        <v>-3.7447895919731196E-2</v>
      </c>
      <c r="AI183">
        <f t="shared" si="63"/>
        <v>-4.2288907246671226E-2</v>
      </c>
      <c r="AK183">
        <v>46</v>
      </c>
      <c r="AL183">
        <f t="shared" si="64"/>
        <v>-1.2900263042718052E-2</v>
      </c>
      <c r="AM183">
        <f t="shared" si="64"/>
        <v>-1.4517199040874455E-2</v>
      </c>
      <c r="AN183">
        <f t="shared" si="64"/>
        <v>-1.6273780376811296E-2</v>
      </c>
      <c r="AO183">
        <f t="shared" si="64"/>
        <v>-1.8205235694386125E-2</v>
      </c>
      <c r="AP183">
        <f t="shared" si="64"/>
        <v>-2.0362368694659301E-2</v>
      </c>
      <c r="AQ183">
        <f t="shared" si="64"/>
        <v>-2.2822590225449187E-2</v>
      </c>
      <c r="AR183">
        <f t="shared" si="64"/>
        <v>-2.5713033882259755E-2</v>
      </c>
      <c r="AS183">
        <f t="shared" si="64"/>
        <v>-2.9266466926522485E-2</v>
      </c>
      <c r="AT183">
        <f t="shared" si="64"/>
        <v>-3.3990137066336364E-2</v>
      </c>
      <c r="AU183">
        <f t="shared" si="64"/>
        <v>-4.1435225855932969E-2</v>
      </c>
      <c r="AV183">
        <f t="shared" si="64"/>
        <v>-4.8248939931786056E-2</v>
      </c>
      <c r="AX183">
        <v>46</v>
      </c>
      <c r="AY183">
        <f t="shared" si="65"/>
        <v>-1.1440765099611314E-2</v>
      </c>
      <c r="AZ183">
        <f t="shared" si="65"/>
        <v>-1.2619253980451734E-2</v>
      </c>
      <c r="BA183">
        <f t="shared" si="65"/>
        <v>-1.3899522077057712E-2</v>
      </c>
      <c r="BB183">
        <f t="shared" si="65"/>
        <v>-1.5307245461407689E-2</v>
      </c>
      <c r="BC183">
        <f t="shared" si="65"/>
        <v>-1.6879451942192578E-2</v>
      </c>
      <c r="BD183">
        <f t="shared" si="65"/>
        <v>-1.8672561701481658E-2</v>
      </c>
      <c r="BE183">
        <f t="shared" si="65"/>
        <v>-2.0779234887143207E-2</v>
      </c>
      <c r="BF183">
        <f t="shared" si="65"/>
        <v>-2.3369121769647696E-2</v>
      </c>
      <c r="BG183">
        <f t="shared" si="65"/>
        <v>-2.6811925160057527E-2</v>
      </c>
      <c r="BH183">
        <f t="shared" si="65"/>
        <v>-3.2238209419553986E-2</v>
      </c>
      <c r="BI183">
        <f t="shared" si="65"/>
        <v>-3.7204322045393375E-2</v>
      </c>
      <c r="BK183">
        <v>46</v>
      </c>
      <c r="BL183">
        <f t="shared" si="52"/>
        <v>-1.8633857777411413E-2</v>
      </c>
      <c r="BM183">
        <f t="shared" si="53"/>
        <v>-2.0221106472673302E-2</v>
      </c>
      <c r="BN183">
        <f t="shared" si="54"/>
        <v>-2.1945436586398324E-2</v>
      </c>
      <c r="BO183">
        <f t="shared" si="55"/>
        <v>-2.3841429956743682E-2</v>
      </c>
      <c r="BP183">
        <f t="shared" si="56"/>
        <v>-2.5958957517570963E-2</v>
      </c>
      <c r="BQ183">
        <f t="shared" si="57"/>
        <v>-2.8374008836394845E-2</v>
      </c>
      <c r="BR183">
        <f t="shared" si="58"/>
        <v>-3.1211383307760167E-2</v>
      </c>
      <c r="BS183">
        <f t="shared" si="59"/>
        <v>-3.4699574534646879E-2</v>
      </c>
      <c r="BT183">
        <f t="shared" si="60"/>
        <v>-3.9336517044935321E-2</v>
      </c>
      <c r="BU183">
        <f t="shared" si="61"/>
        <v>-4.6644912356110187E-2</v>
      </c>
      <c r="BV183">
        <f t="shared" si="62"/>
        <v>-5.3333525133063907E-2</v>
      </c>
    </row>
    <row r="184" spans="24:74">
      <c r="X184">
        <v>47</v>
      </c>
      <c r="Y184">
        <f t="shared" si="63"/>
        <v>-1.7360033985361917E-2</v>
      </c>
      <c r="Z184">
        <f t="shared" si="63"/>
        <v>-1.852125540077345E-2</v>
      </c>
      <c r="AA184">
        <f t="shared" si="63"/>
        <v>-1.9782764741605601E-2</v>
      </c>
      <c r="AB184">
        <f t="shared" si="63"/>
        <v>-2.116986186866297E-2</v>
      </c>
      <c r="AC184">
        <f t="shared" si="63"/>
        <v>-2.2719032051443357E-2</v>
      </c>
      <c r="AD184">
        <f t="shared" si="63"/>
        <v>-2.4485868791714521E-2</v>
      </c>
      <c r="AE184">
        <f t="shared" si="63"/>
        <v>-2.6561674561488845E-2</v>
      </c>
      <c r="AF184">
        <f t="shared" si="63"/>
        <v>-2.9113613880010811E-2</v>
      </c>
      <c r="AG184">
        <f t="shared" si="63"/>
        <v>-3.2505972595473887E-2</v>
      </c>
      <c r="AH184">
        <f t="shared" si="63"/>
        <v>-3.7852749803710471E-2</v>
      </c>
      <c r="AI184">
        <f t="shared" si="63"/>
        <v>-4.2746097909258852E-2</v>
      </c>
      <c r="AK184">
        <v>47</v>
      </c>
      <c r="AL184">
        <f t="shared" si="64"/>
        <v>-1.3039729399076057E-2</v>
      </c>
      <c r="AM184">
        <f t="shared" si="64"/>
        <v>-1.4674146294434341E-2</v>
      </c>
      <c r="AN184">
        <f t="shared" si="64"/>
        <v>-1.6449718250776235E-2</v>
      </c>
      <c r="AO184">
        <f t="shared" si="64"/>
        <v>-1.8402054773231806E-2</v>
      </c>
      <c r="AP184">
        <f t="shared" si="64"/>
        <v>-2.0582508808024313E-2</v>
      </c>
      <c r="AQ184">
        <f t="shared" si="64"/>
        <v>-2.3069328101324671E-2</v>
      </c>
      <c r="AR184">
        <f t="shared" si="64"/>
        <v>-2.5991020705830224E-2</v>
      </c>
      <c r="AS184">
        <f t="shared" si="64"/>
        <v>-2.9582870358932974E-2</v>
      </c>
      <c r="AT184">
        <f t="shared" si="64"/>
        <v>-3.4357608687112892E-2</v>
      </c>
      <c r="AU184">
        <f t="shared" si="64"/>
        <v>-4.1883187262290497E-2</v>
      </c>
      <c r="AV184">
        <f t="shared" si="64"/>
        <v>-4.8770565252769016E-2</v>
      </c>
      <c r="AX184">
        <v>47</v>
      </c>
      <c r="AY184">
        <f t="shared" si="65"/>
        <v>-1.1564452641261196E-2</v>
      </c>
      <c r="AZ184">
        <f t="shared" si="65"/>
        <v>-1.2755682312709914E-2</v>
      </c>
      <c r="BA184">
        <f t="shared" si="65"/>
        <v>-1.4049791547748788E-2</v>
      </c>
      <c r="BB184">
        <f t="shared" si="65"/>
        <v>-1.5472734005580068E-2</v>
      </c>
      <c r="BC184">
        <f t="shared" si="65"/>
        <v>-1.7061937807163099E-2</v>
      </c>
      <c r="BD184">
        <f t="shared" si="65"/>
        <v>-1.8874433100208348E-2</v>
      </c>
      <c r="BE184">
        <f t="shared" si="65"/>
        <v>-2.100388179302571E-2</v>
      </c>
      <c r="BF184">
        <f t="shared" si="65"/>
        <v>-2.362176826636693E-2</v>
      </c>
      <c r="BG184">
        <f t="shared" si="65"/>
        <v>-2.7101792234599666E-2</v>
      </c>
      <c r="BH184">
        <f t="shared" si="65"/>
        <v>-3.2586740731540643E-2</v>
      </c>
      <c r="BI184">
        <f t="shared" si="65"/>
        <v>-3.7606542621769122E-2</v>
      </c>
      <c r="BK184">
        <v>47</v>
      </c>
      <c r="BL184">
        <f t="shared" si="52"/>
        <v>-1.8835310743176778E-2</v>
      </c>
      <c r="BM184">
        <f t="shared" si="53"/>
        <v>-2.0439719382497879E-2</v>
      </c>
      <c r="BN184">
        <f t="shared" si="54"/>
        <v>-2.218269144463305E-2</v>
      </c>
      <c r="BO184">
        <f t="shared" si="55"/>
        <v>-2.4099182636314706E-2</v>
      </c>
      <c r="BP184">
        <f t="shared" si="56"/>
        <v>-2.6239603052304571E-2</v>
      </c>
      <c r="BQ184">
        <f t="shared" si="57"/>
        <v>-2.8680763792830844E-2</v>
      </c>
      <c r="BR184">
        <f t="shared" si="58"/>
        <v>-3.1548813474293357E-2</v>
      </c>
      <c r="BS184">
        <f t="shared" si="59"/>
        <v>-3.5074715972576859E-2</v>
      </c>
      <c r="BT184">
        <f t="shared" si="60"/>
        <v>-3.9761789047987113E-2</v>
      </c>
      <c r="BU184">
        <f t="shared" si="61"/>
        <v>-4.7149196334460318E-2</v>
      </c>
      <c r="BV184">
        <f t="shared" si="62"/>
        <v>-5.3910120540258739E-2</v>
      </c>
    </row>
    <row r="185" spans="24:74">
      <c r="X185">
        <v>48</v>
      </c>
      <c r="Y185">
        <f t="shared" si="63"/>
        <v>-1.7543743164663114E-2</v>
      </c>
      <c r="Z185">
        <f t="shared" si="63"/>
        <v>-1.871725297959E-2</v>
      </c>
      <c r="AA185">
        <f t="shared" si="63"/>
        <v>-1.9992111997380185E-2</v>
      </c>
      <c r="AB185">
        <f t="shared" si="63"/>
        <v>-2.1393887809688837E-2</v>
      </c>
      <c r="AC185">
        <f t="shared" si="63"/>
        <v>-2.2959451784273808E-2</v>
      </c>
      <c r="AD185">
        <f t="shared" si="63"/>
        <v>-2.4744985730310129E-2</v>
      </c>
      <c r="AE185">
        <f t="shared" si="63"/>
        <v>-2.6842758310441819E-2</v>
      </c>
      <c r="AF185">
        <f t="shared" si="63"/>
        <v>-2.9421703029887971E-2</v>
      </c>
      <c r="AG185">
        <f t="shared" si="63"/>
        <v>-3.2849960720896743E-2</v>
      </c>
      <c r="AH185">
        <f t="shared" si="63"/>
        <v>-3.8253319157814089E-2</v>
      </c>
      <c r="AI185">
        <f t="shared" si="63"/>
        <v>-4.319845016685582E-2</v>
      </c>
      <c r="AK185">
        <v>48</v>
      </c>
      <c r="AL185">
        <f t="shared" si="64"/>
        <v>-1.3177719796343359E-2</v>
      </c>
      <c r="AM185">
        <f t="shared" si="64"/>
        <v>-1.4829432590242823E-2</v>
      </c>
      <c r="AN185">
        <f t="shared" si="64"/>
        <v>-1.6623794191073019E-2</v>
      </c>
      <c r="AO185">
        <f t="shared" si="64"/>
        <v>-1.8596790934618166E-2</v>
      </c>
      <c r="AP185">
        <f t="shared" si="64"/>
        <v>-2.0800319199655467E-2</v>
      </c>
      <c r="AQ185">
        <f t="shared" si="64"/>
        <v>-2.331345477389328E-2</v>
      </c>
      <c r="AR185">
        <f t="shared" si="64"/>
        <v>-2.6266065621473513E-2</v>
      </c>
      <c r="AS185">
        <f t="shared" si="64"/>
        <v>-2.9895925324124623E-2</v>
      </c>
      <c r="AT185">
        <f t="shared" si="64"/>
        <v>-3.4721191390924604E-2</v>
      </c>
      <c r="AU185">
        <f t="shared" si="64"/>
        <v>-4.2326407935992037E-2</v>
      </c>
      <c r="AV185">
        <f t="shared" si="64"/>
        <v>-4.9286670262943331E-2</v>
      </c>
      <c r="AX185">
        <v>48</v>
      </c>
      <c r="AY185">
        <f t="shared" si="65"/>
        <v>-1.1686831209505075E-2</v>
      </c>
      <c r="AZ185">
        <f t="shared" si="65"/>
        <v>-1.2890666836995445E-2</v>
      </c>
      <c r="BA185">
        <f t="shared" si="65"/>
        <v>-1.4198470731024938E-2</v>
      </c>
      <c r="BB185">
        <f t="shared" si="65"/>
        <v>-1.5636471200340608E-2</v>
      </c>
      <c r="BC185">
        <f t="shared" si="65"/>
        <v>-1.7242492441703849E-2</v>
      </c>
      <c r="BD185">
        <f t="shared" si="65"/>
        <v>-1.9074168113258343E-2</v>
      </c>
      <c r="BE185">
        <f t="shared" si="65"/>
        <v>-2.1226151282220818E-2</v>
      </c>
      <c r="BF185">
        <f t="shared" si="65"/>
        <v>-2.3871741029410851E-2</v>
      </c>
      <c r="BG185">
        <f t="shared" si="65"/>
        <v>-2.7388591673656527E-2</v>
      </c>
      <c r="BH185">
        <f t="shared" si="65"/>
        <v>-3.2931583570036241E-2</v>
      </c>
      <c r="BI185">
        <f t="shared" si="65"/>
        <v>-3.800450653631135E-2</v>
      </c>
      <c r="BK185">
        <v>48</v>
      </c>
      <c r="BL185">
        <f t="shared" si="52"/>
        <v>-1.9034631751501399E-2</v>
      </c>
      <c r="BM185">
        <f t="shared" si="53"/>
        <v>-2.0656018732837379E-2</v>
      </c>
      <c r="BN185">
        <f t="shared" si="54"/>
        <v>-2.2417435457428261E-2</v>
      </c>
      <c r="BO185">
        <f t="shared" si="55"/>
        <v>-2.4354207543966399E-2</v>
      </c>
      <c r="BP185">
        <f t="shared" si="56"/>
        <v>-2.6517278542225426E-2</v>
      </c>
      <c r="BQ185">
        <f t="shared" si="57"/>
        <v>-2.8984272390945066E-2</v>
      </c>
      <c r="BR185">
        <f t="shared" si="58"/>
        <v>-3.1882672649694521E-2</v>
      </c>
      <c r="BS185">
        <f t="shared" si="59"/>
        <v>-3.5445887324601744E-2</v>
      </c>
      <c r="BT185">
        <f t="shared" si="60"/>
        <v>-4.018256043816483E-2</v>
      </c>
      <c r="BU185">
        <f t="shared" si="61"/>
        <v>-4.7648143523769879E-2</v>
      </c>
      <c r="BV185">
        <f t="shared" si="62"/>
        <v>-5.4480613893487795E-2</v>
      </c>
    </row>
    <row r="186" spans="24:74">
      <c r="X186">
        <v>49</v>
      </c>
      <c r="Y186">
        <f t="shared" si="63"/>
        <v>-1.7725548467745836E-2</v>
      </c>
      <c r="Z186">
        <f t="shared" si="63"/>
        <v>-1.891121933094907E-2</v>
      </c>
      <c r="AA186">
        <f t="shared" si="63"/>
        <v>-2.0199289675874046E-2</v>
      </c>
      <c r="AB186">
        <f t="shared" si="63"/>
        <v>-2.1615592050388883E-2</v>
      </c>
      <c r="AC186">
        <f t="shared" si="63"/>
        <v>-2.3197379919169255E-2</v>
      </c>
      <c r="AD186">
        <f t="shared" si="63"/>
        <v>-2.5001417301854002E-2</v>
      </c>
      <c r="AE186">
        <f t="shared" si="63"/>
        <v>-2.7120929038569885E-2</v>
      </c>
      <c r="AF186">
        <f t="shared" si="63"/>
        <v>-2.9726599287565336E-2</v>
      </c>
      <c r="AG186">
        <f t="shared" si="63"/>
        <v>-3.3190383913887143E-2</v>
      </c>
      <c r="AH186">
        <f t="shared" si="63"/>
        <v>-3.8649737198031109E-2</v>
      </c>
      <c r="AI186">
        <f t="shared" si="63"/>
        <v>-4.3646114456715471E-2</v>
      </c>
      <c r="AK186">
        <v>49</v>
      </c>
      <c r="AL186">
        <f t="shared" si="64"/>
        <v>-1.3314280125517525E-2</v>
      </c>
      <c r="AM186">
        <f t="shared" si="64"/>
        <v>-1.4983109571335682E-2</v>
      </c>
      <c r="AN186">
        <f t="shared" si="64"/>
        <v>-1.6796066089545654E-2</v>
      </c>
      <c r="AO186">
        <f t="shared" si="64"/>
        <v>-1.8789508941288731E-2</v>
      </c>
      <c r="AP186">
        <f t="shared" si="64"/>
        <v>-2.1015872306014646E-2</v>
      </c>
      <c r="AQ186">
        <f t="shared" si="64"/>
        <v>-2.3555051431533039E-2</v>
      </c>
      <c r="AR186">
        <f t="shared" si="64"/>
        <v>-2.6538260099942687E-2</v>
      </c>
      <c r="AS186">
        <f t="shared" si="64"/>
        <v>-3.0205735933723526E-2</v>
      </c>
      <c r="AT186">
        <f t="shared" si="64"/>
        <v>-3.5081006093235972E-2</v>
      </c>
      <c r="AU186">
        <f t="shared" si="64"/>
        <v>-4.2765035277431106E-2</v>
      </c>
      <c r="AV186">
        <f t="shared" si="64"/>
        <v>-4.9797426601598652E-2</v>
      </c>
      <c r="AX186">
        <v>49</v>
      </c>
      <c r="AY186">
        <f t="shared" si="65"/>
        <v>-1.1807941503367581E-2</v>
      </c>
      <c r="AZ186">
        <f t="shared" si="65"/>
        <v>-1.3024252444652929E-2</v>
      </c>
      <c r="BA186">
        <f t="shared" si="65"/>
        <v>-1.4345609072616975E-2</v>
      </c>
      <c r="BB186">
        <f t="shared" si="65"/>
        <v>-1.5798511499211843E-2</v>
      </c>
      <c r="BC186">
        <f t="shared" si="65"/>
        <v>-1.7421175892256158E-2</v>
      </c>
      <c r="BD186">
        <f t="shared" si="65"/>
        <v>-1.9271833165826292E-2</v>
      </c>
      <c r="BE186">
        <f t="shared" si="65"/>
        <v>-2.1446117274137342E-2</v>
      </c>
      <c r="BF186">
        <f t="shared" si="65"/>
        <v>-2.4119123191371931E-2</v>
      </c>
      <c r="BG186">
        <f t="shared" si="65"/>
        <v>-2.7672418857143097E-2</v>
      </c>
      <c r="BH186">
        <f t="shared" si="65"/>
        <v>-3.3272852618251893E-2</v>
      </c>
      <c r="BI186">
        <f t="shared" si="65"/>
        <v>-3.839834613852694E-2</v>
      </c>
      <c r="BK186">
        <v>49</v>
      </c>
      <c r="BL186">
        <f t="shared" si="52"/>
        <v>-1.9231887089895781E-2</v>
      </c>
      <c r="BM186">
        <f t="shared" si="53"/>
        <v>-2.0870076457631819E-2</v>
      </c>
      <c r="BN186">
        <f t="shared" si="54"/>
        <v>-2.2649746692802723E-2</v>
      </c>
      <c r="BO186">
        <f t="shared" si="55"/>
        <v>-2.4606589492465771E-2</v>
      </c>
      <c r="BP186">
        <f t="shared" si="56"/>
        <v>-2.6792076332927742E-2</v>
      </c>
      <c r="BQ186">
        <f t="shared" si="57"/>
        <v>-2.9284635567560745E-2</v>
      </c>
      <c r="BR186">
        <f t="shared" si="58"/>
        <v>-3.2213071864375234E-2</v>
      </c>
      <c r="BS186">
        <f t="shared" si="59"/>
        <v>-3.5813212029916934E-2</v>
      </c>
      <c r="BT186">
        <f t="shared" si="60"/>
        <v>-4.0598971149980026E-2</v>
      </c>
      <c r="BU186">
        <f t="shared" si="61"/>
        <v>-4.8141919857210329E-2</v>
      </c>
      <c r="BV186">
        <f t="shared" si="62"/>
        <v>-5.5045194919787183E-2</v>
      </c>
    </row>
    <row r="187" spans="24:74">
      <c r="X187">
        <v>50</v>
      </c>
      <c r="Y187">
        <f t="shared" si="63"/>
        <v>-1.7905507888276998E-2</v>
      </c>
      <c r="Z187">
        <f t="shared" si="63"/>
        <v>-1.9103216327743162E-2</v>
      </c>
      <c r="AA187">
        <f t="shared" si="63"/>
        <v>-2.0404363864231369E-2</v>
      </c>
      <c r="AB187">
        <f t="shared" si="63"/>
        <v>-2.1835045311702869E-2</v>
      </c>
      <c r="AC187">
        <f t="shared" si="63"/>
        <v>-2.3432892352293181E-2</v>
      </c>
      <c r="AD187">
        <f t="shared" si="63"/>
        <v>-2.5255245304879489E-2</v>
      </c>
      <c r="AE187">
        <f t="shared" si="63"/>
        <v>-2.7396275478931316E-2</v>
      </c>
      <c r="AF187">
        <f t="shared" si="63"/>
        <v>-3.002839991121806E-2</v>
      </c>
      <c r="AG187">
        <f t="shared" si="63"/>
        <v>-3.3527350765277866E-2</v>
      </c>
      <c r="AH187">
        <f t="shared" si="63"/>
        <v>-3.9042130376865353E-2</v>
      </c>
      <c r="AI187">
        <f t="shared" si="63"/>
        <v>-4.4089233578268168E-2</v>
      </c>
      <c r="AK187">
        <v>50</v>
      </c>
      <c r="AL187">
        <f t="shared" si="64"/>
        <v>-1.3449453947672455E-2</v>
      </c>
      <c r="AM187">
        <f t="shared" si="64"/>
        <v>-1.5135226258789323E-2</v>
      </c>
      <c r="AN187">
        <f t="shared" si="64"/>
        <v>-1.6966588898821643E-2</v>
      </c>
      <c r="AO187">
        <f t="shared" si="64"/>
        <v>-1.8980270267929329E-2</v>
      </c>
      <c r="AP187">
        <f t="shared" si="64"/>
        <v>-2.1229236885905032E-2</v>
      </c>
      <c r="AQ187">
        <f t="shared" si="64"/>
        <v>-2.3794195140621296E-2</v>
      </c>
      <c r="AR187">
        <f t="shared" si="64"/>
        <v>-2.6807690967945514E-2</v>
      </c>
      <c r="AS187">
        <f t="shared" si="64"/>
        <v>-3.0512401013522969E-2</v>
      </c>
      <c r="AT187">
        <f t="shared" si="64"/>
        <v>-3.5437167570533924E-2</v>
      </c>
      <c r="AU187">
        <f t="shared" si="64"/>
        <v>-4.3199209203362093E-2</v>
      </c>
      <c r="AV187">
        <f t="shared" si="64"/>
        <v>-5.0302997193756832E-2</v>
      </c>
      <c r="AX187">
        <v>50</v>
      </c>
      <c r="AY187">
        <f t="shared" si="65"/>
        <v>-1.1927822155550419E-2</v>
      </c>
      <c r="AZ187">
        <f t="shared" si="65"/>
        <v>-1.3156481747856509E-2</v>
      </c>
      <c r="BA187">
        <f t="shared" si="65"/>
        <v>-1.4491253507855318E-2</v>
      </c>
      <c r="BB187">
        <f t="shared" si="65"/>
        <v>-1.5958906591066205E-2</v>
      </c>
      <c r="BC187">
        <f t="shared" si="65"/>
        <v>-1.7598045156654189E-2</v>
      </c>
      <c r="BD187">
        <f t="shared" si="65"/>
        <v>-1.9467491310645117E-2</v>
      </c>
      <c r="BE187">
        <f t="shared" si="65"/>
        <v>-2.1663849935234961E-2</v>
      </c>
      <c r="BF187">
        <f t="shared" si="65"/>
        <v>-2.4363993664132597E-2</v>
      </c>
      <c r="BG187">
        <f t="shared" si="65"/>
        <v>-2.7953364322457677E-2</v>
      </c>
      <c r="BH187">
        <f t="shared" si="65"/>
        <v>-3.3610656736837836E-2</v>
      </c>
      <c r="BI187">
        <f t="shared" si="65"/>
        <v>-3.8788187058429541E-2</v>
      </c>
      <c r="BK187">
        <v>50</v>
      </c>
      <c r="BL187">
        <f t="shared" si="52"/>
        <v>-1.9427139680399032E-2</v>
      </c>
      <c r="BM187">
        <f t="shared" si="53"/>
        <v>-2.1081960838675973E-2</v>
      </c>
      <c r="BN187">
        <f t="shared" si="54"/>
        <v>-2.2879699255197693E-2</v>
      </c>
      <c r="BO187">
        <f t="shared" si="55"/>
        <v>-2.4856408988565989E-2</v>
      </c>
      <c r="BP187">
        <f t="shared" si="56"/>
        <v>-2.7064084081544024E-2</v>
      </c>
      <c r="BQ187">
        <f t="shared" si="57"/>
        <v>-2.9581949134855672E-2</v>
      </c>
      <c r="BR187">
        <f t="shared" si="58"/>
        <v>-3.2540116511641876E-2</v>
      </c>
      <c r="BS187">
        <f t="shared" si="59"/>
        <v>-3.6176807260608429E-2</v>
      </c>
      <c r="BT187">
        <f t="shared" si="60"/>
        <v>-4.1011154013354117E-2</v>
      </c>
      <c r="BU187">
        <f t="shared" si="61"/>
        <v>-4.863068284338961E-2</v>
      </c>
      <c r="BV187">
        <f t="shared" si="62"/>
        <v>-5.5604043713595452E-2</v>
      </c>
    </row>
    <row r="188" spans="24:74">
      <c r="X188">
        <v>51</v>
      </c>
      <c r="Y188">
        <f t="shared" si="63"/>
        <v>-1.8083676534153468E-2</v>
      </c>
      <c r="Z188">
        <f t="shared" si="63"/>
        <v>-1.9293302764064112E-2</v>
      </c>
      <c r="AA188">
        <f t="shared" si="63"/>
        <v>-2.0607397361094144E-2</v>
      </c>
      <c r="AB188">
        <f t="shared" si="63"/>
        <v>-2.2052314795490288E-2</v>
      </c>
      <c r="AC188">
        <f t="shared" si="63"/>
        <v>-2.3666061203209195E-2</v>
      </c>
      <c r="AD188">
        <f t="shared" si="63"/>
        <v>-2.5506547467617609E-2</v>
      </c>
      <c r="AE188">
        <f t="shared" si="63"/>
        <v>-2.7668881949219473E-2</v>
      </c>
      <c r="AF188">
        <f t="shared" si="63"/>
        <v>-3.0327197319445817E-2</v>
      </c>
      <c r="AG188">
        <f t="shared" si="63"/>
        <v>-3.3860964462412137E-2</v>
      </c>
      <c r="AH188">
        <f t="shared" si="63"/>
        <v>-3.9430618854532778E-2</v>
      </c>
      <c r="AI188">
        <f t="shared" si="63"/>
        <v>-4.4527943225231854E-2</v>
      </c>
      <c r="AK188">
        <v>51</v>
      </c>
      <c r="AL188">
        <f t="shared" si="64"/>
        <v>-1.358328265627913E-2</v>
      </c>
      <c r="AM188">
        <f t="shared" si="64"/>
        <v>-1.5285829234387018E-2</v>
      </c>
      <c r="AN188">
        <f t="shared" si="64"/>
        <v>-1.713541483708084E-2</v>
      </c>
      <c r="AO188">
        <f t="shared" si="64"/>
        <v>-1.916913333023992E-2</v>
      </c>
      <c r="AP188">
        <f t="shared" si="64"/>
        <v>-2.1440478276685625E-2</v>
      </c>
      <c r="AQ188">
        <f t="shared" si="64"/>
        <v>-2.4030959132705573E-2</v>
      </c>
      <c r="AR188">
        <f t="shared" si="64"/>
        <v>-2.707444073168502E-2</v>
      </c>
      <c r="AS188">
        <f t="shared" si="64"/>
        <v>-3.0816014471735931E-2</v>
      </c>
      <c r="AT188">
        <f t="shared" si="64"/>
        <v>-3.5789784888017186E-2</v>
      </c>
      <c r="AU188">
        <f t="shared" si="64"/>
        <v>-4.36290626682692E-2</v>
      </c>
      <c r="AV188">
        <f t="shared" si="64"/>
        <v>-5.0803536857276087E-2</v>
      </c>
      <c r="AX188">
        <v>51</v>
      </c>
      <c r="AY188">
        <f t="shared" si="65"/>
        <v>-1.2046509876388606E-2</v>
      </c>
      <c r="AZ188">
        <f t="shared" si="65"/>
        <v>-1.3287395238394735E-2</v>
      </c>
      <c r="BA188">
        <f t="shared" si="65"/>
        <v>-1.4635448636564158E-2</v>
      </c>
      <c r="BB188">
        <f t="shared" si="65"/>
        <v>-1.6117705592733227E-2</v>
      </c>
      <c r="BC188">
        <f t="shared" si="65"/>
        <v>-1.7773154396514786E-2</v>
      </c>
      <c r="BD188">
        <f t="shared" si="65"/>
        <v>-1.9661202462938121E-2</v>
      </c>
      <c r="BE188">
        <f t="shared" si="65"/>
        <v>-2.1879415940484048E-2</v>
      </c>
      <c r="BF188">
        <f t="shared" si="65"/>
        <v>-2.4606427432912956E-2</v>
      </c>
      <c r="BG188">
        <f t="shared" si="65"/>
        <v>-2.8231514101849566E-2</v>
      </c>
      <c r="BH188">
        <f t="shared" si="65"/>
        <v>-3.3945099369528636E-2</v>
      </c>
      <c r="BI188">
        <f t="shared" si="65"/>
        <v>-3.9174148674672123E-2</v>
      </c>
      <c r="BK188">
        <v>51</v>
      </c>
      <c r="BL188">
        <f t="shared" si="52"/>
        <v>-1.962044931404399E-2</v>
      </c>
      <c r="BM188">
        <f t="shared" si="53"/>
        <v>-2.1291736760056391E-2</v>
      </c>
      <c r="BN188">
        <f t="shared" si="54"/>
        <v>-2.3107363561610826E-2</v>
      </c>
      <c r="BO188">
        <f t="shared" si="55"/>
        <v>-2.5103742532996985E-2</v>
      </c>
      <c r="BP188">
        <f t="shared" si="56"/>
        <v>-2.7333385083380034E-2</v>
      </c>
      <c r="BQ188">
        <f t="shared" si="57"/>
        <v>-2.9876304137385061E-2</v>
      </c>
      <c r="BR188">
        <f t="shared" si="58"/>
        <v>-3.2863906740420445E-2</v>
      </c>
      <c r="BS188">
        <f t="shared" si="59"/>
        <v>-3.6536784358268792E-2</v>
      </c>
      <c r="BT188">
        <f t="shared" si="60"/>
        <v>-4.1419235248579753E-2</v>
      </c>
      <c r="BU188">
        <f t="shared" si="61"/>
        <v>-4.9114582153273342E-2</v>
      </c>
      <c r="BV188">
        <f t="shared" si="62"/>
        <v>-5.6157331407835819E-2</v>
      </c>
    </row>
    <row r="189" spans="24:74">
      <c r="X189">
        <v>52</v>
      </c>
      <c r="Y189">
        <f t="shared" si="63"/>
        <v>-1.8260106824622788E-2</v>
      </c>
      <c r="Z189">
        <f t="shared" si="63"/>
        <v>-1.9481534565509332E-2</v>
      </c>
      <c r="AA189">
        <f t="shared" si="63"/>
        <v>-2.0808449901232644E-2</v>
      </c>
      <c r="AB189">
        <f t="shared" si="63"/>
        <v>-2.2267464424911114E-2</v>
      </c>
      <c r="AC189">
        <f t="shared" si="63"/>
        <v>-2.3896955072852409E-2</v>
      </c>
      <c r="AD189">
        <f t="shared" si="63"/>
        <v>-2.5755397726030613E-2</v>
      </c>
      <c r="AE189">
        <f t="shared" si="63"/>
        <v>-2.7938828653366856E-2</v>
      </c>
      <c r="AF189">
        <f t="shared" si="63"/>
        <v>-3.0623079421853744E-2</v>
      </c>
      <c r="AG189">
        <f t="shared" si="63"/>
        <v>-3.4191323158244358E-2</v>
      </c>
      <c r="AH189">
        <f t="shared" si="63"/>
        <v>-3.9815316928774012E-2</v>
      </c>
      <c r="AI189">
        <f t="shared" si="63"/>
        <v>-4.4962372470987923E-2</v>
      </c>
      <c r="AK189">
        <v>52</v>
      </c>
      <c r="AL189">
        <f t="shared" si="64"/>
        <v>-1.3715805625269872E-2</v>
      </c>
      <c r="AM189">
        <f t="shared" si="64"/>
        <v>-1.5434962807241734E-2</v>
      </c>
      <c r="AN189">
        <f t="shared" si="64"/>
        <v>-1.7302593574839653E-2</v>
      </c>
      <c r="AO189">
        <f t="shared" si="64"/>
        <v>-1.935615369388732E-2</v>
      </c>
      <c r="AP189">
        <f t="shared" si="64"/>
        <v>-2.1649658627982692E-2</v>
      </c>
      <c r="AQ189">
        <f t="shared" si="64"/>
        <v>-2.426541306645252E-2</v>
      </c>
      <c r="AR189">
        <f t="shared" si="64"/>
        <v>-2.7338587871983844E-2</v>
      </c>
      <c r="AS189">
        <f t="shared" si="64"/>
        <v>-3.1116665634904377E-2</v>
      </c>
      <c r="AT189">
        <f t="shared" si="64"/>
        <v>-3.6138961789721979E-2</v>
      </c>
      <c r="AU189">
        <f t="shared" si="64"/>
        <v>-4.4054722139944061E-2</v>
      </c>
      <c r="AV189">
        <f t="shared" si="64"/>
        <v>-5.1299192856633834E-2</v>
      </c>
      <c r="AX189">
        <v>52</v>
      </c>
      <c r="AY189">
        <f t="shared" si="65"/>
        <v>-1.2164039585163187E-2</v>
      </c>
      <c r="AZ189">
        <f t="shared" si="65"/>
        <v>-1.3417031432509528E-2</v>
      </c>
      <c r="BA189">
        <f t="shared" si="65"/>
        <v>-1.4778236882594831E-2</v>
      </c>
      <c r="BB189">
        <f t="shared" si="65"/>
        <v>-1.6274955224690218E-2</v>
      </c>
      <c r="BC189">
        <f t="shared" si="65"/>
        <v>-1.7946555130973343E-2</v>
      </c>
      <c r="BD189">
        <f t="shared" si="65"/>
        <v>-1.9853023614735482E-2</v>
      </c>
      <c r="BE189">
        <f t="shared" si="65"/>
        <v>-2.2092878711861767E-2</v>
      </c>
      <c r="BF189">
        <f t="shared" si="65"/>
        <v>-2.4846495824492616E-2</v>
      </c>
      <c r="BG189">
        <f t="shared" si="65"/>
        <v>-2.8506950030156009E-2</v>
      </c>
      <c r="BH189">
        <f t="shared" si="65"/>
        <v>-3.4276278913160985E-2</v>
      </c>
      <c r="BI189">
        <f t="shared" si="65"/>
        <v>-3.955634454156387E-2</v>
      </c>
      <c r="BK189">
        <v>52</v>
      </c>
      <c r="BL189">
        <f t="shared" si="52"/>
        <v>-1.9811872864729473E-2</v>
      </c>
      <c r="BM189">
        <f t="shared" si="53"/>
        <v>-2.1499465940241536E-2</v>
      </c>
      <c r="BN189">
        <f t="shared" si="54"/>
        <v>-2.3332806593477466E-2</v>
      </c>
      <c r="BO189">
        <f t="shared" si="55"/>
        <v>-2.5348662894108212E-2</v>
      </c>
      <c r="BP189">
        <f t="shared" si="56"/>
        <v>-2.7600058569861755E-2</v>
      </c>
      <c r="BQ189">
        <f t="shared" si="57"/>
        <v>-3.0167787177747651E-2</v>
      </c>
      <c r="BR189">
        <f t="shared" si="58"/>
        <v>-3.3184537813488936E-2</v>
      </c>
      <c r="BS189">
        <f t="shared" si="59"/>
        <v>-3.6893249232265508E-2</v>
      </c>
      <c r="BT189">
        <f t="shared" si="60"/>
        <v>-4.1823334917810331E-2</v>
      </c>
      <c r="BU189">
        <f t="shared" si="61"/>
        <v>-4.9593760155557082E-2</v>
      </c>
      <c r="BV189">
        <f t="shared" si="62"/>
        <v>-5.6705220786057886E-2</v>
      </c>
    </row>
    <row r="190" spans="24:74">
      <c r="X190">
        <v>53</v>
      </c>
      <c r="Y190">
        <f t="shared" si="63"/>
        <v>-1.8434848670422513E-2</v>
      </c>
      <c r="Z190">
        <f t="shared" si="63"/>
        <v>-1.9667964981370748E-2</v>
      </c>
      <c r="AA190">
        <f t="shared" si="63"/>
        <v>-2.1007578360824643E-2</v>
      </c>
      <c r="AB190">
        <f t="shared" si="63"/>
        <v>-2.2480555064098493E-2</v>
      </c>
      <c r="AC190">
        <f t="shared" si="63"/>
        <v>-2.4125639279277342E-2</v>
      </c>
      <c r="AD190">
        <f t="shared" si="63"/>
        <v>-2.6001866477893768E-2</v>
      </c>
      <c r="AE190">
        <f t="shared" si="63"/>
        <v>-2.820619195716683E-2</v>
      </c>
      <c r="AF190">
        <f t="shared" si="63"/>
        <v>-3.0916129921154799E-2</v>
      </c>
      <c r="AG190">
        <f t="shared" si="63"/>
        <v>-3.451852030864383E-2</v>
      </c>
      <c r="AH190">
        <f t="shared" si="63"/>
        <v>-4.019633342763991E-2</v>
      </c>
      <c r="AI190">
        <f t="shared" si="63"/>
        <v>-4.5392644212143389E-2</v>
      </c>
      <c r="AK190">
        <v>53</v>
      </c>
      <c r="AL190">
        <f t="shared" si="64"/>
        <v>-1.3847060344347312E-2</v>
      </c>
      <c r="AM190">
        <f t="shared" si="64"/>
        <v>-1.5582669166064926E-2</v>
      </c>
      <c r="AN190">
        <f t="shared" si="64"/>
        <v>-1.7468172405644352E-2</v>
      </c>
      <c r="AO190">
        <f t="shared" si="64"/>
        <v>-1.9541384265457259E-2</v>
      </c>
      <c r="AP190">
        <f t="shared" si="64"/>
        <v>-2.1856837115267681E-2</v>
      </c>
      <c r="AQ190">
        <f t="shared" si="64"/>
        <v>-2.4497623267030703E-2</v>
      </c>
      <c r="AR190">
        <f t="shared" si="64"/>
        <v>-2.760020711398448E-2</v>
      </c>
      <c r="AS190">
        <f t="shared" si="64"/>
        <v>-3.1414439554870936E-2</v>
      </c>
      <c r="AT190">
        <f t="shared" si="64"/>
        <v>-3.6484797055039611E-2</v>
      </c>
      <c r="AU190">
        <f t="shared" si="64"/>
        <v>-4.4476308034093776E-2</v>
      </c>
      <c r="AV190">
        <f t="shared" si="64"/>
        <v>-5.179010540900273E-2</v>
      </c>
      <c r="AX190">
        <v>53</v>
      </c>
      <c r="AY190">
        <f t="shared" si="65"/>
        <v>-1.2280444530101742E-2</v>
      </c>
      <c r="AZ190">
        <f t="shared" si="65"/>
        <v>-1.3545427003257679E-2</v>
      </c>
      <c r="BA190">
        <f t="shared" si="65"/>
        <v>-1.491965863961588E-2</v>
      </c>
      <c r="BB190">
        <f t="shared" si="65"/>
        <v>-1.6430699971617731E-2</v>
      </c>
      <c r="BC190">
        <f t="shared" si="65"/>
        <v>-1.8118296413729917E-2</v>
      </c>
      <c r="BD190">
        <f t="shared" si="65"/>
        <v>-2.0043009030728035E-2</v>
      </c>
      <c r="BE190">
        <f t="shared" si="65"/>
        <v>-2.2304298636302431E-2</v>
      </c>
      <c r="BF190">
        <f t="shared" si="65"/>
        <v>-2.5084266752325984E-2</v>
      </c>
      <c r="BG190">
        <f t="shared" si="65"/>
        <v>-2.8779750026028592E-2</v>
      </c>
      <c r="BH190">
        <f t="shared" si="65"/>
        <v>-3.4604289055815536E-2</v>
      </c>
      <c r="BI190">
        <f t="shared" si="65"/>
        <v>-3.9934882779300906E-2</v>
      </c>
      <c r="BK190">
        <v>53</v>
      </c>
      <c r="BL190">
        <f t="shared" si="52"/>
        <v>-2.000146448466808E-2</v>
      </c>
      <c r="BM190">
        <f t="shared" si="53"/>
        <v>-2.1705207144178E-2</v>
      </c>
      <c r="BN190">
        <f t="shared" si="54"/>
        <v>-2.3556092126853116E-2</v>
      </c>
      <c r="BO190">
        <f t="shared" si="55"/>
        <v>-2.5591239357938021E-2</v>
      </c>
      <c r="BP190">
        <f t="shared" si="56"/>
        <v>-2.7864179980815106E-2</v>
      </c>
      <c r="BQ190">
        <f t="shared" si="57"/>
        <v>-3.0456480714196436E-2</v>
      </c>
      <c r="BR190">
        <f t="shared" si="58"/>
        <v>-3.3502100434848886E-2</v>
      </c>
      <c r="BS190">
        <f t="shared" si="59"/>
        <v>-3.7246302723699748E-2</v>
      </c>
      <c r="BT190">
        <f t="shared" si="60"/>
        <v>-4.2223567337654852E-2</v>
      </c>
      <c r="BU190">
        <f t="shared" si="61"/>
        <v>-5.006835240591815E-2</v>
      </c>
      <c r="BV190">
        <f t="shared" si="62"/>
        <v>-5.7247866841845213E-2</v>
      </c>
    </row>
    <row r="191" spans="24:74">
      <c r="X191">
        <v>54</v>
      </c>
      <c r="Y191">
        <f t="shared" si="63"/>
        <v>-1.8607949638692646E-2</v>
      </c>
      <c r="Z191">
        <f t="shared" si="63"/>
        <v>-1.9852644760578301E-2</v>
      </c>
      <c r="AA191">
        <f t="shared" si="63"/>
        <v>-2.1204836945382697E-2</v>
      </c>
      <c r="AB191">
        <f t="shared" si="63"/>
        <v>-2.2691644719262789E-2</v>
      </c>
      <c r="AC191">
        <f t="shared" si="63"/>
        <v>-2.4352176073478383E-2</v>
      </c>
      <c r="AD191">
        <f t="shared" si="63"/>
        <v>-2.6246020815399968E-2</v>
      </c>
      <c r="AE191">
        <f t="shared" si="63"/>
        <v>-2.8471044640597448E-2</v>
      </c>
      <c r="AF191">
        <f t="shared" si="63"/>
        <v>-3.1206428589735866E-2</v>
      </c>
      <c r="AG191">
        <f t="shared" si="63"/>
        <v>-3.4842644981186721E-2</v>
      </c>
      <c r="AH191">
        <f t="shared" si="63"/>
        <v>-4.057377206907542E-2</v>
      </c>
      <c r="AI191">
        <f t="shared" si="63"/>
        <v>-4.5818875574599342E-2</v>
      </c>
      <c r="AK191">
        <v>54</v>
      </c>
      <c r="AL191">
        <f t="shared" si="64"/>
        <v>-1.3977082542855901E-2</v>
      </c>
      <c r="AM191">
        <f t="shared" si="64"/>
        <v>-1.5728988518564236E-2</v>
      </c>
      <c r="AN191">
        <f t="shared" si="64"/>
        <v>-1.7632196402335903E-2</v>
      </c>
      <c r="AO191">
        <f t="shared" si="64"/>
        <v>-1.9724875467265528E-2</v>
      </c>
      <c r="AP191">
        <f t="shared" si="64"/>
        <v>-2.2062070135381685E-2</v>
      </c>
      <c r="AQ191">
        <f t="shared" si="64"/>
        <v>-2.4727652945258742E-2</v>
      </c>
      <c r="AR191">
        <f t="shared" si="64"/>
        <v>-2.7859369674052156E-2</v>
      </c>
      <c r="AS191">
        <f t="shared" si="64"/>
        <v>-3.1709417289802734E-2</v>
      </c>
      <c r="AT191">
        <f t="shared" si="64"/>
        <v>-3.6827384825098147E-2</v>
      </c>
      <c r="AU191">
        <f t="shared" si="64"/>
        <v>-4.4893935112212111E-2</v>
      </c>
      <c r="AV191">
        <f t="shared" si="64"/>
        <v>-5.2276408147548893E-2</v>
      </c>
      <c r="AX191">
        <v>54</v>
      </c>
      <c r="AY191">
        <f t="shared" si="65"/>
        <v>-1.239575639823543E-2</v>
      </c>
      <c r="AZ191">
        <f t="shared" si="65"/>
        <v>-1.3672616901684037E-2</v>
      </c>
      <c r="BA191">
        <f t="shared" si="65"/>
        <v>-1.5059752404579678E-2</v>
      </c>
      <c r="BB191">
        <f t="shared" si="65"/>
        <v>-1.65849822293835E-2</v>
      </c>
      <c r="BC191">
        <f t="shared" si="65"/>
        <v>-1.8288424995129875E-2</v>
      </c>
      <c r="BD191">
        <f t="shared" si="65"/>
        <v>-2.0231210427565784E-2</v>
      </c>
      <c r="BE191">
        <f t="shared" si="65"/>
        <v>-2.2513733265224808E-2</v>
      </c>
      <c r="BF191">
        <f t="shared" si="65"/>
        <v>-2.5319804940938325E-2</v>
      </c>
      <c r="BG191">
        <f t="shared" si="65"/>
        <v>-2.9049988349387917E-2</v>
      </c>
      <c r="BH191">
        <f t="shared" si="65"/>
        <v>-3.4929219086376181E-2</v>
      </c>
      <c r="BI191">
        <f t="shared" si="65"/>
        <v>-4.0309866431211337E-2</v>
      </c>
      <c r="BK191">
        <v>54</v>
      </c>
      <c r="BL191">
        <f t="shared" si="52"/>
        <v>-2.0189275783313115E-2</v>
      </c>
      <c r="BM191">
        <f t="shared" si="53"/>
        <v>-2.1909016377458498E-2</v>
      </c>
      <c r="BN191">
        <f t="shared" si="54"/>
        <v>-2.3777280943138919E-2</v>
      </c>
      <c r="BO191">
        <f t="shared" si="55"/>
        <v>-2.583153795714482E-2</v>
      </c>
      <c r="BP191">
        <f t="shared" si="56"/>
        <v>-2.8125821213730192E-2</v>
      </c>
      <c r="BQ191">
        <f t="shared" si="57"/>
        <v>-3.0742463333092929E-2</v>
      </c>
      <c r="BR191">
        <f t="shared" si="58"/>
        <v>-3.3816681049424799E-2</v>
      </c>
      <c r="BS191">
        <f t="shared" si="59"/>
        <v>-3.7596040938600278E-2</v>
      </c>
      <c r="BT191">
        <f t="shared" si="60"/>
        <v>-4.2620041456896948E-2</v>
      </c>
      <c r="BU191">
        <f t="shared" si="61"/>
        <v>-5.0538488094911349E-2</v>
      </c>
      <c r="BV191">
        <f t="shared" si="62"/>
        <v>-5.7785417290936898E-2</v>
      </c>
    </row>
    <row r="192" spans="24:74">
      <c r="X192">
        <v>55</v>
      </c>
      <c r="Y192">
        <f t="shared" si="63"/>
        <v>-1.877945510420536E-2</v>
      </c>
      <c r="Z192">
        <f t="shared" si="63"/>
        <v>-2.0035622313045537E-2</v>
      </c>
      <c r="AA192">
        <f t="shared" si="63"/>
        <v>-2.1400277362089163E-2</v>
      </c>
      <c r="AB192">
        <f t="shared" si="63"/>
        <v>-2.2900788723110153E-2</v>
      </c>
      <c r="AC192">
        <f t="shared" si="63"/>
        <v>-2.4576624837303763E-2</v>
      </c>
      <c r="AD192">
        <f t="shared" si="63"/>
        <v>-2.6487924738465285E-2</v>
      </c>
      <c r="AE192">
        <f t="shared" si="63"/>
        <v>-2.8733456129210119E-2</v>
      </c>
      <c r="AF192">
        <f t="shared" si="63"/>
        <v>-3.1494051523277292E-2</v>
      </c>
      <c r="AG192">
        <f t="shared" si="63"/>
        <v>-3.5163782138327722E-2</v>
      </c>
      <c r="AH192">
        <f t="shared" si="63"/>
        <v>-4.0947731790669038E-2</v>
      </c>
      <c r="AI192">
        <f t="shared" si="63"/>
        <v>-4.6241178285928206E-2</v>
      </c>
      <c r="AK192">
        <v>55</v>
      </c>
      <c r="AL192">
        <f t="shared" si="64"/>
        <v>-1.4105906303375845E-2</v>
      </c>
      <c r="AM192">
        <f t="shared" si="64"/>
        <v>-1.5873959219275462E-2</v>
      </c>
      <c r="AN192">
        <f t="shared" si="64"/>
        <v>-1.7794708560349606E-2</v>
      </c>
      <c r="AO192">
        <f t="shared" si="64"/>
        <v>-1.9906675397665132E-2</v>
      </c>
      <c r="AP192">
        <f t="shared" si="64"/>
        <v>-2.2265411485837348E-2</v>
      </c>
      <c r="AQ192">
        <f t="shared" si="64"/>
        <v>-2.4955562398570837E-2</v>
      </c>
      <c r="AR192">
        <f t="shared" si="64"/>
        <v>-2.8116143486192308E-2</v>
      </c>
      <c r="AS192">
        <f t="shared" si="64"/>
        <v>-3.2001676161898793E-2</v>
      </c>
      <c r="AT192">
        <f t="shared" si="64"/>
        <v>-3.7166814902064332E-2</v>
      </c>
      <c r="AU192">
        <f t="shared" si="64"/>
        <v>-4.5307712846439606E-2</v>
      </c>
      <c r="AV192">
        <f t="shared" si="64"/>
        <v>-5.2758228546290468E-2</v>
      </c>
      <c r="AX192">
        <v>55</v>
      </c>
      <c r="AY192">
        <f t="shared" si="65"/>
        <v>-1.2510005416141249E-2</v>
      </c>
      <c r="AZ192">
        <f t="shared" si="65"/>
        <v>-1.3798634467941006E-2</v>
      </c>
      <c r="BA192">
        <f t="shared" si="65"/>
        <v>-1.5198554900115404E-2</v>
      </c>
      <c r="BB192">
        <f t="shared" si="65"/>
        <v>-1.6737842439831188E-2</v>
      </c>
      <c r="BC192">
        <f t="shared" si="65"/>
        <v>-1.8456985470796796E-2</v>
      </c>
      <c r="BD192">
        <f t="shared" si="65"/>
        <v>-2.0417677138280136E-2</v>
      </c>
      <c r="BE192">
        <f t="shared" si="65"/>
        <v>-2.2721237497504789E-2</v>
      </c>
      <c r="BF192">
        <f t="shared" si="65"/>
        <v>-2.5553172131703779E-2</v>
      </c>
      <c r="BG192">
        <f t="shared" si="65"/>
        <v>-2.9317735837517445E-2</v>
      </c>
      <c r="BH192">
        <f t="shared" si="65"/>
        <v>-3.5251154178405235E-2</v>
      </c>
      <c r="BI192">
        <f t="shared" si="65"/>
        <v>-4.068139379135987E-2</v>
      </c>
      <c r="BK192">
        <v>55</v>
      </c>
      <c r="BL192">
        <f t="shared" si="52"/>
        <v>-2.0375355991439956E-2</v>
      </c>
      <c r="BM192">
        <f t="shared" si="53"/>
        <v>-2.2110947064379997E-2</v>
      </c>
      <c r="BN192">
        <f t="shared" si="54"/>
        <v>-2.3996431022323364E-2</v>
      </c>
      <c r="BO192">
        <f t="shared" si="55"/>
        <v>-2.6069621680944094E-2</v>
      </c>
      <c r="BP192">
        <f t="shared" si="56"/>
        <v>-2.8385050852344319E-2</v>
      </c>
      <c r="BQ192">
        <f t="shared" si="57"/>
        <v>-3.1025809998755986E-2</v>
      </c>
      <c r="BR192">
        <f t="shared" si="58"/>
        <v>-3.4128362117897632E-2</v>
      </c>
      <c r="BS192">
        <f t="shared" si="59"/>
        <v>-3.7942555553472306E-2</v>
      </c>
      <c r="BT192">
        <f t="shared" si="60"/>
        <v>-4.3012861202874605E-2</v>
      </c>
      <c r="BU192">
        <f t="shared" si="61"/>
        <v>-5.1004290458703409E-2</v>
      </c>
      <c r="BV192">
        <f t="shared" si="62"/>
        <v>-5.8318013040858797E-2</v>
      </c>
    </row>
    <row r="193" spans="24:74">
      <c r="X193">
        <v>56</v>
      </c>
      <c r="Y193">
        <f t="shared" si="63"/>
        <v>-1.8949408388274493E-2</v>
      </c>
      <c r="Z193">
        <f t="shared" si="63"/>
        <v>-2.0216943857870782E-2</v>
      </c>
      <c r="AA193">
        <f t="shared" si="63"/>
        <v>-2.1593948978091637E-2</v>
      </c>
      <c r="AB193">
        <f t="shared" si="63"/>
        <v>-2.3108039904237043E-2</v>
      </c>
      <c r="AC193">
        <f t="shared" si="63"/>
        <v>-2.4799042265246037E-2</v>
      </c>
      <c r="AD193">
        <f t="shared" si="63"/>
        <v>-2.6727639350657102E-2</v>
      </c>
      <c r="AE193">
        <f t="shared" si="63"/>
        <v>-2.8993492706667685E-2</v>
      </c>
      <c r="AF193">
        <f t="shared" si="63"/>
        <v>-3.1779071373710804E-2</v>
      </c>
      <c r="AG193">
        <f t="shared" si="63"/>
        <v>-3.5482012897502524E-2</v>
      </c>
      <c r="AH193">
        <f t="shared" si="63"/>
        <v>-4.1318307052538472E-2</v>
      </c>
      <c r="AI193">
        <f t="shared" si="63"/>
        <v>-4.6659659017414389E-2</v>
      </c>
      <c r="AK193">
        <v>56</v>
      </c>
      <c r="AL193">
        <f t="shared" si="64"/>
        <v>-1.4233564166062892E-2</v>
      </c>
      <c r="AM193">
        <f t="shared" si="64"/>
        <v>-1.6017617886980428E-2</v>
      </c>
      <c r="AN193">
        <f t="shared" si="64"/>
        <v>-1.7955749929340514E-2</v>
      </c>
      <c r="AO193">
        <f t="shared" si="64"/>
        <v>-2.0086829978293714E-2</v>
      </c>
      <c r="AP193">
        <f t="shared" si="64"/>
        <v>-2.2466912529513598E-2</v>
      </c>
      <c r="AQ193">
        <f t="shared" si="64"/>
        <v>-2.51814091956102E-2</v>
      </c>
      <c r="AR193">
        <f t="shared" si="64"/>
        <v>-2.8370593410022491E-2</v>
      </c>
      <c r="AS193">
        <f t="shared" si="64"/>
        <v>-3.2291289994102773E-2</v>
      </c>
      <c r="AT193">
        <f t="shared" si="64"/>
        <v>-3.7503173024062288E-2</v>
      </c>
      <c r="AU193">
        <f t="shared" si="64"/>
        <v>-4.5717745754699508E-2</v>
      </c>
      <c r="AV193">
        <f t="shared" si="64"/>
        <v>-5.3235688310344219E-2</v>
      </c>
      <c r="AX193">
        <v>56</v>
      </c>
      <c r="AY193">
        <f t="shared" si="65"/>
        <v>-1.2623220442477117E-2</v>
      </c>
      <c r="AZ193">
        <f t="shared" si="65"/>
        <v>-1.3923511533355484E-2</v>
      </c>
      <c r="BA193">
        <f t="shared" si="65"/>
        <v>-1.5336101186951022E-2</v>
      </c>
      <c r="BB193">
        <f t="shared" si="65"/>
        <v>-1.6889319214588298E-2</v>
      </c>
      <c r="BC193">
        <f t="shared" si="65"/>
        <v>-1.8624020418156677E-2</v>
      </c>
      <c r="BD193">
        <f t="shared" si="65"/>
        <v>-2.0602456263311135E-2</v>
      </c>
      <c r="BE193">
        <f t="shared" si="65"/>
        <v>-2.2926863747541774E-2</v>
      </c>
      <c r="BF193">
        <f t="shared" si="65"/>
        <v>-2.5784427271859277E-2</v>
      </c>
      <c r="BG193">
        <f t="shared" si="65"/>
        <v>-2.9583060121923421E-2</v>
      </c>
      <c r="BH193">
        <f t="shared" si="65"/>
        <v>-3.5570175650892245E-2</v>
      </c>
      <c r="BI193">
        <f t="shared" si="65"/>
        <v>-4.1049558705463417E-2</v>
      </c>
      <c r="BK193">
        <v>56</v>
      </c>
      <c r="BL193">
        <f t="shared" si="52"/>
        <v>-2.0559752111860272E-2</v>
      </c>
      <c r="BM193">
        <f t="shared" si="53"/>
        <v>-2.2311050211495723E-2</v>
      </c>
      <c r="BN193">
        <f t="shared" si="54"/>
        <v>-2.421359772048113E-2</v>
      </c>
      <c r="BO193">
        <f t="shared" si="55"/>
        <v>-2.6305550667942455E-2</v>
      </c>
      <c r="BP193">
        <f t="shared" si="56"/>
        <v>-2.8641934376602955E-2</v>
      </c>
      <c r="BQ193">
        <f t="shared" si="57"/>
        <v>-3.1306592282956167E-2</v>
      </c>
      <c r="BR193">
        <f t="shared" si="58"/>
        <v>-3.443722236914841E-2</v>
      </c>
      <c r="BS193">
        <f t="shared" si="59"/>
        <v>-3.8285934095954301E-2</v>
      </c>
      <c r="BT193">
        <f t="shared" si="60"/>
        <v>-4.3402125799641381E-2</v>
      </c>
      <c r="BU193">
        <f t="shared" si="61"/>
        <v>-5.1465877156345728E-2</v>
      </c>
      <c r="BV193">
        <f t="shared" si="62"/>
        <v>-5.8845788622295191E-2</v>
      </c>
    </row>
    <row r="194" spans="24:74">
      <c r="X194">
        <v>57</v>
      </c>
      <c r="Y194">
        <f t="shared" si="63"/>
        <v>-1.9117850886549742E-2</v>
      </c>
      <c r="Z194">
        <f t="shared" si="63"/>
        <v>-2.0396653559679595E-2</v>
      </c>
      <c r="AA194">
        <f t="shared" ref="Z194:AI237" si="66">_xlfn.NORM.INV(1-AA$137,$T$127,$Y$128)*SQRT($X194)</f>
        <v>-2.1785898966131829E-2</v>
      </c>
      <c r="AB194">
        <f t="shared" si="66"/>
        <v>-2.3313448742970096E-2</v>
      </c>
      <c r="AC194">
        <f t="shared" si="66"/>
        <v>-2.5019482531686035E-2</v>
      </c>
      <c r="AD194">
        <f t="shared" si="66"/>
        <v>-2.6965223039444465E-2</v>
      </c>
      <c r="AE194">
        <f t="shared" si="66"/>
        <v>-2.9251217710275623E-2</v>
      </c>
      <c r="AF194">
        <f t="shared" si="66"/>
        <v>-3.2061557563536527E-2</v>
      </c>
      <c r="AG194">
        <f t="shared" si="66"/>
        <v>-3.5797414770417361E-2</v>
      </c>
      <c r="AH194">
        <f t="shared" si="66"/>
        <v>-4.1685588115980013E-2</v>
      </c>
      <c r="AI194">
        <f t="shared" si="66"/>
        <v>-4.707441969872557E-2</v>
      </c>
      <c r="AK194">
        <v>57</v>
      </c>
      <c r="AL194">
        <f t="shared" si="64"/>
        <v>-1.4360087224639023E-2</v>
      </c>
      <c r="AM194">
        <f t="shared" si="64"/>
        <v>-1.615999951272927E-2</v>
      </c>
      <c r="AN194">
        <f t="shared" ref="AM194:AV236" si="67">_xlfn.NORM.INV(1-AN$137,$U$127,$Z$128)*SQRT($AK194)</f>
        <v>-1.8115359734276443E-2</v>
      </c>
      <c r="AO194">
        <f t="shared" si="67"/>
        <v>-2.0265383089538475E-2</v>
      </c>
      <c r="AP194">
        <f t="shared" si="67"/>
        <v>-2.2666622346171752E-2</v>
      </c>
      <c r="AQ194">
        <f t="shared" si="67"/>
        <v>-2.5405248346051675E-2</v>
      </c>
      <c r="AR194">
        <f t="shared" si="67"/>
        <v>-2.8622781422102728E-2</v>
      </c>
      <c r="AS194">
        <f t="shared" si="67"/>
        <v>-3.2578329327874425E-2</v>
      </c>
      <c r="AT194">
        <f t="shared" si="67"/>
        <v>-3.7836541118093703E-2</v>
      </c>
      <c r="AU194">
        <f t="shared" si="67"/>
        <v>-4.6124133709016822E-2</v>
      </c>
      <c r="AV194">
        <f t="shared" si="67"/>
        <v>-5.3708903734945315E-2</v>
      </c>
      <c r="AX194">
        <v>57</v>
      </c>
      <c r="AY194">
        <f t="shared" si="65"/>
        <v>-1.2735429053112462E-2</v>
      </c>
      <c r="AZ194">
        <f t="shared" si="65"/>
        <v>-1.4047278514328562E-2</v>
      </c>
      <c r="BA194">
        <f t="shared" ref="AZ194:BI237" si="68">_xlfn.NORM.INV(1-BA$137,$V$127,$AA$128)*SQRT($AX194)</f>
        <v>-1.5472424767339446E-2</v>
      </c>
      <c r="BB194">
        <f t="shared" si="68"/>
        <v>-1.7039449448967212E-2</v>
      </c>
      <c r="BC194">
        <f t="shared" si="68"/>
        <v>-1.8789570522037741E-2</v>
      </c>
      <c r="BD194">
        <f t="shared" si="68"/>
        <v>-2.0785592809449749E-2</v>
      </c>
      <c r="BE194">
        <f t="shared" si="68"/>
        <v>-2.3130662099876711E-2</v>
      </c>
      <c r="BF194">
        <f t="shared" si="68"/>
        <v>-2.6013626688393882E-2</v>
      </c>
      <c r="BG194">
        <f t="shared" si="68"/>
        <v>-2.9846025827842085E-2</v>
      </c>
      <c r="BH194">
        <f t="shared" si="68"/>
        <v>-3.5886361208138096E-2</v>
      </c>
      <c r="BI194">
        <f t="shared" si="68"/>
        <v>-4.1414450847728046E-2</v>
      </c>
      <c r="BK194">
        <v>57</v>
      </c>
      <c r="BL194">
        <f t="shared" si="52"/>
        <v>-2.0742509058076303E-2</v>
      </c>
      <c r="BM194">
        <f t="shared" si="53"/>
        <v>-2.2509374558080303E-2</v>
      </c>
      <c r="BN194">
        <f t="shared" si="54"/>
        <v>-2.4428833933068821E-2</v>
      </c>
      <c r="BO194">
        <f t="shared" si="55"/>
        <v>-2.6539382383541362E-2</v>
      </c>
      <c r="BP194">
        <f t="shared" si="56"/>
        <v>-2.8896534355820045E-2</v>
      </c>
      <c r="BQ194">
        <f t="shared" si="57"/>
        <v>-3.1584878576046388E-2</v>
      </c>
      <c r="BR194">
        <f t="shared" si="58"/>
        <v>-3.4743337032501639E-2</v>
      </c>
      <c r="BS194">
        <f t="shared" si="59"/>
        <v>-3.8626260203017071E-2</v>
      </c>
      <c r="BT194">
        <f t="shared" si="60"/>
        <v>-4.3787930060668986E-2</v>
      </c>
      <c r="BU194">
        <f t="shared" si="61"/>
        <v>-5.1923360616858732E-2</v>
      </c>
      <c r="BV194">
        <f t="shared" si="62"/>
        <v>-5.9368872585942839E-2</v>
      </c>
    </row>
    <row r="195" spans="24:74">
      <c r="X195">
        <v>58</v>
      </c>
      <c r="Y195">
        <f t="shared" ref="Y195:Y237" si="69">_xlfn.NORM.INV(1-Y$137,$T$127,$Y$128)*SQRT($X195)</f>
        <v>-1.9284822186763709E-2</v>
      </c>
      <c r="Z195">
        <f t="shared" si="66"/>
        <v>-2.0574793654247941E-2</v>
      </c>
      <c r="AA195">
        <f t="shared" si="66"/>
        <v>-2.1976172438725152E-2</v>
      </c>
      <c r="AB195">
        <f t="shared" si="66"/>
        <v>-2.3517063514953907E-2</v>
      </c>
      <c r="AC195">
        <f t="shared" si="66"/>
        <v>-2.52379974449881E-2</v>
      </c>
      <c r="AD195">
        <f t="shared" si="66"/>
        <v>-2.7200731642277189E-2</v>
      </c>
      <c r="AE195">
        <f t="shared" si="66"/>
        <v>-2.9506691711140579E-2</v>
      </c>
      <c r="AF195">
        <f t="shared" si="66"/>
        <v>-3.2341576483290474E-2</v>
      </c>
      <c r="AG195">
        <f t="shared" si="66"/>
        <v>-3.6110061883525689E-2</v>
      </c>
      <c r="AH195">
        <f t="shared" si="66"/>
        <v>-4.2049661300210456E-2</v>
      </c>
      <c r="AI195">
        <f t="shared" si="66"/>
        <v>-4.7485557807844518E-2</v>
      </c>
      <c r="AK195">
        <v>58</v>
      </c>
      <c r="AL195">
        <f t="shared" ref="AL195:AL236" si="70">_xlfn.NORM.INV(1-AL$137,$U$127,$Z$128)*SQRT($AK195)</f>
        <v>-1.4485505214836386E-2</v>
      </c>
      <c r="AM195">
        <f t="shared" si="67"/>
        <v>-1.6301137559370057E-2</v>
      </c>
      <c r="AN195">
        <f t="shared" si="67"/>
        <v>-1.8273575487010654E-2</v>
      </c>
      <c r="AO195">
        <f t="shared" si="67"/>
        <v>-2.0442376695350883E-2</v>
      </c>
      <c r="AP195">
        <f t="shared" si="67"/>
        <v>-2.2864587872059493E-2</v>
      </c>
      <c r="AQ195">
        <f t="shared" si="67"/>
        <v>-2.5627132457072929E-2</v>
      </c>
      <c r="AR195">
        <f t="shared" si="67"/>
        <v>-2.8872766792223538E-2</v>
      </c>
      <c r="AS195">
        <f t="shared" si="67"/>
        <v>-3.2862861623839813E-2</v>
      </c>
      <c r="AT195">
        <f t="shared" si="67"/>
        <v>-3.8166997533073482E-2</v>
      </c>
      <c r="AU195">
        <f t="shared" si="67"/>
        <v>-4.6526972219597298E-2</v>
      </c>
      <c r="AV195">
        <f t="shared" si="67"/>
        <v>-5.4177986036241001E-2</v>
      </c>
      <c r="AX195">
        <v>58</v>
      </c>
      <c r="AY195">
        <f t="shared" ref="AY195:AY237" si="71">_xlfn.NORM.INV(1-AY$137,$V$127,$AA$128)*SQRT($AX195)</f>
        <v>-1.2846657619565868E-2</v>
      </c>
      <c r="AZ195">
        <f t="shared" si="68"/>
        <v>-1.4169964498852864E-2</v>
      </c>
      <c r="BA195">
        <f t="shared" si="68"/>
        <v>-1.5607557680353377E-2</v>
      </c>
      <c r="BB195">
        <f t="shared" si="68"/>
        <v>-1.7188268426911322E-2</v>
      </c>
      <c r="BC195">
        <f t="shared" si="68"/>
        <v>-1.8953674690395592E-2</v>
      </c>
      <c r="BD195">
        <f t="shared" si="68"/>
        <v>-2.0967129817856568E-2</v>
      </c>
      <c r="BE195">
        <f t="shared" si="68"/>
        <v>-2.3332680451654084E-2</v>
      </c>
      <c r="BF195">
        <f t="shared" si="68"/>
        <v>-2.6240824248266979E-2</v>
      </c>
      <c r="BG195">
        <f t="shared" si="68"/>
        <v>-3.0106694758061665E-2</v>
      </c>
      <c r="BH195">
        <f t="shared" si="68"/>
        <v>-3.6199785160779471E-2</v>
      </c>
      <c r="BI195">
        <f t="shared" si="68"/>
        <v>-4.1776155975920957E-2</v>
      </c>
      <c r="BK195">
        <v>58</v>
      </c>
      <c r="BL195">
        <f t="shared" si="52"/>
        <v>-2.0923669782034228E-2</v>
      </c>
      <c r="BM195">
        <f t="shared" si="53"/>
        <v>-2.2705966714765137E-2</v>
      </c>
      <c r="BN195">
        <f t="shared" si="54"/>
        <v>-2.4642190245382431E-2</v>
      </c>
      <c r="BO195">
        <f t="shared" si="55"/>
        <v>-2.6771171783393468E-2</v>
      </c>
      <c r="BP195">
        <f t="shared" si="56"/>
        <v>-2.9148910626652001E-2</v>
      </c>
      <c r="BQ195">
        <f t="shared" si="57"/>
        <v>-3.1860734281493545E-2</v>
      </c>
      <c r="BR195">
        <f t="shared" si="58"/>
        <v>-3.5046778051710033E-2</v>
      </c>
      <c r="BS195">
        <f t="shared" si="59"/>
        <v>-3.8963613858863301E-2</v>
      </c>
      <c r="BT195">
        <f t="shared" si="60"/>
        <v>-4.4170364658537513E-2</v>
      </c>
      <c r="BU195">
        <f t="shared" si="61"/>
        <v>-5.2376848359028283E-2</v>
      </c>
      <c r="BV195">
        <f t="shared" si="62"/>
        <v>-5.9887387868164561E-2</v>
      </c>
    </row>
    <row r="196" spans="24:74">
      <c r="X196">
        <v>59</v>
      </c>
      <c r="Y196">
        <f t="shared" si="69"/>
        <v>-1.9450360177380693E-2</v>
      </c>
      <c r="Z196">
        <f t="shared" si="66"/>
        <v>-2.0751404564418582E-2</v>
      </c>
      <c r="AA196">
        <f t="shared" si="66"/>
        <v>-2.2164812571972312E-2</v>
      </c>
      <c r="AB196">
        <f t="shared" si="66"/>
        <v>-2.3718930423643866E-2</v>
      </c>
      <c r="AC196">
        <f t="shared" si="66"/>
        <v>-2.5454636589688506E-2</v>
      </c>
      <c r="AD196">
        <f t="shared" si="66"/>
        <v>-2.7434218599832073E-2</v>
      </c>
      <c r="AE196">
        <f t="shared" si="66"/>
        <v>-2.9759972680408191E-2</v>
      </c>
      <c r="AF196">
        <f t="shared" si="66"/>
        <v>-3.2619191673753781E-2</v>
      </c>
      <c r="AG196">
        <f t="shared" si="66"/>
        <v>-3.6420025181468696E-2</v>
      </c>
      <c r="AH196">
        <f t="shared" si="66"/>
        <v>-4.2410609219270826E-2</v>
      </c>
      <c r="AI196">
        <f t="shared" si="66"/>
        <v>-4.7893166638598092E-2</v>
      </c>
      <c r="AK196">
        <v>59</v>
      </c>
      <c r="AL196">
        <f t="shared" si="70"/>
        <v>-1.4609846596007206E-2</v>
      </c>
      <c r="AM196">
        <f t="shared" si="67"/>
        <v>-1.6441064053387786E-2</v>
      </c>
      <c r="AN196">
        <f t="shared" si="67"/>
        <v>-1.8430433089233388E-2</v>
      </c>
      <c r="AO196">
        <f t="shared" si="67"/>
        <v>-2.0617850958417019E-2</v>
      </c>
      <c r="AP196">
        <f t="shared" si="67"/>
        <v>-2.3060854028727717E-2</v>
      </c>
      <c r="AQ196">
        <f t="shared" si="67"/>
        <v>-2.5847111877735196E-2</v>
      </c>
      <c r="AR196">
        <f t="shared" si="67"/>
        <v>-2.9120606246072274E-2</v>
      </c>
      <c r="AS196">
        <f t="shared" si="67"/>
        <v>-3.31449514469375E-2</v>
      </c>
      <c r="AT196">
        <f t="shared" si="67"/>
        <v>-3.8494617254858886E-2</v>
      </c>
      <c r="AU196">
        <f t="shared" si="67"/>
        <v>-4.6926352696955852E-2</v>
      </c>
      <c r="AV196">
        <f t="shared" si="67"/>
        <v>-5.4643041656524081E-2</v>
      </c>
      <c r="AX196">
        <v>59</v>
      </c>
      <c r="AY196">
        <f t="shared" si="71"/>
        <v>-1.2956931381381879E-2</v>
      </c>
      <c r="AZ196">
        <f t="shared" si="68"/>
        <v>-1.4291597326344739E-2</v>
      </c>
      <c r="BA196">
        <f t="shared" si="68"/>
        <v>-1.5741530589816744E-2</v>
      </c>
      <c r="BB196">
        <f t="shared" si="68"/>
        <v>-1.7335809917832051E-2</v>
      </c>
      <c r="BC196">
        <f t="shared" si="68"/>
        <v>-1.9116370161096356E-2</v>
      </c>
      <c r="BD196">
        <f t="shared" si="68"/>
        <v>-2.1147108482188547E-2</v>
      </c>
      <c r="BE196">
        <f t="shared" si="68"/>
        <v>-2.3532964644075935E-2</v>
      </c>
      <c r="BF196">
        <f t="shared" si="68"/>
        <v>-2.6466071506246521E-2</v>
      </c>
      <c r="BG196">
        <f t="shared" si="68"/>
        <v>-3.0365126062540538E-2</v>
      </c>
      <c r="BH196">
        <f t="shared" si="68"/>
        <v>-3.6510518629734916E-2</v>
      </c>
      <c r="BI196">
        <f t="shared" si="68"/>
        <v>-4.213475616673331E-2</v>
      </c>
      <c r="BK196">
        <v>59</v>
      </c>
      <c r="BL196">
        <f t="shared" si="52"/>
        <v>-2.1103275392006019E-2</v>
      </c>
      <c r="BM196">
        <f t="shared" si="53"/>
        <v>-2.2900871291461629E-2</v>
      </c>
      <c r="BN196">
        <f t="shared" si="54"/>
        <v>-2.4853715071388959E-2</v>
      </c>
      <c r="BO196">
        <f t="shared" si="55"/>
        <v>-2.7000971464228838E-2</v>
      </c>
      <c r="BP196">
        <f t="shared" si="56"/>
        <v>-2.9399120457319867E-2</v>
      </c>
      <c r="BQ196">
        <f t="shared" si="57"/>
        <v>-3.2134221995378714E-2</v>
      </c>
      <c r="BR196">
        <f t="shared" si="58"/>
        <v>-3.534761428240453E-2</v>
      </c>
      <c r="BS196">
        <f t="shared" si="59"/>
        <v>-3.9298071614444763E-2</v>
      </c>
      <c r="BT196">
        <f t="shared" si="60"/>
        <v>-4.4549516373787054E-2</v>
      </c>
      <c r="BU196">
        <f t="shared" si="61"/>
        <v>-5.2826443286491755E-2</v>
      </c>
      <c r="BV196">
        <f t="shared" si="62"/>
        <v>-6.0401452128388856E-2</v>
      </c>
    </row>
    <row r="197" spans="24:74">
      <c r="X197">
        <v>60</v>
      </c>
      <c r="Y197">
        <f t="shared" si="69"/>
        <v>-1.9614501147992007E-2</v>
      </c>
      <c r="Z197">
        <f t="shared" si="66"/>
        <v>-2.0926525007211864E-2</v>
      </c>
      <c r="AA197">
        <f t="shared" si="66"/>
        <v>-2.2351860719965599E-2</v>
      </c>
      <c r="AB197">
        <f t="shared" si="66"/>
        <v>-2.3919093722734167E-2</v>
      </c>
      <c r="AC197">
        <f t="shared" si="66"/>
        <v>-2.5669447457882535E-2</v>
      </c>
      <c r="AD197">
        <f t="shared" si="66"/>
        <v>-2.7665735097617866E-2</v>
      </c>
      <c r="AE197">
        <f t="shared" si="66"/>
        <v>-3.0011116142872659E-2</v>
      </c>
      <c r="AF197">
        <f t="shared" si="66"/>
        <v>-3.2894463994320514E-2</v>
      </c>
      <c r="AG197">
        <f t="shared" si="66"/>
        <v>-3.6727372615061558E-2</v>
      </c>
      <c r="AH197">
        <f t="shared" si="66"/>
        <v>-4.2768511000933658E-2</v>
      </c>
      <c r="AI197">
        <f t="shared" si="66"/>
        <v>-4.8297335547863376E-2</v>
      </c>
      <c r="AK197">
        <v>60</v>
      </c>
      <c r="AL197">
        <f t="shared" si="70"/>
        <v>-1.473313862653422E-2</v>
      </c>
      <c r="AM197">
        <f t="shared" si="67"/>
        <v>-1.6579809669766871E-2</v>
      </c>
      <c r="AN197">
        <f t="shared" si="67"/>
        <v>-1.8585966927602702E-2</v>
      </c>
      <c r="AO197">
        <f t="shared" si="67"/>
        <v>-2.0791844346579033E-2</v>
      </c>
      <c r="AP197">
        <f t="shared" si="67"/>
        <v>-2.3255463842061824E-2</v>
      </c>
      <c r="AQ197">
        <f t="shared" si="67"/>
        <v>-2.6065234832396183E-2</v>
      </c>
      <c r="AR197">
        <f t="shared" si="67"/>
        <v>-2.9366354115542517E-2</v>
      </c>
      <c r="AS197">
        <f t="shared" si="67"/>
        <v>-3.3424660637500048E-2</v>
      </c>
      <c r="AT197">
        <f t="shared" si="67"/>
        <v>-3.881947210494395E-2</v>
      </c>
      <c r="AU197">
        <f t="shared" si="67"/>
        <v>-4.732236269413239E-2</v>
      </c>
      <c r="AV197">
        <f t="shared" si="67"/>
        <v>-5.5104172546279369E-2</v>
      </c>
      <c r="AX197">
        <v>60</v>
      </c>
      <c r="AY197">
        <f t="shared" si="71"/>
        <v>-1.3066274513009717E-2</v>
      </c>
      <c r="AZ197">
        <f t="shared" si="68"/>
        <v>-1.441220366141201E-2</v>
      </c>
      <c r="BA197">
        <f t="shared" si="68"/>
        <v>-1.5874372865556451E-2</v>
      </c>
      <c r="BB197">
        <f t="shared" si="68"/>
        <v>-1.7482106266089668E-2</v>
      </c>
      <c r="BC197">
        <f t="shared" si="68"/>
        <v>-1.9277692600588071E-2</v>
      </c>
      <c r="BD197">
        <f t="shared" si="68"/>
        <v>-2.1325568257752281E-2</v>
      </c>
      <c r="BE197">
        <f t="shared" si="68"/>
        <v>-2.3731558583870039E-2</v>
      </c>
      <c r="BF197">
        <f t="shared" si="68"/>
        <v>-2.6689417841516738E-2</v>
      </c>
      <c r="BG197">
        <f t="shared" si="68"/>
        <v>-3.0621376395140371E-2</v>
      </c>
      <c r="BH197">
        <f t="shared" si="68"/>
        <v>-3.6818629734658125E-2</v>
      </c>
      <c r="BI197">
        <f t="shared" si="68"/>
        <v>-4.2490330033263635E-2</v>
      </c>
      <c r="BK197">
        <v>60</v>
      </c>
      <c r="BL197">
        <f t="shared" si="52"/>
        <v>-2.128136526151651E-2</v>
      </c>
      <c r="BM197">
        <f t="shared" si="53"/>
        <v>-2.3094131015566729E-2</v>
      </c>
      <c r="BN197">
        <f t="shared" si="54"/>
        <v>-2.506345478201185E-2</v>
      </c>
      <c r="BO197">
        <f t="shared" si="55"/>
        <v>-2.7228831803223531E-2</v>
      </c>
      <c r="BP197">
        <f t="shared" si="56"/>
        <v>-2.9647218699356291E-2</v>
      </c>
      <c r="BQ197">
        <f t="shared" si="57"/>
        <v>-3.2405401672261767E-2</v>
      </c>
      <c r="BR197">
        <f t="shared" si="58"/>
        <v>-3.5645911674545144E-2</v>
      </c>
      <c r="BS197">
        <f t="shared" si="59"/>
        <v>-3.9629706790303823E-2</v>
      </c>
      <c r="BT197">
        <f t="shared" si="60"/>
        <v>-4.4925468324865131E-2</v>
      </c>
      <c r="BU197">
        <f t="shared" si="61"/>
        <v>-5.3272243960407924E-2</v>
      </c>
      <c r="BV197">
        <f t="shared" si="62"/>
        <v>-6.0911178060879118E-2</v>
      </c>
    </row>
    <row r="198" spans="24:74">
      <c r="X198">
        <v>61</v>
      </c>
      <c r="Y198">
        <f t="shared" si="69"/>
        <v>-1.9777279882211372E-2</v>
      </c>
      <c r="Z198">
        <f t="shared" si="66"/>
        <v>-2.1100192092934945E-2</v>
      </c>
      <c r="AA198">
        <f t="shared" si="66"/>
        <v>-2.2537356520648553E-2</v>
      </c>
      <c r="AB198">
        <f t="shared" si="66"/>
        <v>-2.4117595829440033E-2</v>
      </c>
      <c r="AC198">
        <f t="shared" si="66"/>
        <v>-2.5882475570796457E-2</v>
      </c>
      <c r="AD198">
        <f t="shared" si="66"/>
        <v>-2.7895330197001748E-2</v>
      </c>
      <c r="AE198">
        <f t="shared" si="66"/>
        <v>-3.0260175319111116E-2</v>
      </c>
      <c r="AF198">
        <f t="shared" si="66"/>
        <v>-3.3167451778787729E-2</v>
      </c>
      <c r="AG198">
        <f t="shared" si="66"/>
        <v>-3.7032169315236355E-2</v>
      </c>
      <c r="AH198">
        <f t="shared" si="66"/>
        <v>-4.3123442489257112E-2</v>
      </c>
      <c r="AI198">
        <f t="shared" si="66"/>
        <v>-4.8698150184306677E-2</v>
      </c>
      <c r="AK198">
        <v>61</v>
      </c>
      <c r="AL198">
        <f t="shared" si="70"/>
        <v>-1.4855407433607663E-2</v>
      </c>
      <c r="AM198">
        <f t="shared" si="67"/>
        <v>-1.6717403810514057E-2</v>
      </c>
      <c r="AN198">
        <f t="shared" si="67"/>
        <v>-1.8740209961768669E-2</v>
      </c>
      <c r="AO198">
        <f t="shared" si="67"/>
        <v>-2.0964393731306499E-2</v>
      </c>
      <c r="AP198">
        <f t="shared" si="67"/>
        <v>-2.344845855242093E-2</v>
      </c>
      <c r="AQ198">
        <f t="shared" si="67"/>
        <v>-2.62815475441565E-2</v>
      </c>
      <c r="AR198">
        <f t="shared" si="67"/>
        <v>-2.9610062477814839E-2</v>
      </c>
      <c r="AS198">
        <f t="shared" si="67"/>
        <v>-3.3702048469555164E-2</v>
      </c>
      <c r="AT198">
        <f t="shared" si="67"/>
        <v>-3.9141630924310798E-2</v>
      </c>
      <c r="AU198">
        <f t="shared" si="67"/>
        <v>-4.7715086130813274E-2</v>
      </c>
      <c r="AV198">
        <f t="shared" si="67"/>
        <v>-5.5561476425160183E-2</v>
      </c>
      <c r="AX198">
        <v>61</v>
      </c>
      <c r="AY198">
        <f t="shared" si="71"/>
        <v>-1.317471018568591E-2</v>
      </c>
      <c r="AZ198">
        <f t="shared" si="68"/>
        <v>-1.4531809062110998E-2</v>
      </c>
      <c r="BA198">
        <f t="shared" si="68"/>
        <v>-1.6006112658584325E-2</v>
      </c>
      <c r="BB198">
        <f t="shared" si="68"/>
        <v>-1.7627188473789551E-2</v>
      </c>
      <c r="BC198">
        <f t="shared" si="68"/>
        <v>-1.9437676195200926E-2</v>
      </c>
      <c r="BD198">
        <f t="shared" si="68"/>
        <v>-2.1502546962503127E-2</v>
      </c>
      <c r="BE198">
        <f t="shared" si="68"/>
        <v>-2.3928504355683895E-2</v>
      </c>
      <c r="BF198">
        <f t="shared" si="68"/>
        <v>-2.6910910584080756E-2</v>
      </c>
      <c r="BG198">
        <f t="shared" si="68"/>
        <v>-3.087550005865072E-2</v>
      </c>
      <c r="BH198">
        <f t="shared" si="68"/>
        <v>-3.7124183768313099E-2</v>
      </c>
      <c r="BI198">
        <f t="shared" si="68"/>
        <v>-4.2842952926254507E-2</v>
      </c>
      <c r="BK198">
        <v>61</v>
      </c>
      <c r="BL198">
        <f t="shared" si="52"/>
        <v>-2.1457977130133123E-2</v>
      </c>
      <c r="BM198">
        <f t="shared" si="53"/>
        <v>-2.3285786841338009E-2</v>
      </c>
      <c r="BN198">
        <f t="shared" si="54"/>
        <v>-2.5271453823832894E-2</v>
      </c>
      <c r="BO198">
        <f t="shared" si="55"/>
        <v>-2.7454801086956984E-2</v>
      </c>
      <c r="BP198">
        <f t="shared" si="56"/>
        <v>-2.9893257928016462E-2</v>
      </c>
      <c r="BQ198">
        <f t="shared" si="57"/>
        <v>-3.2674330778655114E-2</v>
      </c>
      <c r="BR198">
        <f t="shared" si="58"/>
        <v>-3.594173344124206E-2</v>
      </c>
      <c r="BS198">
        <f t="shared" si="59"/>
        <v>-3.9958589664262148E-2</v>
      </c>
      <c r="BT198">
        <f t="shared" si="60"/>
        <v>-4.5298300180896423E-2</v>
      </c>
      <c r="BU198">
        <f t="shared" si="61"/>
        <v>-5.3714344851757287E-2</v>
      </c>
      <c r="BV198">
        <f t="shared" si="62"/>
        <v>-6.1416673683212353E-2</v>
      </c>
    </row>
    <row r="199" spans="24:74">
      <c r="X199">
        <v>62</v>
      </c>
      <c r="Y199">
        <f t="shared" si="69"/>
        <v>-1.9938729743744103E-2</v>
      </c>
      <c r="Z199">
        <f t="shared" si="66"/>
        <v>-2.1272441417008195E-2</v>
      </c>
      <c r="AA199">
        <f t="shared" si="66"/>
        <v>-2.2721337993896817E-2</v>
      </c>
      <c r="AB199">
        <f t="shared" si="66"/>
        <v>-2.4314477429455597E-2</v>
      </c>
      <c r="AC199">
        <f t="shared" si="66"/>
        <v>-2.6093764591426025E-2</v>
      </c>
      <c r="AD199">
        <f t="shared" si="66"/>
        <v>-2.8123050956607651E-2</v>
      </c>
      <c r="AE199">
        <f t="shared" si="66"/>
        <v>-3.0507201257173554E-2</v>
      </c>
      <c r="AF199">
        <f t="shared" si="66"/>
        <v>-3.3438210979697618E-2</v>
      </c>
      <c r="AG199">
        <f t="shared" si="66"/>
        <v>-3.7334477754203191E-2</v>
      </c>
      <c r="AH199">
        <f t="shared" si="66"/>
        <v>-4.3475476432254877E-2</v>
      </c>
      <c r="AI199">
        <f t="shared" si="66"/>
        <v>-4.9095692700314053E-2</v>
      </c>
      <c r="AK199">
        <v>62</v>
      </c>
      <c r="AL199">
        <f t="shared" si="70"/>
        <v>-1.4976678077874849E-2</v>
      </c>
      <c r="AM199">
        <f t="shared" si="67"/>
        <v>-1.6853874677411271E-2</v>
      </c>
      <c r="AN199">
        <f t="shared" si="67"/>
        <v>-1.8893193805929322E-2</v>
      </c>
      <c r="AO199">
        <f t="shared" si="67"/>
        <v>-2.1135534478931829E-2</v>
      </c>
      <c r="AP199">
        <f t="shared" si="67"/>
        <v>-2.3639877716683723E-2</v>
      </c>
      <c r="AQ199">
        <f t="shared" si="67"/>
        <v>-2.6496094349234906E-2</v>
      </c>
      <c r="AR199">
        <f t="shared" si="67"/>
        <v>-2.9851781284217459E-2</v>
      </c>
      <c r="AS199">
        <f t="shared" si="67"/>
        <v>-3.397717179749437E-2</v>
      </c>
      <c r="AT199">
        <f t="shared" si="67"/>
        <v>-3.9461159743770909E-2</v>
      </c>
      <c r="AU199">
        <f t="shared" si="67"/>
        <v>-4.8104603500983632E-2</v>
      </c>
      <c r="AV199">
        <f t="shared" si="67"/>
        <v>-5.6015047023787574E-2</v>
      </c>
      <c r="AX199">
        <v>62</v>
      </c>
      <c r="AY199">
        <f t="shared" si="71"/>
        <v>-1.3282260624769599E-2</v>
      </c>
      <c r="AZ199">
        <f t="shared" si="68"/>
        <v>-1.4650438043187821E-2</v>
      </c>
      <c r="BA199">
        <f t="shared" si="68"/>
        <v>-1.6136776970754475E-2</v>
      </c>
      <c r="BB199">
        <f t="shared" si="68"/>
        <v>-1.7771086277494314E-2</v>
      </c>
      <c r="BC199">
        <f t="shared" si="68"/>
        <v>-1.9596353735738533E-2</v>
      </c>
      <c r="BD199">
        <f t="shared" si="68"/>
        <v>-2.1678080870622597E-2</v>
      </c>
      <c r="BE199">
        <f t="shared" si="68"/>
        <v>-2.4123842326219738E-2</v>
      </c>
      <c r="BF199">
        <f t="shared" si="68"/>
        <v>-2.7130595131874782E-2</v>
      </c>
      <c r="BG199">
        <f t="shared" si="68"/>
        <v>-3.1127549139156808E-2</v>
      </c>
      <c r="BH199">
        <f t="shared" si="68"/>
        <v>-3.7427243358135701E-2</v>
      </c>
      <c r="BI199">
        <f t="shared" si="68"/>
        <v>-4.3192697120541731E-2</v>
      </c>
      <c r="BK199">
        <v>62</v>
      </c>
      <c r="BL199">
        <f t="shared" si="52"/>
        <v>-2.1633147196849348E-2</v>
      </c>
      <c r="BM199">
        <f t="shared" si="53"/>
        <v>-2.3475878051231643E-2</v>
      </c>
      <c r="BN199">
        <f t="shared" si="54"/>
        <v>-2.5477754829071664E-2</v>
      </c>
      <c r="BO199">
        <f t="shared" si="55"/>
        <v>-2.7678925630893112E-2</v>
      </c>
      <c r="BP199">
        <f t="shared" si="56"/>
        <v>-3.0137288572371215E-2</v>
      </c>
      <c r="BQ199">
        <f t="shared" si="57"/>
        <v>-3.2941064435219956E-2</v>
      </c>
      <c r="BR199">
        <f t="shared" si="58"/>
        <v>-3.6235140215171276E-2</v>
      </c>
      <c r="BS199">
        <f t="shared" si="59"/>
        <v>-4.0284787645317205E-2</v>
      </c>
      <c r="BT199">
        <f t="shared" si="60"/>
        <v>-4.5668088358817298E-2</v>
      </c>
      <c r="BU199">
        <f t="shared" si="61"/>
        <v>-5.4152836575102808E-2</v>
      </c>
      <c r="BV199">
        <f t="shared" si="62"/>
        <v>-6.1918042603559889E-2</v>
      </c>
    </row>
    <row r="200" spans="24:74">
      <c r="X200">
        <v>63</v>
      </c>
      <c r="Y200">
        <f t="shared" si="69"/>
        <v>-2.0098882756233213E-2</v>
      </c>
      <c r="Z200">
        <f t="shared" si="66"/>
        <v>-2.1443307145152229E-2</v>
      </c>
      <c r="AA200">
        <f t="shared" si="66"/>
        <v>-2.2903841632507374E-2</v>
      </c>
      <c r="AB200">
        <f t="shared" si="66"/>
        <v>-2.450977757432303E-2</v>
      </c>
      <c r="AC200">
        <f t="shared" si="66"/>
        <v>-2.6303356429030911E-2</v>
      </c>
      <c r="AD200">
        <f t="shared" si="66"/>
        <v>-2.8348942544937073E-2</v>
      </c>
      <c r="AE200">
        <f t="shared" si="66"/>
        <v>-3.0752242954751145E-2</v>
      </c>
      <c r="AF200">
        <f t="shared" si="66"/>
        <v>-3.3706795302243305E-2</v>
      </c>
      <c r="AG200">
        <f t="shared" si="66"/>
        <v>-3.7634357894958864E-2</v>
      </c>
      <c r="AH200">
        <f t="shared" si="66"/>
        <v>-4.3824682655996865E-2</v>
      </c>
      <c r="AI200">
        <f t="shared" si="66"/>
        <v>-4.9490041948598636E-2</v>
      </c>
      <c r="AK200">
        <v>63</v>
      </c>
      <c r="AL200">
        <f t="shared" si="70"/>
        <v>-1.5096974613415377E-2</v>
      </c>
      <c r="AM200">
        <f t="shared" si="67"/>
        <v>-1.6989249339508197E-2</v>
      </c>
      <c r="AN200">
        <f t="shared" si="67"/>
        <v>-1.9044948804489824E-2</v>
      </c>
      <c r="AO200">
        <f t="shared" si="67"/>
        <v>-2.1305300535289076E-2</v>
      </c>
      <c r="AP200">
        <f t="shared" si="67"/>
        <v>-2.3829759302916115E-2</v>
      </c>
      <c r="AQ200">
        <f t="shared" si="67"/>
        <v>-2.6708917803073887E-2</v>
      </c>
      <c r="AR200">
        <f t="shared" si="67"/>
        <v>-3.0091558479769923E-2</v>
      </c>
      <c r="AS200">
        <f t="shared" si="67"/>
        <v>-3.4250085192137077E-2</v>
      </c>
      <c r="AT200">
        <f t="shared" si="67"/>
        <v>-3.977812194199027E-2</v>
      </c>
      <c r="AU200">
        <f t="shared" si="67"/>
        <v>-4.8490992065565779E-2</v>
      </c>
      <c r="AV200">
        <f t="shared" si="67"/>
        <v>-5.6464974308066726E-2</v>
      </c>
      <c r="AX200">
        <v>63</v>
      </c>
      <c r="AY200">
        <f t="shared" si="71"/>
        <v>-1.3388947162932331E-2</v>
      </c>
      <c r="AZ200">
        <f t="shared" si="68"/>
        <v>-1.4768114134747153E-2</v>
      </c>
      <c r="BA200">
        <f t="shared" si="68"/>
        <v>-1.6266391719384193E-2</v>
      </c>
      <c r="BB200">
        <f t="shared" si="68"/>
        <v>-1.7913828219389465E-2</v>
      </c>
      <c r="BC200">
        <f t="shared" si="68"/>
        <v>-1.9753756695952959E-2</v>
      </c>
      <c r="BD200">
        <f t="shared" si="68"/>
        <v>-2.1852204799329845E-2</v>
      </c>
      <c r="BE200">
        <f t="shared" si="68"/>
        <v>-2.4317611240840219E-2</v>
      </c>
      <c r="BF200">
        <f t="shared" si="68"/>
        <v>-2.7348515059414571E-2</v>
      </c>
      <c r="BG200">
        <f t="shared" si="68"/>
        <v>-3.1377573630692074E-2</v>
      </c>
      <c r="BH200">
        <f t="shared" si="68"/>
        <v>-3.772786861611379E-2</v>
      </c>
      <c r="BI200">
        <f t="shared" si="68"/>
        <v>-4.3539631988022694E-2</v>
      </c>
      <c r="BK200">
        <v>63</v>
      </c>
      <c r="BL200">
        <f t="shared" si="52"/>
        <v>-2.1806910206716254E-2</v>
      </c>
      <c r="BM200">
        <f t="shared" si="53"/>
        <v>-2.3664442349913276E-2</v>
      </c>
      <c r="BN200">
        <f t="shared" si="54"/>
        <v>-2.5682398717613009E-2</v>
      </c>
      <c r="BO200">
        <f t="shared" si="55"/>
        <v>-2.7901249890222642E-2</v>
      </c>
      <c r="BP200">
        <f t="shared" si="56"/>
        <v>-3.0379359035994064E-2</v>
      </c>
      <c r="BQ200">
        <f t="shared" si="57"/>
        <v>-3.3205655548681115E-2</v>
      </c>
      <c r="BR200">
        <f t="shared" si="58"/>
        <v>-3.6526190193680849E-2</v>
      </c>
      <c r="BS200">
        <f t="shared" si="59"/>
        <v>-4.0608365434965807E-2</v>
      </c>
      <c r="BT200">
        <f t="shared" si="60"/>
        <v>-4.6034906206257054E-2</v>
      </c>
      <c r="BU200">
        <f t="shared" si="61"/>
        <v>-5.4587806105448854E-2</v>
      </c>
      <c r="BV200">
        <f t="shared" si="62"/>
        <v>-6.2415384268642675E-2</v>
      </c>
    </row>
    <row r="201" spans="24:74">
      <c r="X201">
        <v>64</v>
      </c>
      <c r="Y201">
        <f t="shared" si="69"/>
        <v>-2.0257769677423813E-2</v>
      </c>
      <c r="Z201">
        <f t="shared" si="66"/>
        <v>-2.1612822092513223E-2</v>
      </c>
      <c r="AA201">
        <f t="shared" si="66"/>
        <v>-2.3084902486713195E-2</v>
      </c>
      <c r="AB201">
        <f t="shared" si="66"/>
        <v>-2.470353377187301E-2</v>
      </c>
      <c r="AC201">
        <f t="shared" si="66"/>
        <v>-2.6511291336193434E-2</v>
      </c>
      <c r="AD201">
        <f t="shared" si="66"/>
        <v>-2.8573048344976003E-2</v>
      </c>
      <c r="AE201">
        <f t="shared" si="66"/>
        <v>-3.09953474726513E-2</v>
      </c>
      <c r="AF201">
        <f t="shared" si="66"/>
        <v>-3.3973256328646097E-2</v>
      </c>
      <c r="AG201">
        <f t="shared" si="66"/>
        <v>-3.7931867330156736E-2</v>
      </c>
      <c r="AH201">
        <f t="shared" si="66"/>
        <v>-4.4171128226321264E-2</v>
      </c>
      <c r="AI201">
        <f t="shared" si="66"/>
        <v>-4.9881273664817684E-2</v>
      </c>
      <c r="AK201">
        <v>64</v>
      </c>
      <c r="AL201">
        <f t="shared" si="70"/>
        <v>-1.5216320143448599E-2</v>
      </c>
      <c r="AM201">
        <f t="shared" si="67"/>
        <v>-1.7123553795812207E-2</v>
      </c>
      <c r="AN201">
        <f t="shared" si="67"/>
        <v>-1.919550410233789E-2</v>
      </c>
      <c r="AO201">
        <f t="shared" si="67"/>
        <v>-2.147372450432998E-2</v>
      </c>
      <c r="AP201">
        <f t="shared" si="67"/>
        <v>-2.4018139778302451E-2</v>
      </c>
      <c r="AQ201">
        <f t="shared" si="67"/>
        <v>-2.6920058778894904E-2</v>
      </c>
      <c r="AR201">
        <f t="shared" si="67"/>
        <v>-3.0329440114220216E-2</v>
      </c>
      <c r="AS201">
        <f t="shared" si="67"/>
        <v>-3.4520841067112604E-2</v>
      </c>
      <c r="AT201">
        <f t="shared" si="67"/>
        <v>-4.0092578392269679E-2</v>
      </c>
      <c r="AU201">
        <f t="shared" si="67"/>
        <v>-4.8874326031349835E-2</v>
      </c>
      <c r="AV201">
        <f t="shared" si="67"/>
        <v>-5.6911344687541318E-2</v>
      </c>
      <c r="AX201">
        <v>64</v>
      </c>
      <c r="AY201">
        <f t="shared" si="71"/>
        <v>-1.349479028956295E-2</v>
      </c>
      <c r="AZ201">
        <f t="shared" si="68"/>
        <v>-1.4884859936746205E-2</v>
      </c>
      <c r="BA201">
        <f t="shared" si="68"/>
        <v>-1.6394981797276543E-2</v>
      </c>
      <c r="BB201">
        <f t="shared" si="68"/>
        <v>-1.8055441713384964E-2</v>
      </c>
      <c r="BC201">
        <f t="shared" si="68"/>
        <v>-1.9909915305435611E-2</v>
      </c>
      <c r="BD201">
        <f t="shared" si="68"/>
        <v>-2.2024952189515761E-2</v>
      </c>
      <c r="BE201">
        <f t="shared" si="68"/>
        <v>-2.4509848313299821E-2</v>
      </c>
      <c r="BF201">
        <f t="shared" si="68"/>
        <v>-2.756471221871078E-2</v>
      </c>
      <c r="BG201">
        <f t="shared" si="68"/>
        <v>-3.162562155102068E-2</v>
      </c>
      <c r="BH201">
        <f t="shared" si="68"/>
        <v>-3.8026117278002161E-2</v>
      </c>
      <c r="BI201">
        <f t="shared" si="68"/>
        <v>-4.3883824158316501E-2</v>
      </c>
      <c r="BK201">
        <v>64</v>
      </c>
      <c r="BL201">
        <f t="shared" si="52"/>
        <v>-2.1979299531309462E-2</v>
      </c>
      <c r="BM201">
        <f t="shared" si="53"/>
        <v>-2.3851515951579225E-2</v>
      </c>
      <c r="BN201">
        <f t="shared" si="54"/>
        <v>-2.5885424791774542E-2</v>
      </c>
      <c r="BO201">
        <f t="shared" si="55"/>
        <v>-2.8121816562818026E-2</v>
      </c>
      <c r="BP201">
        <f t="shared" si="56"/>
        <v>-3.0619515809060274E-2</v>
      </c>
      <c r="BQ201">
        <f t="shared" si="57"/>
        <v>-3.3468154934355149E-2</v>
      </c>
      <c r="BR201">
        <f t="shared" si="58"/>
        <v>-3.6814939273571698E-2</v>
      </c>
      <c r="BS201">
        <f t="shared" si="59"/>
        <v>-4.0929385177047931E-2</v>
      </c>
      <c r="BT201">
        <f t="shared" si="60"/>
        <v>-4.6398824171405742E-2</v>
      </c>
      <c r="BU201">
        <f t="shared" si="61"/>
        <v>-5.5019336979668945E-2</v>
      </c>
      <c r="BV201">
        <f t="shared" si="62"/>
        <v>-6.2908794194042508E-2</v>
      </c>
    </row>
    <row r="202" spans="24:74">
      <c r="X202">
        <v>65</v>
      </c>
      <c r="Y202">
        <f t="shared" si="69"/>
        <v>-2.0415420068132191E-2</v>
      </c>
      <c r="Z202">
        <f t="shared" si="66"/>
        <v>-2.1781017797245349E-2</v>
      </c>
      <c r="AA202">
        <f t="shared" si="66"/>
        <v>-2.3264554242777489E-2</v>
      </c>
      <c r="AB202">
        <f t="shared" si="66"/>
        <v>-2.4895782070329758E-2</v>
      </c>
      <c r="AC202">
        <f t="shared" si="66"/>
        <v>-2.6717607999078213E-2</v>
      </c>
      <c r="AD202">
        <f t="shared" si="66"/>
        <v>-2.8795410051473978E-2</v>
      </c>
      <c r="AE202">
        <f t="shared" si="66"/>
        <v>-3.1236560040323599E-2</v>
      </c>
      <c r="AF202">
        <f t="shared" si="66"/>
        <v>-3.4237643633819967E-2</v>
      </c>
      <c r="AG202">
        <f t="shared" si="66"/>
        <v>-3.822706141124859E-2</v>
      </c>
      <c r="AH202">
        <f t="shared" si="66"/>
        <v>-4.4514877599218419E-2</v>
      </c>
      <c r="AI202">
        <f t="shared" si="66"/>
        <v>-5.0269460637397095E-2</v>
      </c>
      <c r="AK202">
        <v>65</v>
      </c>
      <c r="AL202">
        <f t="shared" si="70"/>
        <v>-1.5334736872138719E-2</v>
      </c>
      <c r="AM202">
        <f t="shared" si="67"/>
        <v>-1.7256813033586751E-2</v>
      </c>
      <c r="AN202">
        <f t="shared" si="67"/>
        <v>-1.9344887710196282E-2</v>
      </c>
      <c r="AO202">
        <f t="shared" si="67"/>
        <v>-2.1640837721232851E-2</v>
      </c>
      <c r="AP202">
        <f t="shared" si="67"/>
        <v>-2.4205054190917067E-2</v>
      </c>
      <c r="AQ202">
        <f t="shared" si="67"/>
        <v>-2.7129556559349725E-2</v>
      </c>
      <c r="AR202">
        <f t="shared" si="67"/>
        <v>-3.0565470445303597E-2</v>
      </c>
      <c r="AS202">
        <f t="shared" si="67"/>
        <v>-3.478948979638892E-2</v>
      </c>
      <c r="AT202">
        <f t="shared" si="67"/>
        <v>-4.0404587599042897E-2</v>
      </c>
      <c r="AU202">
        <f t="shared" si="67"/>
        <v>-4.9254676717389964E-2</v>
      </c>
      <c r="AV202">
        <f t="shared" si="67"/>
        <v>-5.7354241209152432E-2</v>
      </c>
      <c r="AX202">
        <v>65</v>
      </c>
      <c r="AY202">
        <f t="shared" si="71"/>
        <v>-1.3599809696711615E-2</v>
      </c>
      <c r="AZ202">
        <f t="shared" si="68"/>
        <v>-1.5000697169671343E-2</v>
      </c>
      <c r="BA202">
        <f t="shared" si="68"/>
        <v>-1.6522571128538312E-2</v>
      </c>
      <c r="BB202">
        <f t="shared" si="68"/>
        <v>-1.8195953106586345E-2</v>
      </c>
      <c r="BC202">
        <f t="shared" si="68"/>
        <v>-2.0064858617402016E-2</v>
      </c>
      <c r="BD202">
        <f t="shared" si="68"/>
        <v>-2.2196355180728568E-2</v>
      </c>
      <c r="BE202">
        <f t="shared" si="68"/>
        <v>-2.470058930919045E-2</v>
      </c>
      <c r="BF202">
        <f t="shared" si="68"/>
        <v>-2.7779226833115084E-2</v>
      </c>
      <c r="BG202">
        <f t="shared" si="68"/>
        <v>-3.1871739049309254E-2</v>
      </c>
      <c r="BH202">
        <f t="shared" si="68"/>
        <v>-3.8322044832785285E-2</v>
      </c>
      <c r="BI202">
        <f t="shared" si="68"/>
        <v>-4.422533766816978E-2</v>
      </c>
      <c r="BK202">
        <v>65</v>
      </c>
      <c r="BL202">
        <f t="shared" si="52"/>
        <v>-2.2150347243559292E-2</v>
      </c>
      <c r="BM202">
        <f t="shared" si="53"/>
        <v>-2.4037133661160757E-2</v>
      </c>
      <c r="BN202">
        <f t="shared" si="54"/>
        <v>-2.6086870824435456E-2</v>
      </c>
      <c r="BO202">
        <f t="shared" si="55"/>
        <v>-2.8340666684976264E-2</v>
      </c>
      <c r="BP202">
        <f t="shared" si="56"/>
        <v>-3.0857803572593261E-2</v>
      </c>
      <c r="BQ202">
        <f t="shared" si="57"/>
        <v>-3.3728611430095132E-2</v>
      </c>
      <c r="BR202">
        <f t="shared" si="58"/>
        <v>-3.7101441176436753E-2</v>
      </c>
      <c r="BS202">
        <f t="shared" si="59"/>
        <v>-4.1247906597093806E-2</v>
      </c>
      <c r="BT202">
        <f t="shared" si="60"/>
        <v>-4.6759909960982234E-2</v>
      </c>
      <c r="BU202">
        <f t="shared" si="61"/>
        <v>-5.5447509483823099E-2</v>
      </c>
      <c r="BV202">
        <f t="shared" si="62"/>
        <v>-6.339836417837974E-2</v>
      </c>
    </row>
    <row r="203" spans="24:74">
      <c r="X203">
        <v>66</v>
      </c>
      <c r="Y203">
        <f t="shared" si="69"/>
        <v>-2.0571862356457613E-2</v>
      </c>
      <c r="Z203">
        <f t="shared" si="66"/>
        <v>-2.1947924589017748E-2</v>
      </c>
      <c r="AA203">
        <f t="shared" si="66"/>
        <v>-2.3442829296166773E-2</v>
      </c>
      <c r="AB203">
        <f t="shared" si="66"/>
        <v>-2.5086557136614722E-2</v>
      </c>
      <c r="AC203">
        <f t="shared" si="66"/>
        <v>-2.6922343621466008E-2</v>
      </c>
      <c r="AD203">
        <f t="shared" si="66"/>
        <v>-2.901606776151313E-2</v>
      </c>
      <c r="AE203">
        <f t="shared" si="66"/>
        <v>-3.1475924154106917E-2</v>
      </c>
      <c r="AF203">
        <f t="shared" si="66"/>
        <v>-3.4500004893057823E-2</v>
      </c>
      <c r="AG203">
        <f t="shared" si="66"/>
        <v>-3.8519993368718683E-2</v>
      </c>
      <c r="AH203">
        <f t="shared" si="66"/>
        <v>-4.4855992760841686E-2</v>
      </c>
      <c r="AI203">
        <f t="shared" si="66"/>
        <v>-5.0654672865641903E-2</v>
      </c>
      <c r="AK203">
        <v>66</v>
      </c>
      <c r="AL203">
        <f t="shared" si="70"/>
        <v>-1.5452246152826523E-2</v>
      </c>
      <c r="AM203">
        <f t="shared" si="67"/>
        <v>-1.7389051082628532E-2</v>
      </c>
      <c r="AN203">
        <f t="shared" si="67"/>
        <v>-1.949312656546752E-2</v>
      </c>
      <c r="AO203">
        <f t="shared" si="67"/>
        <v>-2.1806670320468634E-2</v>
      </c>
      <c r="AP203">
        <f t="shared" si="67"/>
        <v>-2.4390536245855469E-2</v>
      </c>
      <c r="AQ203">
        <f t="shared" si="67"/>
        <v>-2.7337448921849954E-2</v>
      </c>
      <c r="AR203">
        <f t="shared" si="67"/>
        <v>-3.079969203487894E-2</v>
      </c>
      <c r="AS203">
        <f t="shared" si="67"/>
        <v>-3.505607982369463E-2</v>
      </c>
      <c r="AT203">
        <f t="shared" si="67"/>
        <v>-4.0714205824959597E-2</v>
      </c>
      <c r="AU203">
        <f t="shared" si="67"/>
        <v>-4.963211270992314E-2</v>
      </c>
      <c r="AV203">
        <f t="shared" si="67"/>
        <v>-5.7793743737632554E-2</v>
      </c>
      <c r="AX203">
        <v>66</v>
      </c>
      <c r="AY203">
        <f t="shared" si="71"/>
        <v>-1.370402432186473E-2</v>
      </c>
      <c r="AZ203">
        <f t="shared" si="68"/>
        <v>-1.511564672171917E-2</v>
      </c>
      <c r="BA203">
        <f t="shared" si="68"/>
        <v>-1.6649182720547769E-2</v>
      </c>
      <c r="BB203">
        <f t="shared" si="68"/>
        <v>-1.8335387736525696E-2</v>
      </c>
      <c r="BC203">
        <f t="shared" si="68"/>
        <v>-2.0218614571801026E-2</v>
      </c>
      <c r="BD203">
        <f t="shared" si="68"/>
        <v>-2.2366444680987117E-2</v>
      </c>
      <c r="BE203">
        <f t="shared" si="68"/>
        <v>-2.4889868623631208E-2</v>
      </c>
      <c r="BF203">
        <f t="shared" si="68"/>
        <v>-2.7992097584693062E-2</v>
      </c>
      <c r="BG203">
        <f t="shared" si="68"/>
        <v>-3.2115970506371841E-2</v>
      </c>
      <c r="BH203">
        <f t="shared" si="68"/>
        <v>-3.8615704643210076E-2</v>
      </c>
      <c r="BI203">
        <f t="shared" si="68"/>
        <v>-4.4564234100556828E-2</v>
      </c>
      <c r="BK203">
        <v>66</v>
      </c>
      <c r="BL203">
        <f t="shared" ref="BL203:BL237" si="72">(AL203+Y203-AY203)</f>
        <v>-2.2320084187419403E-2</v>
      </c>
      <c r="BM203">
        <f t="shared" ref="BM203:BM237" si="73">(AM203+Z203-AZ203)</f>
        <v>-2.4221328949927106E-2</v>
      </c>
      <c r="BN203">
        <f t="shared" ref="BN203:BN237" si="74">(AN203+AA203-BA203)</f>
        <v>-2.628677314108652E-2</v>
      </c>
      <c r="BO203">
        <f t="shared" ref="BO203:BO237" si="75">(AO203+AB203-BB203)</f>
        <v>-2.8557839720557657E-2</v>
      </c>
      <c r="BP203">
        <f t="shared" ref="BP203:BP237" si="76">(AP203+AC203-BC203)</f>
        <v>-3.1094265295520451E-2</v>
      </c>
      <c r="BQ203">
        <f t="shared" ref="BQ203:BQ237" si="77">(AQ203+AD203-BD203)</f>
        <v>-3.3987072002375968E-2</v>
      </c>
      <c r="BR203">
        <f t="shared" ref="BR203:BR237" si="78">(AR203+AE203-BE203)</f>
        <v>-3.7385747565354649E-2</v>
      </c>
      <c r="BS203">
        <f t="shared" ref="BS203:BS237" si="79">(AS203+AF203-BF203)</f>
        <v>-4.1563987132059388E-2</v>
      </c>
      <c r="BT203">
        <f t="shared" ref="BT203:BT237" si="80">(AT203+AG203-BG203)</f>
        <v>-4.7118228687306432E-2</v>
      </c>
      <c r="BU203">
        <f t="shared" ref="BU203:BU237" si="81">(AU203+AH203-BH203)</f>
        <v>-5.5872400827554757E-2</v>
      </c>
      <c r="BV203">
        <f t="shared" ref="BV203:BV237" si="82">(AV203+AI203-BI203)</f>
        <v>-6.3884182502717629E-2</v>
      </c>
    </row>
    <row r="204" spans="24:74">
      <c r="X204">
        <v>67</v>
      </c>
      <c r="Y204">
        <f t="shared" si="69"/>
        <v>-2.0727123897631837E-2</v>
      </c>
      <c r="Z204">
        <f t="shared" si="66"/>
        <v>-2.2113571652867405E-2</v>
      </c>
      <c r="AA204">
        <f t="shared" si="66"/>
        <v>-2.3619758819752885E-2</v>
      </c>
      <c r="AB204">
        <f t="shared" si="66"/>
        <v>-2.5275892329330679E-2</v>
      </c>
      <c r="AC204">
        <f t="shared" si="66"/>
        <v>-2.7125534003078624E-2</v>
      </c>
      <c r="AD204">
        <f t="shared" si="66"/>
        <v>-2.9235060058924355E-2</v>
      </c>
      <c r="AE204">
        <f t="shared" si="66"/>
        <v>-3.1713481668802009E-2</v>
      </c>
      <c r="AF204">
        <f t="shared" si="66"/>
        <v>-3.4760385982402074E-2</v>
      </c>
      <c r="AG204">
        <f t="shared" si="66"/>
        <v>-3.8810714424149559E-2</v>
      </c>
      <c r="AH204">
        <f t="shared" si="66"/>
        <v>-4.5194533358006522E-2</v>
      </c>
      <c r="AI204">
        <f t="shared" si="66"/>
        <v>-5.1036977707105462E-2</v>
      </c>
      <c r="AK204">
        <v>67</v>
      </c>
      <c r="AL204">
        <f t="shared" si="70"/>
        <v>-1.5568868532984448E-2</v>
      </c>
      <c r="AM204">
        <f t="shared" si="67"/>
        <v>-1.752029106585731E-2</v>
      </c>
      <c r="AN204">
        <f t="shared" si="67"/>
        <v>-1.9640246588945056E-2</v>
      </c>
      <c r="AO204">
        <f t="shared" si="67"/>
        <v>-2.1971251299242846E-2</v>
      </c>
      <c r="AP204">
        <f t="shared" si="67"/>
        <v>-2.4574618376193492E-2</v>
      </c>
      <c r="AQ204">
        <f t="shared" si="67"/>
        <v>-2.7543772218099585E-2</v>
      </c>
      <c r="AR204">
        <f t="shared" si="67"/>
        <v>-3.1032145838533993E-2</v>
      </c>
      <c r="AS204">
        <f t="shared" si="67"/>
        <v>-3.532065776450731E-2</v>
      </c>
      <c r="AT204">
        <f t="shared" si="67"/>
        <v>-4.1021487209334767E-2</v>
      </c>
      <c r="AU204">
        <f t="shared" si="67"/>
        <v>-5.0006700006763403E-2</v>
      </c>
      <c r="AV204">
        <f t="shared" si="67"/>
        <v>-5.8229929123644344E-2</v>
      </c>
      <c r="AX204">
        <v>67</v>
      </c>
      <c r="AY204">
        <f t="shared" si="71"/>
        <v>-1.380745238781394E-2</v>
      </c>
      <c r="AZ204">
        <f t="shared" si="68"/>
        <v>-1.5229728692772343E-2</v>
      </c>
      <c r="BA204">
        <f t="shared" si="68"/>
        <v>-1.6774838712391989E-2</v>
      </c>
      <c r="BB204">
        <f t="shared" si="68"/>
        <v>-1.8473769984504635E-2</v>
      </c>
      <c r="BC204">
        <f t="shared" si="68"/>
        <v>-2.0371210054136637E-2</v>
      </c>
      <c r="BD204">
        <f t="shared" si="68"/>
        <v>-2.2535250431851377E-2</v>
      </c>
      <c r="BE204">
        <f t="shared" si="68"/>
        <v>-2.507771935368025E-2</v>
      </c>
      <c r="BF204">
        <f t="shared" si="68"/>
        <v>-2.8203361695661337E-2</v>
      </c>
      <c r="BG204">
        <f t="shared" si="68"/>
        <v>-3.235835862810453E-2</v>
      </c>
      <c r="BH204">
        <f t="shared" si="68"/>
        <v>-3.8907148058130232E-2</v>
      </c>
      <c r="BI204">
        <f t="shared" si="68"/>
        <v>-4.4900572714329894E-2</v>
      </c>
      <c r="BK204">
        <v>67</v>
      </c>
      <c r="BL204">
        <f t="shared" si="72"/>
        <v>-2.2488540042802346E-2</v>
      </c>
      <c r="BM204">
        <f t="shared" si="73"/>
        <v>-2.4404134025952366E-2</v>
      </c>
      <c r="BN204">
        <f t="shared" si="74"/>
        <v>-2.6485166696305951E-2</v>
      </c>
      <c r="BO204">
        <f t="shared" si="75"/>
        <v>-2.877337364406889E-2</v>
      </c>
      <c r="BP204">
        <f t="shared" si="76"/>
        <v>-3.1328942325135473E-2</v>
      </c>
      <c r="BQ204">
        <f t="shared" si="77"/>
        <v>-3.4243581845172566E-2</v>
      </c>
      <c r="BR204">
        <f t="shared" si="78"/>
        <v>-3.7667908153655755E-2</v>
      </c>
      <c r="BS204">
        <f t="shared" si="79"/>
        <v>-4.187768205124804E-2</v>
      </c>
      <c r="BT204">
        <f t="shared" si="80"/>
        <v>-4.7473843005379796E-2</v>
      </c>
      <c r="BU204">
        <f t="shared" si="81"/>
        <v>-5.62940853066397E-2</v>
      </c>
      <c r="BV204">
        <f t="shared" si="82"/>
        <v>-6.4366334116419899E-2</v>
      </c>
    </row>
    <row r="205" spans="24:74">
      <c r="X205">
        <v>68</v>
      </c>
      <c r="Y205">
        <f t="shared" si="69"/>
        <v>-2.0881231029863247E-2</v>
      </c>
      <c r="Z205">
        <f t="shared" si="66"/>
        <v>-2.2277987088778733E-2</v>
      </c>
      <c r="AA205">
        <f t="shared" si="66"/>
        <v>-2.3795372827450575E-2</v>
      </c>
      <c r="AB205">
        <f t="shared" si="66"/>
        <v>-2.5463819766861368E-2</v>
      </c>
      <c r="AC205">
        <f t="shared" si="66"/>
        <v>-2.7327213612661973E-2</v>
      </c>
      <c r="AD205">
        <f t="shared" si="66"/>
        <v>-2.9452424093053986E-2</v>
      </c>
      <c r="AE205">
        <f t="shared" si="66"/>
        <v>-3.1949272883115679E-2</v>
      </c>
      <c r="AF205">
        <f t="shared" si="66"/>
        <v>-3.5018831072297876E-2</v>
      </c>
      <c r="AG205">
        <f t="shared" si="66"/>
        <v>-3.9099273894787998E-2</v>
      </c>
      <c r="AH205">
        <f t="shared" si="66"/>
        <v>-4.5530556819956061E-2</v>
      </c>
      <c r="AI205">
        <f t="shared" si="66"/>
        <v>-5.141644001509596E-2</v>
      </c>
      <c r="AK205">
        <v>68</v>
      </c>
      <c r="AL205">
        <f t="shared" si="70"/>
        <v>-1.5684623796163061E-2</v>
      </c>
      <c r="AM205">
        <f t="shared" si="67"/>
        <v>-1.765055524651999E-2</v>
      </c>
      <c r="AN205">
        <f t="shared" si="67"/>
        <v>-1.9786272737729059E-2</v>
      </c>
      <c r="AO205">
        <f t="shared" si="67"/>
        <v>-2.2134608576691688E-2</v>
      </c>
      <c r="AP205">
        <f t="shared" si="67"/>
        <v>-2.4757331809197536E-2</v>
      </c>
      <c r="AQ205">
        <f t="shared" si="67"/>
        <v>-2.7748561448304915E-2</v>
      </c>
      <c r="AR205">
        <f t="shared" si="67"/>
        <v>-3.1262871289193826E-2</v>
      </c>
      <c r="AS205">
        <f t="shared" si="67"/>
        <v>-3.5583268501216285E-2</v>
      </c>
      <c r="AT205">
        <f t="shared" si="67"/>
        <v>-4.1326483878671043E-2</v>
      </c>
      <c r="AU205">
        <f t="shared" si="67"/>
        <v>-5.0378502152032545E-2</v>
      </c>
      <c r="AV205">
        <f t="shared" si="67"/>
        <v>-5.8662871360666842E-2</v>
      </c>
      <c r="AX205">
        <v>68</v>
      </c>
      <c r="AY205">
        <f t="shared" si="71"/>
        <v>-1.3910111439856893E-2</v>
      </c>
      <c r="AZ205">
        <f t="shared" si="68"/>
        <v>-1.5342962435432303E-2</v>
      </c>
      <c r="BA205">
        <f t="shared" si="68"/>
        <v>-1.6899560420062514E-2</v>
      </c>
      <c r="BB205">
        <f t="shared" si="68"/>
        <v>-1.8611123325367331E-2</v>
      </c>
      <c r="BC205">
        <f t="shared" si="68"/>
        <v>-2.0522670950353181E-2</v>
      </c>
      <c r="BD205">
        <f t="shared" si="68"/>
        <v>-2.270280106913811E-2</v>
      </c>
      <c r="BE205">
        <f t="shared" si="68"/>
        <v>-2.5264173365900505E-2</v>
      </c>
      <c r="BF205">
        <f t="shared" si="68"/>
        <v>-2.841305500437457E-2</v>
      </c>
      <c r="BG205">
        <f t="shared" si="68"/>
        <v>-3.2598944532667123E-2</v>
      </c>
      <c r="BH205">
        <f t="shared" si="68"/>
        <v>-3.9196424517331907E-2</v>
      </c>
      <c r="BI205">
        <f t="shared" si="68"/>
        <v>-4.5234410565192743E-2</v>
      </c>
      <c r="BK205">
        <v>68</v>
      </c>
      <c r="BL205">
        <f t="shared" si="72"/>
        <v>-2.2655743386169418E-2</v>
      </c>
      <c r="BM205">
        <f t="shared" si="73"/>
        <v>-2.4585579899866421E-2</v>
      </c>
      <c r="BN205">
        <f t="shared" si="74"/>
        <v>-2.6682085145117121E-2</v>
      </c>
      <c r="BO205">
        <f t="shared" si="75"/>
        <v>-2.8987305018185729E-2</v>
      </c>
      <c r="BP205">
        <f t="shared" si="76"/>
        <v>-3.1561874471506324E-2</v>
      </c>
      <c r="BQ205">
        <f t="shared" si="77"/>
        <v>-3.4498184472220791E-2</v>
      </c>
      <c r="BR205">
        <f t="shared" si="78"/>
        <v>-3.7947970806408993E-2</v>
      </c>
      <c r="BS205">
        <f t="shared" si="79"/>
        <v>-4.2189044569139585E-2</v>
      </c>
      <c r="BT205">
        <f t="shared" si="80"/>
        <v>-4.782681324079191E-2</v>
      </c>
      <c r="BU205">
        <f t="shared" si="81"/>
        <v>-5.6712634454656699E-2</v>
      </c>
      <c r="BV205">
        <f t="shared" si="82"/>
        <v>-6.4844900810570053E-2</v>
      </c>
    </row>
    <row r="206" spans="24:74">
      <c r="X206">
        <v>69</v>
      </c>
      <c r="Y206">
        <f t="shared" si="69"/>
        <v>-2.1034209126498355E-2</v>
      </c>
      <c r="Z206">
        <f t="shared" si="66"/>
        <v>-2.2441197967334164E-2</v>
      </c>
      <c r="AA206">
        <f t="shared" si="66"/>
        <v>-2.3969700233658579E-2</v>
      </c>
      <c r="AB206">
        <f t="shared" si="66"/>
        <v>-2.5650370390980361E-2</v>
      </c>
      <c r="AC206">
        <f t="shared" si="66"/>
        <v>-2.75274156562497E-2</v>
      </c>
      <c r="AD206">
        <f t="shared" si="66"/>
        <v>-2.9668195652336183E-2</v>
      </c>
      <c r="AE206">
        <f t="shared" si="66"/>
        <v>-3.2183336619470343E-2</v>
      </c>
      <c r="AF206">
        <f t="shared" si="66"/>
        <v>-3.5275382715070525E-2</v>
      </c>
      <c r="AG206">
        <f t="shared" si="66"/>
        <v>-3.9385719291215308E-2</v>
      </c>
      <c r="AH206">
        <f t="shared" si="66"/>
        <v>-4.5864118472096795E-2</v>
      </c>
      <c r="AI206">
        <f t="shared" si="66"/>
        <v>-5.1793122267115188E-2</v>
      </c>
      <c r="AK206">
        <v>69</v>
      </c>
      <c r="AL206">
        <f t="shared" si="70"/>
        <v>-1.5799531001171388E-2</v>
      </c>
      <c r="AM206">
        <f t="shared" si="67"/>
        <v>-1.7779865072281884E-2</v>
      </c>
      <c r="AN206">
        <f t="shared" si="67"/>
        <v>-1.9931229054652715E-2</v>
      </c>
      <c r="AO206">
        <f t="shared" si="67"/>
        <v>-2.2296769049174502E-2</v>
      </c>
      <c r="AP206">
        <f t="shared" si="67"/>
        <v>-2.4938706628168623E-2</v>
      </c>
      <c r="AQ206">
        <f t="shared" si="67"/>
        <v>-2.7951850330490701E-2</v>
      </c>
      <c r="AR206">
        <f t="shared" si="67"/>
        <v>-3.1491906375215796E-2</v>
      </c>
      <c r="AS206">
        <f t="shared" si="67"/>
        <v>-3.5843955272009974E-2</v>
      </c>
      <c r="AT206">
        <f t="shared" si="67"/>
        <v>-4.1629246049892613E-2</v>
      </c>
      <c r="AU206">
        <f t="shared" si="67"/>
        <v>-5.0747580362006071E-2</v>
      </c>
      <c r="AV206">
        <f t="shared" si="67"/>
        <v>-5.9092641731535812E-2</v>
      </c>
      <c r="AX206">
        <v>69</v>
      </c>
      <c r="AY206">
        <f t="shared" si="71"/>
        <v>-1.401201838054484E-2</v>
      </c>
      <c r="AZ206">
        <f t="shared" si="68"/>
        <v>-1.5455366593346157E-2</v>
      </c>
      <c r="BA206">
        <f t="shared" si="68"/>
        <v>-1.7023368378670599E-2</v>
      </c>
      <c r="BB206">
        <f t="shared" si="68"/>
        <v>-1.8747470373991243E-2</v>
      </c>
      <c r="BC206">
        <f t="shared" si="68"/>
        <v>-2.0673022198101156E-2</v>
      </c>
      <c r="BD206">
        <f t="shared" si="68"/>
        <v>-2.2869124179632664E-2</v>
      </c>
      <c r="BE206">
        <f t="shared" si="68"/>
        <v>-2.5449261359469826E-2</v>
      </c>
      <c r="BF206">
        <f t="shared" si="68"/>
        <v>-2.8621212036301549E-2</v>
      </c>
      <c r="BG206">
        <f t="shared" si="68"/>
        <v>-3.2837767831915568E-2</v>
      </c>
      <c r="BH206">
        <f t="shared" si="68"/>
        <v>-3.9483581649446757E-2</v>
      </c>
      <c r="BI206">
        <f t="shared" si="68"/>
        <v>-4.5565802618696569E-2</v>
      </c>
      <c r="BK206">
        <v>69</v>
      </c>
      <c r="BL206">
        <f t="shared" si="72"/>
        <v>-2.28217217471249E-2</v>
      </c>
      <c r="BM206">
        <f t="shared" si="73"/>
        <v>-2.4765696446269893E-2</v>
      </c>
      <c r="BN206">
        <f t="shared" si="74"/>
        <v>-2.6877560909640698E-2</v>
      </c>
      <c r="BO206">
        <f t="shared" si="75"/>
        <v>-2.9199669066163621E-2</v>
      </c>
      <c r="BP206">
        <f t="shared" si="76"/>
        <v>-3.1793100086317166E-2</v>
      </c>
      <c r="BQ206">
        <f t="shared" si="77"/>
        <v>-3.4750921803194224E-2</v>
      </c>
      <c r="BR206">
        <f t="shared" si="78"/>
        <v>-3.8225981635216302E-2</v>
      </c>
      <c r="BS206">
        <f t="shared" si="79"/>
        <v>-4.2498125950778953E-2</v>
      </c>
      <c r="BT206">
        <f t="shared" si="80"/>
        <v>-4.8177197509192346E-2</v>
      </c>
      <c r="BU206">
        <f t="shared" si="81"/>
        <v>-5.7128117184656109E-2</v>
      </c>
      <c r="BV206">
        <f t="shared" si="82"/>
        <v>-6.5319961379954425E-2</v>
      </c>
    </row>
    <row r="207" spans="24:74">
      <c r="X207">
        <v>70</v>
      </c>
      <c r="Y207">
        <f t="shared" si="69"/>
        <v>-2.1186082644793248E-2</v>
      </c>
      <c r="Z207">
        <f t="shared" si="66"/>
        <v>-2.2603230381747958E-2</v>
      </c>
      <c r="AA207">
        <f t="shared" si="66"/>
        <v>-2.4142768908837511E-2</v>
      </c>
      <c r="AB207">
        <f t="shared" si="66"/>
        <v>-2.5835574026325879E-2</v>
      </c>
      <c r="AC207">
        <f t="shared" si="66"/>
        <v>-2.7726172140990258E-2</v>
      </c>
      <c r="AD207">
        <f t="shared" si="66"/>
        <v>-2.9882409233083808E-2</v>
      </c>
      <c r="AE207">
        <f t="shared" si="66"/>
        <v>-3.2415710298626658E-2</v>
      </c>
      <c r="AF207">
        <f t="shared" si="66"/>
        <v>-3.5530081926717492E-2</v>
      </c>
      <c r="AG207">
        <f t="shared" si="66"/>
        <v>-3.9670096408669961E-2</v>
      </c>
      <c r="AH207">
        <f t="shared" si="66"/>
        <v>-4.6195271642342502E-2</v>
      </c>
      <c r="AI207">
        <f t="shared" si="66"/>
        <v>-5.2167084684949808E-2</v>
      </c>
      <c r="AK207">
        <v>70</v>
      </c>
      <c r="AL207">
        <f t="shared" si="70"/>
        <v>-1.5913608518710865E-2</v>
      </c>
      <c r="AM207">
        <f t="shared" si="67"/>
        <v>-1.7908241216452389E-2</v>
      </c>
      <c r="AN207">
        <f t="shared" si="67"/>
        <v>-2.0075138714496218E-2</v>
      </c>
      <c r="AO207">
        <f t="shared" si="67"/>
        <v>-2.2457758641972688E-2</v>
      </c>
      <c r="AP207">
        <f t="shared" si="67"/>
        <v>-2.5118771830267082E-2</v>
      </c>
      <c r="AQ207">
        <f t="shared" si="67"/>
        <v>-2.8153671365311356E-2</v>
      </c>
      <c r="AR207">
        <f t="shared" si="67"/>
        <v>-3.1719287713408928E-2</v>
      </c>
      <c r="AS207">
        <f t="shared" si="67"/>
        <v>-3.6102759753986295E-2</v>
      </c>
      <c r="AT207">
        <f t="shared" si="67"/>
        <v>-4.1929822126869819E-2</v>
      </c>
      <c r="AU207">
        <f t="shared" si="67"/>
        <v>-5.1113993642780263E-2</v>
      </c>
      <c r="AV207">
        <f t="shared" si="67"/>
        <v>-5.95193089454603E-2</v>
      </c>
      <c r="AX207">
        <v>70</v>
      </c>
      <c r="AY207">
        <f t="shared" si="71"/>
        <v>-1.4113189502171903E-2</v>
      </c>
      <c r="AZ207">
        <f t="shared" si="68"/>
        <v>-1.5566959137042598E-2</v>
      </c>
      <c r="BA207">
        <f t="shared" si="68"/>
        <v>-1.7146282381918846E-2</v>
      </c>
      <c r="BB207">
        <f t="shared" si="68"/>
        <v>-1.8882832928756397E-2</v>
      </c>
      <c r="BC207">
        <f t="shared" si="68"/>
        <v>-2.0822287834671195E-2</v>
      </c>
      <c r="BD207">
        <f t="shared" si="68"/>
        <v>-2.3034246354115002E-2</v>
      </c>
      <c r="BE207">
        <f t="shared" si="68"/>
        <v>-2.5633012925189495E-2</v>
      </c>
      <c r="BF207">
        <f t="shared" si="68"/>
        <v>-2.8827866070388397E-2</v>
      </c>
      <c r="BG207">
        <f t="shared" si="68"/>
        <v>-3.3074866707541992E-2</v>
      </c>
      <c r="BH207">
        <f t="shared" si="68"/>
        <v>-3.9768665363501446E-2</v>
      </c>
      <c r="BI207">
        <f t="shared" si="68"/>
        <v>-4.5894801855892238E-2</v>
      </c>
      <c r="BK207">
        <v>70</v>
      </c>
      <c r="BL207">
        <f t="shared" si="72"/>
        <v>-2.2986501661332214E-2</v>
      </c>
      <c r="BM207">
        <f t="shared" si="73"/>
        <v>-2.4944512461157746E-2</v>
      </c>
      <c r="BN207">
        <f t="shared" si="74"/>
        <v>-2.7071625241414887E-2</v>
      </c>
      <c r="BO207">
        <f t="shared" si="75"/>
        <v>-2.9410499739542167E-2</v>
      </c>
      <c r="BP207">
        <f t="shared" si="76"/>
        <v>-3.2022656136586149E-2</v>
      </c>
      <c r="BQ207">
        <f t="shared" si="77"/>
        <v>-3.5001834244280161E-2</v>
      </c>
      <c r="BR207">
        <f t="shared" si="78"/>
        <v>-3.8501985086846102E-2</v>
      </c>
      <c r="BS207">
        <f t="shared" si="79"/>
        <v>-4.2804975610315391E-2</v>
      </c>
      <c r="BT207">
        <f t="shared" si="80"/>
        <v>-4.8525051827997781E-2</v>
      </c>
      <c r="BU207">
        <f t="shared" si="81"/>
        <v>-5.7540599921621319E-2</v>
      </c>
      <c r="BV207">
        <f t="shared" si="82"/>
        <v>-6.5791591774517877E-2</v>
      </c>
    </row>
    <row r="208" spans="24:74">
      <c r="X208">
        <v>71</v>
      </c>
      <c r="Y208">
        <f t="shared" si="69"/>
        <v>-2.1336875171560448E-2</v>
      </c>
      <c r="Z208">
        <f t="shared" si="66"/>
        <v>-2.2764109496566411E-2</v>
      </c>
      <c r="AA208">
        <f t="shared" si="66"/>
        <v>-2.4314605731527095E-2</v>
      </c>
      <c r="AB208">
        <f t="shared" si="66"/>
        <v>-2.6019459436065286E-2</v>
      </c>
      <c r="AC208">
        <f t="shared" si="66"/>
        <v>-2.7923513934884833E-2</v>
      </c>
      <c r="AD208">
        <f t="shared" si="66"/>
        <v>-3.0095098103872085E-2</v>
      </c>
      <c r="AE208">
        <f t="shared" si="66"/>
        <v>-3.2646430009525398E-2</v>
      </c>
      <c r="AF208">
        <f t="shared" si="66"/>
        <v>-3.5782968263460453E-2</v>
      </c>
      <c r="AG208">
        <f t="shared" si="66"/>
        <v>-3.9952449412519492E-2</v>
      </c>
      <c r="AH208">
        <f t="shared" si="66"/>
        <v>-4.6524067760645098E-2</v>
      </c>
      <c r="AI208">
        <f t="shared" si="66"/>
        <v>-5.2538385347068929E-2</v>
      </c>
      <c r="AK208">
        <v>71</v>
      </c>
      <c r="AL208">
        <f t="shared" si="70"/>
        <v>-1.6026874065662285E-2</v>
      </c>
      <c r="AM208">
        <f t="shared" si="67"/>
        <v>-1.8035703616569528E-2</v>
      </c>
      <c r="AN208">
        <f t="shared" si="67"/>
        <v>-2.0218024067240034E-2</v>
      </c>
      <c r="AO208">
        <f t="shared" si="67"/>
        <v>-2.2617602357676462E-2</v>
      </c>
      <c r="AP208">
        <f t="shared" si="67"/>
        <v>-2.529755538063266E-2</v>
      </c>
      <c r="AQ208">
        <f t="shared" si="67"/>
        <v>-2.8354055896709942E-2</v>
      </c>
      <c r="AR208">
        <f t="shared" si="67"/>
        <v>-3.1945050617375327E-2</v>
      </c>
      <c r="AS208">
        <f t="shared" si="67"/>
        <v>-3.6359722140938501E-2</v>
      </c>
      <c r="AT208">
        <f t="shared" si="67"/>
        <v>-4.2228258790759816E-2</v>
      </c>
      <c r="AU208">
        <f t="shared" si="67"/>
        <v>-5.1477798900400731E-2</v>
      </c>
      <c r="AV208">
        <f t="shared" si="67"/>
        <v>-5.9942939266260986E-2</v>
      </c>
      <c r="AX208">
        <v>71</v>
      </c>
      <c r="AY208">
        <f t="shared" si="71"/>
        <v>-1.4213640517182923E-2</v>
      </c>
      <c r="AZ208">
        <f t="shared" si="68"/>
        <v>-1.567775739747199E-2</v>
      </c>
      <c r="BA208">
        <f t="shared" si="68"/>
        <v>-1.7268321519044033E-2</v>
      </c>
      <c r="BB208">
        <f t="shared" si="68"/>
        <v>-1.9017232012229712E-2</v>
      </c>
      <c r="BC208">
        <f t="shared" si="68"/>
        <v>-2.0970491041857098E-2</v>
      </c>
      <c r="BD208">
        <f t="shared" si="68"/>
        <v>-2.3198193236988549E-2</v>
      </c>
      <c r="BE208">
        <f t="shared" si="68"/>
        <v>-2.5815456600712283E-2</v>
      </c>
      <c r="BF208">
        <f t="shared" si="68"/>
        <v>-2.9033049201170183E-2</v>
      </c>
      <c r="BG208">
        <f t="shared" si="68"/>
        <v>-3.3310277982336788E-2</v>
      </c>
      <c r="BH208">
        <f t="shared" si="68"/>
        <v>-4.0051719934601944E-2</v>
      </c>
      <c r="BI208">
        <f t="shared" si="68"/>
        <v>-4.6221459372213725E-2</v>
      </c>
      <c r="BK208">
        <v>71</v>
      </c>
      <c r="BL208">
        <f t="shared" si="72"/>
        <v>-2.3150108720039808E-2</v>
      </c>
      <c r="BM208">
        <f t="shared" si="73"/>
        <v>-2.5122055715663946E-2</v>
      </c>
      <c r="BN208">
        <f t="shared" si="74"/>
        <v>-2.7264308279723093E-2</v>
      </c>
      <c r="BO208">
        <f t="shared" si="75"/>
        <v>-2.9619829781512036E-2</v>
      </c>
      <c r="BP208">
        <f t="shared" si="76"/>
        <v>-3.2250578273660402E-2</v>
      </c>
      <c r="BQ208">
        <f t="shared" si="77"/>
        <v>-3.5250960763593478E-2</v>
      </c>
      <c r="BR208">
        <f t="shared" si="78"/>
        <v>-3.8776024026188446E-2</v>
      </c>
      <c r="BS208">
        <f t="shared" si="79"/>
        <v>-4.3109641203228771E-2</v>
      </c>
      <c r="BT208">
        <f t="shared" si="80"/>
        <v>-4.8870430220942514E-2</v>
      </c>
      <c r="BU208">
        <f t="shared" si="81"/>
        <v>-5.7950146726443878E-2</v>
      </c>
      <c r="BV208">
        <f t="shared" si="82"/>
        <v>-6.6259865241116184E-2</v>
      </c>
    </row>
    <row r="209" spans="24:74">
      <c r="X209">
        <v>72</v>
      </c>
      <c r="Y209">
        <f t="shared" si="69"/>
        <v>-2.1486609465932394E-2</v>
      </c>
      <c r="Z209">
        <f t="shared" si="66"/>
        <v>-2.2923859593291789E-2</v>
      </c>
      <c r="AA209">
        <f t="shared" si="66"/>
        <v>-2.4485236637077638E-2</v>
      </c>
      <c r="AB209">
        <f t="shared" si="66"/>
        <v>-2.6202054374043441E-2</v>
      </c>
      <c r="AC209">
        <f t="shared" si="66"/>
        <v>-2.8119470822751812E-2</v>
      </c>
      <c r="AD209">
        <f t="shared" si="66"/>
        <v>-3.0306294365855382E-2</v>
      </c>
      <c r="AE209">
        <f t="shared" si="66"/>
        <v>-3.2875530574717572E-2</v>
      </c>
      <c r="AF209">
        <f t="shared" si="66"/>
        <v>-3.6034079893461669E-2</v>
      </c>
      <c r="AG209">
        <f t="shared" si="66"/>
        <v>-4.0232820918333433E-2</v>
      </c>
      <c r="AH209">
        <f t="shared" si="66"/>
        <v>-4.6850556452238422E-2</v>
      </c>
      <c r="AI209">
        <f t="shared" si="66"/>
        <v>-5.2907080293921799E-2</v>
      </c>
      <c r="AK209">
        <v>72</v>
      </c>
      <c r="AL209">
        <f t="shared" si="70"/>
        <v>-1.6139344737206945E-2</v>
      </c>
      <c r="AM209">
        <f t="shared" si="67"/>
        <v>-1.8162271510547185E-2</v>
      </c>
      <c r="AN209">
        <f t="shared" si="67"/>
        <v>-2.0359906678585969E-2</v>
      </c>
      <c r="AO209">
        <f t="shared" si="67"/>
        <v>-2.2776324321515194E-2</v>
      </c>
      <c r="AP209">
        <f t="shared" si="67"/>
        <v>-2.5475084263086034E-2</v>
      </c>
      <c r="AQ209">
        <f t="shared" si="67"/>
        <v>-2.8553034168745554E-2</v>
      </c>
      <c r="AR209">
        <f t="shared" si="67"/>
        <v>-3.2169229161534613E-2</v>
      </c>
      <c r="AS209">
        <f t="shared" si="67"/>
        <v>-3.6614881216227559E-2</v>
      </c>
      <c r="AT209">
        <f t="shared" si="67"/>
        <v>-4.2524601084640706E-2</v>
      </c>
      <c r="AU209">
        <f t="shared" si="67"/>
        <v>-5.1839051044034502E-2</v>
      </c>
      <c r="AV209">
        <f t="shared" si="67"/>
        <v>-6.036359663250819E-2</v>
      </c>
      <c r="AX209">
        <v>72</v>
      </c>
      <c r="AY209">
        <f t="shared" si="71"/>
        <v>-1.4313386586660501E-2</v>
      </c>
      <c r="AZ209">
        <f t="shared" si="68"/>
        <v>-1.5787778097427808E-2</v>
      </c>
      <c r="BA209">
        <f t="shared" si="68"/>
        <v>-1.7389504209426379E-2</v>
      </c>
      <c r="BB209">
        <f t="shared" si="68"/>
        <v>-1.9150687909279446E-2</v>
      </c>
      <c r="BC209">
        <f t="shared" si="68"/>
        <v>-2.1117654187985026E-2</v>
      </c>
      <c r="BD209">
        <f t="shared" si="68"/>
        <v>-2.3360989572774136E-2</v>
      </c>
      <c r="BE209">
        <f t="shared" si="68"/>
        <v>-2.5996619922281947E-2</v>
      </c>
      <c r="BF209">
        <f t="shared" si="68"/>
        <v>-2.9236792396959112E-2</v>
      </c>
      <c r="BG209">
        <f t="shared" si="68"/>
        <v>-3.3544037186949212E-2</v>
      </c>
      <c r="BH209">
        <f t="shared" si="68"/>
        <v>-4.0332788084205401E-2</v>
      </c>
      <c r="BI209">
        <f t="shared" si="68"/>
        <v>-4.6545824470115446E-2</v>
      </c>
      <c r="BK209">
        <v>72</v>
      </c>
      <c r="BL209">
        <f t="shared" si="72"/>
        <v>-2.331256761647884E-2</v>
      </c>
      <c r="BM209">
        <f t="shared" si="73"/>
        <v>-2.5298353006411169E-2</v>
      </c>
      <c r="BN209">
        <f t="shared" si="74"/>
        <v>-2.7455639106237231E-2</v>
      </c>
      <c r="BO209">
        <f t="shared" si="75"/>
        <v>-2.9827690786279188E-2</v>
      </c>
      <c r="BP209">
        <f t="shared" si="76"/>
        <v>-3.2476900897852823E-2</v>
      </c>
      <c r="BQ209">
        <f t="shared" si="77"/>
        <v>-3.5498338961826803E-2</v>
      </c>
      <c r="BR209">
        <f t="shared" si="78"/>
        <v>-3.9048139813970234E-2</v>
      </c>
      <c r="BS209">
        <f t="shared" si="79"/>
        <v>-4.3412168712730112E-2</v>
      </c>
      <c r="BT209">
        <f t="shared" si="80"/>
        <v>-4.9213384816024934E-2</v>
      </c>
      <c r="BU209">
        <f t="shared" si="81"/>
        <v>-5.8356819412067523E-2</v>
      </c>
      <c r="BV209">
        <f t="shared" si="82"/>
        <v>-6.6724852456314543E-2</v>
      </c>
    </row>
    <row r="210" spans="24:74">
      <c r="X210">
        <v>73</v>
      </c>
      <c r="Y210">
        <f t="shared" si="69"/>
        <v>-2.1635307499461121E-2</v>
      </c>
      <c r="Z210">
        <f t="shared" si="66"/>
        <v>-2.3082504113164305E-2</v>
      </c>
      <c r="AA210">
        <f t="shared" si="66"/>
        <v>-2.4654686663345939E-2</v>
      </c>
      <c r="AB210">
        <f t="shared" si="66"/>
        <v>-2.6383385633682636E-2</v>
      </c>
      <c r="AC210">
        <f t="shared" si="66"/>
        <v>-2.831407155870511E-2</v>
      </c>
      <c r="AD210">
        <f t="shared" si="66"/>
        <v>-3.051602900932673E-2</v>
      </c>
      <c r="AE210">
        <f t="shared" si="66"/>
        <v>-3.3103045611718868E-2</v>
      </c>
      <c r="AF210">
        <f t="shared" si="66"/>
        <v>-3.6283453664073095E-2</v>
      </c>
      <c r="AG210">
        <f t="shared" si="66"/>
        <v>-4.0511252066968352E-2</v>
      </c>
      <c r="AH210">
        <f t="shared" si="66"/>
        <v>-4.7174785625073719E-2</v>
      </c>
      <c r="AI210">
        <f t="shared" si="66"/>
        <v>-5.3273223626676372E-2</v>
      </c>
      <c r="AK210">
        <v>73</v>
      </c>
      <c r="AL210">
        <f t="shared" si="70"/>
        <v>-1.6251037036946928E-2</v>
      </c>
      <c r="AM210">
        <f t="shared" si="67"/>
        <v>-1.8287963470570715E-2</v>
      </c>
      <c r="AN210">
        <f t="shared" si="67"/>
        <v>-2.0500807367954118E-2</v>
      </c>
      <c r="AO210">
        <f t="shared" si="67"/>
        <v>-2.2933947823864022E-2</v>
      </c>
      <c r="AP210">
        <f t="shared" si="67"/>
        <v>-2.5651384527672013E-2</v>
      </c>
      <c r="AQ210">
        <f t="shared" si="67"/>
        <v>-2.8750635378880764E-2</v>
      </c>
      <c r="AR210">
        <f t="shared" si="67"/>
        <v>-3.2391856241160158E-2</v>
      </c>
      <c r="AS210">
        <f t="shared" si="67"/>
        <v>-3.6868274421115163E-2</v>
      </c>
      <c r="AT210">
        <f t="shared" si="67"/>
        <v>-4.28188924928736E-2</v>
      </c>
      <c r="AU210">
        <f t="shared" si="67"/>
        <v>-5.2197803082715384E-2</v>
      </c>
      <c r="AV210">
        <f t="shared" si="67"/>
        <v>-6.0781342770176244E-2</v>
      </c>
      <c r="AX210">
        <v>73</v>
      </c>
      <c r="AY210">
        <f t="shared" si="71"/>
        <v>-1.4412442347037559E-2</v>
      </c>
      <c r="AZ210">
        <f t="shared" si="68"/>
        <v>-1.5897037381010806E-2</v>
      </c>
      <c r="BA210">
        <f t="shared" si="68"/>
        <v>-1.7509848235042938E-2</v>
      </c>
      <c r="BB210">
        <f t="shared" si="68"/>
        <v>-1.9283220202815438E-2</v>
      </c>
      <c r="BC210">
        <f t="shared" si="68"/>
        <v>-2.1263798867324584E-2</v>
      </c>
      <c r="BD210">
        <f t="shared" si="68"/>
        <v>-2.3522659249707777E-2</v>
      </c>
      <c r="BE210">
        <f t="shared" si="68"/>
        <v>-2.6176529473249777E-2</v>
      </c>
      <c r="BF210">
        <f t="shared" si="68"/>
        <v>-2.9439125554408099E-2</v>
      </c>
      <c r="BG210">
        <f t="shared" si="68"/>
        <v>-3.3776178622489439E-2</v>
      </c>
      <c r="BH210">
        <f t="shared" si="68"/>
        <v>-4.0611911055391768E-2</v>
      </c>
      <c r="BI210">
        <f t="shared" si="68"/>
        <v>-4.6867944745939014E-2</v>
      </c>
      <c r="BK210">
        <v>73</v>
      </c>
      <c r="BL210">
        <f t="shared" si="72"/>
        <v>-2.3473902189370486E-2</v>
      </c>
      <c r="BM210">
        <f t="shared" si="73"/>
        <v>-2.5473430202724214E-2</v>
      </c>
      <c r="BN210">
        <f t="shared" si="74"/>
        <v>-2.7645645796257119E-2</v>
      </c>
      <c r="BO210">
        <f t="shared" si="75"/>
        <v>-3.003411325473122E-2</v>
      </c>
      <c r="BP210">
        <f t="shared" si="76"/>
        <v>-3.2701657219052535E-2</v>
      </c>
      <c r="BQ210">
        <f t="shared" si="77"/>
        <v>-3.5744005138499714E-2</v>
      </c>
      <c r="BR210">
        <f t="shared" si="78"/>
        <v>-3.9318372379629249E-2</v>
      </c>
      <c r="BS210">
        <f t="shared" si="79"/>
        <v>-4.3712602530780159E-2</v>
      </c>
      <c r="BT210">
        <f t="shared" si="80"/>
        <v>-4.9553965937352507E-2</v>
      </c>
      <c r="BU210">
        <f t="shared" si="81"/>
        <v>-5.8760677652397335E-2</v>
      </c>
      <c r="BV210">
        <f t="shared" si="82"/>
        <v>-6.7186621650913603E-2</v>
      </c>
    </row>
    <row r="211" spans="24:74">
      <c r="X211">
        <v>74</v>
      </c>
      <c r="Y211">
        <f t="shared" si="69"/>
        <v>-2.1782990493754102E-2</v>
      </c>
      <c r="Z211">
        <f t="shared" si="66"/>
        <v>-2.3240065697315449E-2</v>
      </c>
      <c r="AA211">
        <f t="shared" si="66"/>
        <v>-2.4822979993583509E-2</v>
      </c>
      <c r="AB211">
        <f t="shared" si="66"/>
        <v>-2.6563479093878004E-2</v>
      </c>
      <c r="AC211">
        <f t="shared" si="66"/>
        <v>-2.8507343915408132E-2</v>
      </c>
      <c r="AD211">
        <f t="shared" si="66"/>
        <v>-3.0724331966802198E-2</v>
      </c>
      <c r="AE211">
        <f t="shared" si="66"/>
        <v>-3.3329007590594262E-2</v>
      </c>
      <c r="AF211">
        <f t="shared" si="66"/>
        <v>-3.6531125164953521E-2</v>
      </c>
      <c r="AG211">
        <f t="shared" si="66"/>
        <v>-4.0787782595039505E-2</v>
      </c>
      <c r="AH211">
        <f t="shared" si="66"/>
        <v>-4.7496801551882899E-2</v>
      </c>
      <c r="AI211">
        <f t="shared" si="66"/>
        <v>-5.3636867599891142E-2</v>
      </c>
      <c r="AK211">
        <v>74</v>
      </c>
      <c r="AL211">
        <f t="shared" si="70"/>
        <v>-1.6361966905174694E-2</v>
      </c>
      <c r="AM211">
        <f t="shared" si="67"/>
        <v>-1.8412797434909881E-2</v>
      </c>
      <c r="AN211">
        <f t="shared" si="67"/>
        <v>-2.0640746244145202E-2</v>
      </c>
      <c r="AO211">
        <f t="shared" si="67"/>
        <v>-2.3090495360138776E-2</v>
      </c>
      <c r="AP211">
        <f t="shared" si="67"/>
        <v>-2.5826481335281596E-2</v>
      </c>
      <c r="AQ211">
        <f t="shared" si="67"/>
        <v>-2.894688772799504E-2</v>
      </c>
      <c r="AR211">
        <f t="shared" si="67"/>
        <v>-3.2612963628726593E-2</v>
      </c>
      <c r="AS211">
        <f t="shared" si="67"/>
        <v>-3.7119937918898185E-2</v>
      </c>
      <c r="AT211">
        <f t="shared" si="67"/>
        <v>-4.3111175015588588E-2</v>
      </c>
      <c r="AU211">
        <f t="shared" si="67"/>
        <v>-5.2554106216144987E-2</v>
      </c>
      <c r="AV211">
        <f t="shared" si="67"/>
        <v>-6.1196237298376102E-2</v>
      </c>
      <c r="AX211">
        <v>74</v>
      </c>
      <c r="AY211">
        <f t="shared" si="71"/>
        <v>-1.4510821935168606E-2</v>
      </c>
      <c r="AZ211">
        <f t="shared" si="68"/>
        <v>-1.6005550841282801E-2</v>
      </c>
      <c r="BA211">
        <f t="shared" si="68"/>
        <v>-1.7629370770926991E-2</v>
      </c>
      <c r="BB211">
        <f t="shared" si="68"/>
        <v>-1.9414847807333362E-2</v>
      </c>
      <c r="BC211">
        <f t="shared" si="68"/>
        <v>-2.1408945937078434E-2</v>
      </c>
      <c r="BD211">
        <f t="shared" si="68"/>
        <v>-2.3683225340659655E-2</v>
      </c>
      <c r="BE211">
        <f t="shared" si="68"/>
        <v>-2.6355210929610143E-2</v>
      </c>
      <c r="BF211">
        <f t="shared" si="68"/>
        <v>-2.9640077549721797E-2</v>
      </c>
      <c r="BG211">
        <f t="shared" si="68"/>
        <v>-3.4006735419284125E-2</v>
      </c>
      <c r="BH211">
        <f t="shared" si="68"/>
        <v>-4.0889128683510523E-2</v>
      </c>
      <c r="BI211">
        <f t="shared" si="68"/>
        <v>-4.7187866171442709E-2</v>
      </c>
      <c r="BK211">
        <v>74</v>
      </c>
      <c r="BL211">
        <f t="shared" si="72"/>
        <v>-2.3634135463760194E-2</v>
      </c>
      <c r="BM211">
        <f t="shared" si="73"/>
        <v>-2.5647312290942526E-2</v>
      </c>
      <c r="BN211">
        <f t="shared" si="74"/>
        <v>-2.7834355466801717E-2</v>
      </c>
      <c r="BO211">
        <f t="shared" si="75"/>
        <v>-3.0239126646683417E-2</v>
      </c>
      <c r="BP211">
        <f t="shared" si="76"/>
        <v>-3.2924879313611294E-2</v>
      </c>
      <c r="BQ211">
        <f t="shared" si="77"/>
        <v>-3.5987994354137583E-2</v>
      </c>
      <c r="BR211">
        <f t="shared" si="78"/>
        <v>-3.9586760289710712E-2</v>
      </c>
      <c r="BS211">
        <f t="shared" si="79"/>
        <v>-4.4010985534129909E-2</v>
      </c>
      <c r="BT211">
        <f t="shared" si="80"/>
        <v>-4.9892222191343975E-2</v>
      </c>
      <c r="BU211">
        <f t="shared" si="81"/>
        <v>-5.9161779084517363E-2</v>
      </c>
      <c r="BV211">
        <f t="shared" si="82"/>
        <v>-6.7645238726824541E-2</v>
      </c>
    </row>
    <row r="212" spans="24:74">
      <c r="X212">
        <v>75</v>
      </c>
      <c r="Y212">
        <f t="shared" si="69"/>
        <v>-2.1929678955828896E-2</v>
      </c>
      <c r="Z212">
        <f t="shared" si="66"/>
        <v>-2.3396566224487502E-2</v>
      </c>
      <c r="AA212">
        <f t="shared" si="66"/>
        <v>-2.4990139996725235E-2</v>
      </c>
      <c r="AB212">
        <f t="shared" si="66"/>
        <v>-2.6742359762111052E-2</v>
      </c>
      <c r="AC212">
        <f t="shared" si="66"/>
        <v>-2.8699314730342262E-2</v>
      </c>
      <c r="AD212">
        <f t="shared" si="66"/>
        <v>-3.0931232162887665E-2</v>
      </c>
      <c r="AE212">
        <f t="shared" si="66"/>
        <v>-3.3553447888052278E-2</v>
      </c>
      <c r="AF212">
        <f t="shared" si="66"/>
        <v>-3.6777128787359968E-2</v>
      </c>
      <c r="AG212">
        <f t="shared" si="66"/>
        <v>-4.1062450901120935E-2</v>
      </c>
      <c r="AH212">
        <f t="shared" si="66"/>
        <v>-4.7816648947267615E-2</v>
      </c>
      <c r="AI212">
        <f t="shared" si="66"/>
        <v>-5.3998062708569779E-2</v>
      </c>
      <c r="AK212">
        <v>75</v>
      </c>
      <c r="AL212">
        <f t="shared" si="70"/>
        <v>-1.6472149745429203E-2</v>
      </c>
      <c r="AM212">
        <f t="shared" si="67"/>
        <v>-1.8536790737803531E-2</v>
      </c>
      <c r="AN212">
        <f t="shared" si="67"/>
        <v>-2.0779742738841277E-2</v>
      </c>
      <c r="AO212">
        <f t="shared" si="67"/>
        <v>-2.324598866827271E-2</v>
      </c>
      <c r="AP212">
        <f t="shared" si="67"/>
        <v>-2.6000398999569338E-2</v>
      </c>
      <c r="AQ212">
        <f t="shared" si="67"/>
        <v>-2.9141818467366604E-2</v>
      </c>
      <c r="AR212">
        <f t="shared" si="67"/>
        <v>-3.2832582026841896E-2</v>
      </c>
      <c r="AS212">
        <f t="shared" si="67"/>
        <v>-3.7369906655155785E-2</v>
      </c>
      <c r="AT212">
        <f t="shared" si="67"/>
        <v>-4.3401489238655763E-2</v>
      </c>
      <c r="AU212">
        <f t="shared" si="67"/>
        <v>-5.2908009919990055E-2</v>
      </c>
      <c r="AV212">
        <f t="shared" si="67"/>
        <v>-6.160833782867918E-2</v>
      </c>
      <c r="AX212">
        <v>75</v>
      </c>
      <c r="AY212">
        <f t="shared" si="71"/>
        <v>-1.4608539011881345E-2</v>
      </c>
      <c r="AZ212">
        <f t="shared" si="68"/>
        <v>-1.6113333546244311E-2</v>
      </c>
      <c r="BA212">
        <f t="shared" si="68"/>
        <v>-1.7748088413781175E-2</v>
      </c>
      <c r="BB212">
        <f t="shared" si="68"/>
        <v>-1.9545589000425766E-2</v>
      </c>
      <c r="BC212">
        <f t="shared" si="68"/>
        <v>-2.1553115552129815E-2</v>
      </c>
      <c r="BD212">
        <f t="shared" si="68"/>
        <v>-2.384271014157293E-2</v>
      </c>
      <c r="BE212">
        <f t="shared" si="68"/>
        <v>-2.6532689102776029E-2</v>
      </c>
      <c r="BF212">
        <f t="shared" si="68"/>
        <v>-2.983967628676357E-2</v>
      </c>
      <c r="BG212">
        <f t="shared" si="68"/>
        <v>-3.4235739592070664E-2</v>
      </c>
      <c r="BH212">
        <f t="shared" si="68"/>
        <v>-4.1164479462545304E-2</v>
      </c>
      <c r="BI212">
        <f t="shared" si="68"/>
        <v>-4.7505633170389194E-2</v>
      </c>
      <c r="BK212">
        <v>75</v>
      </c>
      <c r="BL212">
        <f t="shared" si="72"/>
        <v>-2.3793289689376752E-2</v>
      </c>
      <c r="BM212">
        <f t="shared" si="73"/>
        <v>-2.5820023416046719E-2</v>
      </c>
      <c r="BN212">
        <f t="shared" si="74"/>
        <v>-2.8021794321785334E-2</v>
      </c>
      <c r="BO212">
        <f t="shared" si="75"/>
        <v>-3.0442759429957993E-2</v>
      </c>
      <c r="BP212">
        <f t="shared" si="76"/>
        <v>-3.3146598177781789E-2</v>
      </c>
      <c r="BQ212">
        <f t="shared" si="77"/>
        <v>-3.6230340488681338E-2</v>
      </c>
      <c r="BR212">
        <f t="shared" si="78"/>
        <v>-3.9853340812118145E-2</v>
      </c>
      <c r="BS212">
        <f t="shared" si="79"/>
        <v>-4.430735915575218E-2</v>
      </c>
      <c r="BT212">
        <f t="shared" si="80"/>
        <v>-5.0228200547706041E-2</v>
      </c>
      <c r="BU212">
        <f t="shared" si="81"/>
        <v>-5.9560179404712373E-2</v>
      </c>
      <c r="BV212">
        <f t="shared" si="82"/>
        <v>-6.8100767366859771E-2</v>
      </c>
    </row>
    <row r="213" spans="24:74">
      <c r="X213">
        <v>76</v>
      </c>
      <c r="Y213">
        <f t="shared" si="69"/>
        <v>-2.2075392711353239E-2</v>
      </c>
      <c r="Z213">
        <f t="shared" si="66"/>
        <v>-2.3552026846497105E-2</v>
      </c>
      <c r="AA213">
        <f t="shared" si="66"/>
        <v>-2.5156189265268407E-2</v>
      </c>
      <c r="AB213">
        <f t="shared" si="66"/>
        <v>-2.6920051814984657E-2</v>
      </c>
      <c r="AC213">
        <f t="shared" si="66"/>
        <v>-2.8890009949308144E-2</v>
      </c>
      <c r="AD213">
        <f t="shared" si="66"/>
        <v>-3.1136757561163124E-2</v>
      </c>
      <c r="AE213">
        <f t="shared" si="66"/>
        <v>-3.3776396838303961E-2</v>
      </c>
      <c r="AF213">
        <f t="shared" si="66"/>
        <v>-3.7021497779892998E-2</v>
      </c>
      <c r="AG213">
        <f t="shared" si="66"/>
        <v>-4.1335294107986302E-2</v>
      </c>
      <c r="AH213">
        <f t="shared" si="66"/>
        <v>-4.8134371040177849E-2</v>
      </c>
      <c r="AI213">
        <f t="shared" si="66"/>
        <v>-5.4356857770009259E-2</v>
      </c>
      <c r="AK213">
        <v>76</v>
      </c>
      <c r="AL213">
        <f t="shared" si="70"/>
        <v>-1.6581600449463694E-2</v>
      </c>
      <c r="AM213">
        <f t="shared" si="67"/>
        <v>-1.8659960137556931E-2</v>
      </c>
      <c r="AN213">
        <f t="shared" si="67"/>
        <v>-2.0917815638102827E-2</v>
      </c>
      <c r="AO213">
        <f t="shared" si="67"/>
        <v>-2.3400448763951857E-2</v>
      </c>
      <c r="AP213">
        <f t="shared" si="67"/>
        <v>-2.6173161026363696E-2</v>
      </c>
      <c r="AQ213">
        <f t="shared" si="67"/>
        <v>-2.933545394284446E-2</v>
      </c>
      <c r="AR213">
        <f t="shared" si="67"/>
        <v>-3.3050741118013656E-2</v>
      </c>
      <c r="AS213">
        <f t="shared" si="67"/>
        <v>-3.7618214414393163E-2</v>
      </c>
      <c r="AT213">
        <f t="shared" si="67"/>
        <v>-4.3689874399471487E-2</v>
      </c>
      <c r="AU213">
        <f t="shared" si="67"/>
        <v>-5.3259562026078316E-2</v>
      </c>
      <c r="AV213">
        <f t="shared" si="67"/>
        <v>-6.2017700058500748E-2</v>
      </c>
      <c r="AX213">
        <v>76</v>
      </c>
      <c r="AY213">
        <f t="shared" si="71"/>
        <v>-1.4705606784119722E-2</v>
      </c>
      <c r="AZ213">
        <f t="shared" si="68"/>
        <v>-1.6220400063258485E-2</v>
      </c>
      <c r="BA213">
        <f t="shared" si="68"/>
        <v>-1.7866017208879325E-2</v>
      </c>
      <c r="BB213">
        <f t="shared" si="68"/>
        <v>-1.9675461452408484E-2</v>
      </c>
      <c r="BC213">
        <f t="shared" si="68"/>
        <v>-2.1696327197711893E-2</v>
      </c>
      <c r="BD213">
        <f t="shared" si="68"/>
        <v>-2.4001135207603528E-2</v>
      </c>
      <c r="BE213">
        <f t="shared" si="68"/>
        <v>-2.6708987979796189E-2</v>
      </c>
      <c r="BF213">
        <f t="shared" si="68"/>
        <v>-3.003794874228528E-2</v>
      </c>
      <c r="BG213">
        <f t="shared" si="68"/>
        <v>-3.4463222091890303E-2</v>
      </c>
      <c r="BH213">
        <f t="shared" si="68"/>
        <v>-4.1438000607509344E-2</v>
      </c>
      <c r="BI213">
        <f t="shared" si="68"/>
        <v>-4.7821288690552625E-2</v>
      </c>
      <c r="BK213">
        <v>76</v>
      </c>
      <c r="BL213">
        <f t="shared" si="72"/>
        <v>-2.3951386376697206E-2</v>
      </c>
      <c r="BM213">
        <f t="shared" si="73"/>
        <v>-2.5991586920795555E-2</v>
      </c>
      <c r="BN213">
        <f t="shared" si="74"/>
        <v>-2.8207987694491909E-2</v>
      </c>
      <c r="BO213">
        <f t="shared" si="75"/>
        <v>-3.064503912652803E-2</v>
      </c>
      <c r="BP213">
        <f t="shared" si="76"/>
        <v>-3.3366843777959954E-2</v>
      </c>
      <c r="BQ213">
        <f t="shared" si="77"/>
        <v>-3.6471076296404059E-2</v>
      </c>
      <c r="BR213">
        <f t="shared" si="78"/>
        <v>-4.0118149976521425E-2</v>
      </c>
      <c r="BS213">
        <f t="shared" si="79"/>
        <v>-4.4601763452000884E-2</v>
      </c>
      <c r="BT213">
        <f t="shared" si="80"/>
        <v>-5.056194641556748E-2</v>
      </c>
      <c r="BU213">
        <f t="shared" si="81"/>
        <v>-5.9955932458746815E-2</v>
      </c>
      <c r="BV213">
        <f t="shared" si="82"/>
        <v>-6.8553269137957368E-2</v>
      </c>
    </row>
    <row r="214" spans="24:74">
      <c r="X214">
        <v>77</v>
      </c>
      <c r="Y214">
        <f t="shared" si="69"/>
        <v>-2.2220150935923246E-2</v>
      </c>
      <c r="Z214">
        <f t="shared" si="66"/>
        <v>-2.3706468021605653E-2</v>
      </c>
      <c r="AA214">
        <f t="shared" si="66"/>
        <v>-2.5321149650916017E-2</v>
      </c>
      <c r="AB214">
        <f t="shared" si="66"/>
        <v>-2.7096578636365533E-2</v>
      </c>
      <c r="AC214">
        <f t="shared" si="66"/>
        <v>-2.9079454667359339E-2</v>
      </c>
      <c r="AD214">
        <f t="shared" si="66"/>
        <v>-3.1340935208299732E-2</v>
      </c>
      <c r="AE214">
        <f t="shared" si="66"/>
        <v>-3.3997883780919946E-2</v>
      </c>
      <c r="AF214">
        <f t="shared" si="66"/>
        <v>-3.7264264300951692E-2</v>
      </c>
      <c r="AG214">
        <f t="shared" si="66"/>
        <v>-4.1606348121176008E-2</v>
      </c>
      <c r="AH214">
        <f t="shared" si="66"/>
        <v>-4.8450009642112511E-2</v>
      </c>
      <c r="AI214">
        <f t="shared" si="66"/>
        <v>-5.4713300000816964E-2</v>
      </c>
      <c r="AK214">
        <v>77</v>
      </c>
      <c r="AL214">
        <f t="shared" si="70"/>
        <v>-1.6690333420739854E-2</v>
      </c>
      <c r="AM214">
        <f t="shared" si="67"/>
        <v>-1.8782321842980666E-2</v>
      </c>
      <c r="AN214">
        <f t="shared" si="67"/>
        <v>-2.1054983112006799E-2</v>
      </c>
      <c r="AO214">
        <f t="shared" si="67"/>
        <v>-2.3553895973770642E-2</v>
      </c>
      <c r="AP214">
        <f t="shared" si="67"/>
        <v>-2.6344790150751269E-2</v>
      </c>
      <c r="AQ214">
        <f t="shared" si="67"/>
        <v>-2.9527819636413183E-2</v>
      </c>
      <c r="AR214">
        <f t="shared" si="67"/>
        <v>-3.3267469611478057E-2</v>
      </c>
      <c r="AS214">
        <f t="shared" si="67"/>
        <v>-3.7864893873342069E-2</v>
      </c>
      <c r="AT214">
        <f t="shared" si="67"/>
        <v>-4.3976368448861672E-2</v>
      </c>
      <c r="AU214">
        <f t="shared" si="67"/>
        <v>-5.360880879786082E-2</v>
      </c>
      <c r="AV214">
        <f t="shared" si="67"/>
        <v>-6.2424377858971619E-2</v>
      </c>
      <c r="AX214">
        <v>77</v>
      </c>
      <c r="AY214">
        <f t="shared" si="71"/>
        <v>-1.4802038025779989E-2</v>
      </c>
      <c r="AZ214">
        <f t="shared" si="68"/>
        <v>-1.6326764482033466E-2</v>
      </c>
      <c r="BA214">
        <f t="shared" si="68"/>
        <v>-1.7983172675380469E-2</v>
      </c>
      <c r="BB214">
        <f t="shared" si="68"/>
        <v>-1.9804482254198407E-2</v>
      </c>
      <c r="BC214">
        <f t="shared" si="68"/>
        <v>-2.1838599720148854E-2</v>
      </c>
      <c r="BD214">
        <f t="shared" si="68"/>
        <v>-2.4158521387126871E-2</v>
      </c>
      <c r="BE214">
        <f t="shared" si="68"/>
        <v>-2.68841307611986E-2</v>
      </c>
      <c r="BF214">
        <f t="shared" si="68"/>
        <v>-3.0234921008487448E-2</v>
      </c>
      <c r="BG214">
        <f t="shared" si="68"/>
        <v>-3.4689212854918411E-2</v>
      </c>
      <c r="BH214">
        <f t="shared" si="68"/>
        <v>-4.1709728113158158E-2</v>
      </c>
      <c r="BI214">
        <f t="shared" si="68"/>
        <v>-4.8134874271475669E-2</v>
      </c>
      <c r="BK214">
        <v>77</v>
      </c>
      <c r="BL214">
        <f t="shared" si="72"/>
        <v>-2.4108446330883108E-2</v>
      </c>
      <c r="BM214">
        <f t="shared" si="73"/>
        <v>-2.6162025382552852E-2</v>
      </c>
      <c r="BN214">
        <f t="shared" si="74"/>
        <v>-2.8392960087542347E-2</v>
      </c>
      <c r="BO214">
        <f t="shared" si="75"/>
        <v>-3.0845992355937771E-2</v>
      </c>
      <c r="BP214">
        <f t="shared" si="76"/>
        <v>-3.3585645097961747E-2</v>
      </c>
      <c r="BQ214">
        <f t="shared" si="77"/>
        <v>-3.6710233457586047E-2</v>
      </c>
      <c r="BR214">
        <f t="shared" si="78"/>
        <v>-4.0381222631199407E-2</v>
      </c>
      <c r="BS214">
        <f t="shared" si="79"/>
        <v>-4.4894237165806317E-2</v>
      </c>
      <c r="BT214">
        <f t="shared" si="80"/>
        <v>-5.0893503715119276E-2</v>
      </c>
      <c r="BU214">
        <f t="shared" si="81"/>
        <v>-6.0349090326815173E-2</v>
      </c>
      <c r="BV214">
        <f t="shared" si="82"/>
        <v>-6.9002803588312914E-2</v>
      </c>
    </row>
    <row r="215" spans="24:74">
      <c r="X215">
        <v>78</v>
      </c>
      <c r="Y215">
        <f t="shared" si="69"/>
        <v>-2.2363972184519319E-2</v>
      </c>
      <c r="Z215">
        <f t="shared" si="66"/>
        <v>-2.385990954594553E-2</v>
      </c>
      <c r="AA215">
        <f t="shared" si="66"/>
        <v>-2.5485042298143502E-2</v>
      </c>
      <c r="AB215">
        <f t="shared" si="66"/>
        <v>-2.7271962853304552E-2</v>
      </c>
      <c r="AC215">
        <f t="shared" si="66"/>
        <v>-2.926767316735121E-2</v>
      </c>
      <c r="AD215">
        <f t="shared" si="66"/>
        <v>-3.1543791275606595E-2</v>
      </c>
      <c r="AE215">
        <f t="shared" si="66"/>
        <v>-3.4217937105899439E-2</v>
      </c>
      <c r="AF215">
        <f t="shared" si="66"/>
        <v>-3.7505459468132683E-2</v>
      </c>
      <c r="AG215">
        <f t="shared" si="66"/>
        <v>-4.1875647684152258E-2</v>
      </c>
      <c r="AH215">
        <f t="shared" si="66"/>
        <v>-4.8763605211346692E-2</v>
      </c>
      <c r="AI215">
        <f t="shared" si="66"/>
        <v>-5.5067435089440835E-2</v>
      </c>
      <c r="AK215">
        <v>78</v>
      </c>
      <c r="AL215">
        <f t="shared" si="70"/>
        <v>-1.6798362596553186E-2</v>
      </c>
      <c r="AM215">
        <f t="shared" si="67"/>
        <v>-1.8903891538289242E-2</v>
      </c>
      <c r="AN215">
        <f t="shared" si="67"/>
        <v>-2.1191262742557931E-2</v>
      </c>
      <c r="AO215">
        <f t="shared" si="67"/>
        <v>-2.3706349966455861E-2</v>
      </c>
      <c r="AP215">
        <f t="shared" si="67"/>
        <v>-2.6515308372000473E-2</v>
      </c>
      <c r="AQ215">
        <f t="shared" si="67"/>
        <v>-2.9718940205336181E-2</v>
      </c>
      <c r="AR215">
        <f t="shared" si="67"/>
        <v>-3.3482795287300512E-2</v>
      </c>
      <c r="AS215">
        <f t="shared" si="67"/>
        <v>-3.8109976651156043E-2</v>
      </c>
      <c r="AT215">
        <f t="shared" si="67"/>
        <v>-4.4261008109378601E-2</v>
      </c>
      <c r="AU215">
        <f t="shared" si="67"/>
        <v>-5.3955795001477985E-2</v>
      </c>
      <c r="AV215">
        <f t="shared" si="67"/>
        <v>-6.282842335769033E-2</v>
      </c>
      <c r="AX215">
        <v>78</v>
      </c>
      <c r="AY215">
        <f t="shared" si="71"/>
        <v>-1.4897845097332888E-2</v>
      </c>
      <c r="AZ215">
        <f t="shared" si="68"/>
        <v>-1.6432440436265794E-2</v>
      </c>
      <c r="BA215">
        <f t="shared" si="68"/>
        <v>-1.8099569830168048E-2</v>
      </c>
      <c r="BB215">
        <f t="shared" si="68"/>
        <v>-1.9932667943567094E-2</v>
      </c>
      <c r="BC215">
        <f t="shared" si="68"/>
        <v>-2.1979951355806011E-2</v>
      </c>
      <c r="BD215">
        <f t="shared" si="68"/>
        <v>-2.4314888853763393E-2</v>
      </c>
      <c r="BE215">
        <f t="shared" si="68"/>
        <v>-2.705813989662912E-2</v>
      </c>
      <c r="BF215">
        <f t="shared" si="68"/>
        <v>-3.0430618333099867E-2</v>
      </c>
      <c r="BG215">
        <f t="shared" si="68"/>
        <v>-3.4913740848449878E-2</v>
      </c>
      <c r="BH215">
        <f t="shared" si="68"/>
        <v>-4.197969680928159E-2</v>
      </c>
      <c r="BI215">
        <f t="shared" si="68"/>
        <v>-4.8446430108279037E-2</v>
      </c>
      <c r="BK215">
        <v>78</v>
      </c>
      <c r="BL215">
        <f t="shared" si="72"/>
        <v>-2.4264489683739617E-2</v>
      </c>
      <c r="BM215">
        <f t="shared" si="73"/>
        <v>-2.6331360647968982E-2</v>
      </c>
      <c r="BN215">
        <f t="shared" si="74"/>
        <v>-2.8576735210533381E-2</v>
      </c>
      <c r="BO215">
        <f t="shared" si="75"/>
        <v>-3.1045644876193317E-2</v>
      </c>
      <c r="BP215">
        <f t="shared" si="76"/>
        <v>-3.3803030183545676E-2</v>
      </c>
      <c r="BQ215">
        <f t="shared" si="77"/>
        <v>-3.6947842627179379E-2</v>
      </c>
      <c r="BR215">
        <f t="shared" si="78"/>
        <v>-4.0642592496570838E-2</v>
      </c>
      <c r="BS215">
        <f t="shared" si="79"/>
        <v>-4.5184817786188859E-2</v>
      </c>
      <c r="BT215">
        <f t="shared" si="80"/>
        <v>-5.122291494508098E-2</v>
      </c>
      <c r="BU215">
        <f t="shared" si="81"/>
        <v>-6.0739703403543087E-2</v>
      </c>
      <c r="BV215">
        <f t="shared" si="82"/>
        <v>-6.9449428338852121E-2</v>
      </c>
    </row>
    <row r="216" spans="24:74">
      <c r="X216">
        <v>79</v>
      </c>
      <c r="Y216">
        <f t="shared" si="69"/>
        <v>-2.2506874419267919E-2</v>
      </c>
      <c r="Z216">
        <f t="shared" si="66"/>
        <v>-2.4012370583138883E-2</v>
      </c>
      <c r="AA216">
        <f t="shared" si="66"/>
        <v>-2.5647887675834872E-2</v>
      </c>
      <c r="AB216">
        <f t="shared" si="66"/>
        <v>-2.7446226369891098E-2</v>
      </c>
      <c r="AC216">
        <f t="shared" si="66"/>
        <v>-2.94546889562727E-2</v>
      </c>
      <c r="AD216">
        <f t="shared" si="66"/>
        <v>-3.1745351098188018E-2</v>
      </c>
      <c r="AE216">
        <f t="shared" si="66"/>
        <v>-3.4436584296147016E-2</v>
      </c>
      <c r="AF216">
        <f t="shared" si="66"/>
        <v>-3.7745113404787964E-2</v>
      </c>
      <c r="AG216">
        <f t="shared" si="66"/>
        <v>-4.2143226430281837E-2</v>
      </c>
      <c r="AH216">
        <f t="shared" si="66"/>
        <v>-4.9075196913464958E-2</v>
      </c>
      <c r="AI216">
        <f t="shared" si="66"/>
        <v>-5.5419307264527956E-2</v>
      </c>
      <c r="AK216">
        <v>79</v>
      </c>
      <c r="AL216">
        <f t="shared" si="70"/>
        <v>-1.6905701468885821E-2</v>
      </c>
      <c r="AM216">
        <f t="shared" si="67"/>
        <v>-1.9024684406567651E-2</v>
      </c>
      <c r="AN216">
        <f t="shared" si="67"/>
        <v>-2.1326671549994763E-2</v>
      </c>
      <c r="AO216">
        <f t="shared" si="67"/>
        <v>-2.3857829782294837E-2</v>
      </c>
      <c r="AP216">
        <f t="shared" si="67"/>
        <v>-2.6684736986476665E-2</v>
      </c>
      <c r="AQ216">
        <f t="shared" si="67"/>
        <v>-2.9908839519047648E-2</v>
      </c>
      <c r="AR216">
        <f t="shared" si="67"/>
        <v>-3.369674503793995E-2</v>
      </c>
      <c r="AS216">
        <f t="shared" si="67"/>
        <v>-3.8353493356718622E-2</v>
      </c>
      <c r="AT216">
        <f t="shared" si="67"/>
        <v>-4.4543828930244868E-2</v>
      </c>
      <c r="AU216">
        <f t="shared" si="67"/>
        <v>-5.4300563972738192E-2</v>
      </c>
      <c r="AV216">
        <f t="shared" si="67"/>
        <v>-6.3229887016715988E-2</v>
      </c>
      <c r="AX216">
        <v>79</v>
      </c>
      <c r="AY216">
        <f t="shared" si="71"/>
        <v>-1.4993039964317252E-2</v>
      </c>
      <c r="AZ216">
        <f t="shared" si="68"/>
        <v>-1.6537441124039012E-2</v>
      </c>
      <c r="BA216">
        <f t="shared" si="68"/>
        <v>-1.8215223210318009E-2</v>
      </c>
      <c r="BB216">
        <f t="shared" si="68"/>
        <v>-2.0060034529884405E-2</v>
      </c>
      <c r="BC216">
        <f t="shared" si="68"/>
        <v>-2.2120399758374876E-2</v>
      </c>
      <c r="BD216">
        <f t="shared" si="68"/>
        <v>-2.4470257136562094E-2</v>
      </c>
      <c r="BE216">
        <f t="shared" si="68"/>
        <v>-2.723103711844042E-2</v>
      </c>
      <c r="BF216">
        <f t="shared" si="68"/>
        <v>-3.0625065157156992E-2</v>
      </c>
      <c r="BG216">
        <f t="shared" si="68"/>
        <v>-3.51368341142397E-2</v>
      </c>
      <c r="BH216">
        <f t="shared" si="68"/>
        <v>-4.2247940412815835E-2</v>
      </c>
      <c r="BI216">
        <f t="shared" si="68"/>
        <v>-4.8755995111800961E-2</v>
      </c>
      <c r="BK216">
        <v>79</v>
      </c>
      <c r="BL216">
        <f t="shared" si="72"/>
        <v>-2.4419535923836486E-2</v>
      </c>
      <c r="BM216">
        <f t="shared" si="73"/>
        <v>-2.6499613865667519E-2</v>
      </c>
      <c r="BN216">
        <f t="shared" si="74"/>
        <v>-2.8759336015511623E-2</v>
      </c>
      <c r="BO216">
        <f t="shared" si="75"/>
        <v>-3.1244021622301527E-2</v>
      </c>
      <c r="BP216">
        <f t="shared" si="76"/>
        <v>-3.4019026184374489E-2</v>
      </c>
      <c r="BQ216">
        <f t="shared" si="77"/>
        <v>-3.7183933480673573E-2</v>
      </c>
      <c r="BR216">
        <f t="shared" si="78"/>
        <v>-4.0902292215646549E-2</v>
      </c>
      <c r="BS216">
        <f t="shared" si="79"/>
        <v>-4.5473541604349604E-2</v>
      </c>
      <c r="BT216">
        <f t="shared" si="80"/>
        <v>-5.1550221246287005E-2</v>
      </c>
      <c r="BU216">
        <f t="shared" si="81"/>
        <v>-6.1127820473387315E-2</v>
      </c>
      <c r="BV216">
        <f t="shared" si="82"/>
        <v>-6.9893199169442977E-2</v>
      </c>
    </row>
    <row r="217" spans="24:74">
      <c r="X217">
        <v>80</v>
      </c>
      <c r="Y217">
        <f t="shared" si="69"/>
        <v>-2.2648875035626816E-2</v>
      </c>
      <c r="Z217">
        <f t="shared" si="66"/>
        <v>-2.416386969223441E-2</v>
      </c>
      <c r="AA217">
        <f t="shared" si="66"/>
        <v>-2.580970560712232E-2</v>
      </c>
      <c r="AB217">
        <f t="shared" si="66"/>
        <v>-2.7619390399184918E-2</v>
      </c>
      <c r="AC217">
        <f t="shared" si="66"/>
        <v>-2.9640524799514876E-2</v>
      </c>
      <c r="AD217">
        <f t="shared" si="66"/>
        <v>-3.1945639211877104E-2</v>
      </c>
      <c r="AE217">
        <f t="shared" si="66"/>
        <v>-3.4653851967537307E-2</v>
      </c>
      <c r="AF217">
        <f t="shared" si="66"/>
        <v>-3.7983255283938804E-2</v>
      </c>
      <c r="AG217">
        <f t="shared" si="66"/>
        <v>-4.2409116931866962E-2</v>
      </c>
      <c r="AH217">
        <f t="shared" si="66"/>
        <v>-4.9384822678457035E-2</v>
      </c>
      <c r="AI217">
        <f t="shared" si="66"/>
        <v>-5.5768959359401203E-2</v>
      </c>
      <c r="AK217">
        <v>80</v>
      </c>
      <c r="AL217">
        <f t="shared" si="70"/>
        <v>-1.7012363104075209E-2</v>
      </c>
      <c r="AM217">
        <f t="shared" si="67"/>
        <v>-1.9144715151905325E-2</v>
      </c>
      <c r="AN217">
        <f t="shared" si="67"/>
        <v>-2.1461226017601802E-2</v>
      </c>
      <c r="AO217">
        <f t="shared" si="67"/>
        <v>-2.4008353860892409E-2</v>
      </c>
      <c r="AP217">
        <f t="shared" si="67"/>
        <v>-2.6853096618688007E-2</v>
      </c>
      <c r="AQ217">
        <f t="shared" si="67"/>
        <v>-3.0097540693949494E-2</v>
      </c>
      <c r="AR217">
        <f t="shared" si="67"/>
        <v>-3.3909344907452697E-2</v>
      </c>
      <c r="AS217">
        <f t="shared" si="67"/>
        <v>-3.8595473633265084E-2</v>
      </c>
      <c r="AT217">
        <f t="shared" si="67"/>
        <v>-4.4824865339177115E-2</v>
      </c>
      <c r="AU217">
        <f t="shared" si="67"/>
        <v>-5.4643157680292875E-2</v>
      </c>
      <c r="AV217">
        <f t="shared" si="67"/>
        <v>-6.3628817706131963E-2</v>
      </c>
      <c r="AX217">
        <v>80</v>
      </c>
      <c r="AY217">
        <f t="shared" si="71"/>
        <v>-1.5087634214783414E-2</v>
      </c>
      <c r="AZ217">
        <f t="shared" si="68"/>
        <v>-1.6641779327063868E-2</v>
      </c>
      <c r="BA217">
        <f t="shared" si="68"/>
        <v>-1.8330146894291015E-2</v>
      </c>
      <c r="BB217">
        <f t="shared" si="68"/>
        <v>-2.0186597517457029E-2</v>
      </c>
      <c r="BC217">
        <f t="shared" si="68"/>
        <v>-2.2259962024608757E-2</v>
      </c>
      <c r="BD217">
        <f t="shared" si="68"/>
        <v>-2.4624645148470039E-2</v>
      </c>
      <c r="BE217">
        <f t="shared" si="68"/>
        <v>-2.7402843473373482E-2</v>
      </c>
      <c r="BF217">
        <f t="shared" si="68"/>
        <v>-3.0818285150628177E-2</v>
      </c>
      <c r="BG217">
        <f t="shared" si="68"/>
        <v>-3.5358519809382288E-2</v>
      </c>
      <c r="BH217">
        <f t="shared" si="68"/>
        <v>-4.251449157699605E-2</v>
      </c>
      <c r="BI217">
        <f t="shared" si="68"/>
        <v>-4.9063606965321596E-2</v>
      </c>
      <c r="BK217">
        <v>80</v>
      </c>
      <c r="BL217">
        <f t="shared" si="72"/>
        <v>-2.4573603924918613E-2</v>
      </c>
      <c r="BM217">
        <f t="shared" si="73"/>
        <v>-2.6666805517075867E-2</v>
      </c>
      <c r="BN217">
        <f t="shared" si="74"/>
        <v>-2.8940784730433107E-2</v>
      </c>
      <c r="BO217">
        <f t="shared" si="75"/>
        <v>-3.1441146742620295E-2</v>
      </c>
      <c r="BP217">
        <f t="shared" si="76"/>
        <v>-3.4233659393594129E-2</v>
      </c>
      <c r="BQ217">
        <f t="shared" si="77"/>
        <v>-3.7418534757356556E-2</v>
      </c>
      <c r="BR217">
        <f t="shared" si="78"/>
        <v>-4.1160353401616522E-2</v>
      </c>
      <c r="BS217">
        <f t="shared" si="79"/>
        <v>-4.5760443766575704E-2</v>
      </c>
      <c r="BT217">
        <f t="shared" si="80"/>
        <v>-5.1875462461661789E-2</v>
      </c>
      <c r="BU217">
        <f t="shared" si="81"/>
        <v>-6.1513488781753861E-2</v>
      </c>
      <c r="BV217">
        <f t="shared" si="82"/>
        <v>-7.0334170100211577E-2</v>
      </c>
    </row>
    <row r="218" spans="24:74">
      <c r="X218">
        <v>81</v>
      </c>
      <c r="Y218">
        <f t="shared" si="69"/>
        <v>-2.2789990887101791E-2</v>
      </c>
      <c r="Z218">
        <f t="shared" si="66"/>
        <v>-2.4314424854077376E-2</v>
      </c>
      <c r="AA218">
        <f t="shared" si="66"/>
        <v>-2.5970515297552343E-2</v>
      </c>
      <c r="AB218">
        <f t="shared" si="66"/>
        <v>-2.7791475493357136E-2</v>
      </c>
      <c r="AC218">
        <f t="shared" si="66"/>
        <v>-2.9825202753217612E-2</v>
      </c>
      <c r="AD218">
        <f t="shared" si="66"/>
        <v>-3.2144679388098001E-2</v>
      </c>
      <c r="AE218">
        <f t="shared" si="66"/>
        <v>-3.4869765906732714E-2</v>
      </c>
      <c r="AF218">
        <f t="shared" si="66"/>
        <v>-3.8219913369726861E-2</v>
      </c>
      <c r="AG218">
        <f t="shared" si="66"/>
        <v>-4.2673350746426329E-2</v>
      </c>
      <c r="AH218">
        <f t="shared" si="66"/>
        <v>-4.969251925461142E-2</v>
      </c>
      <c r="AI218">
        <f t="shared" si="66"/>
        <v>-5.6116432872919897E-2</v>
      </c>
      <c r="AK218">
        <v>81</v>
      </c>
      <c r="AL218">
        <f t="shared" si="70"/>
        <v>-1.7118360161379673E-2</v>
      </c>
      <c r="AM218">
        <f t="shared" si="67"/>
        <v>-1.9263998020288733E-2</v>
      </c>
      <c r="AN218">
        <f t="shared" si="67"/>
        <v>-2.1594942115130127E-2</v>
      </c>
      <c r="AO218">
        <f t="shared" si="67"/>
        <v>-2.4157940067371229E-2</v>
      </c>
      <c r="AP218">
        <f t="shared" si="67"/>
        <v>-2.7020407250590257E-2</v>
      </c>
      <c r="AQ218">
        <f t="shared" si="67"/>
        <v>-3.0285066126256768E-2</v>
      </c>
      <c r="AR218">
        <f t="shared" si="67"/>
        <v>-3.4120620128497745E-2</v>
      </c>
      <c r="AS218">
        <f t="shared" si="67"/>
        <v>-3.8835946200501681E-2</v>
      </c>
      <c r="AT218">
        <f t="shared" si="67"/>
        <v>-4.5104150691303385E-2</v>
      </c>
      <c r="AU218">
        <f t="shared" si="67"/>
        <v>-5.4983616785268564E-2</v>
      </c>
      <c r="AV218">
        <f t="shared" si="67"/>
        <v>-6.4025262773483985E-2</v>
      </c>
      <c r="AX218">
        <v>81</v>
      </c>
      <c r="AY218">
        <f t="shared" si="71"/>
        <v>-1.5181639075758318E-2</v>
      </c>
      <c r="AZ218">
        <f t="shared" si="68"/>
        <v>-1.6745467428839481E-2</v>
      </c>
      <c r="BA218">
        <f t="shared" si="68"/>
        <v>-1.8444354521936112E-2</v>
      </c>
      <c r="BB218">
        <f t="shared" si="68"/>
        <v>-2.0312371927558085E-2</v>
      </c>
      <c r="BC218">
        <f t="shared" si="68"/>
        <v>-2.2398654718615064E-2</v>
      </c>
      <c r="BD218">
        <f t="shared" si="68"/>
        <v>-2.477807121320523E-2</v>
      </c>
      <c r="BE218">
        <f t="shared" si="68"/>
        <v>-2.75735793524623E-2</v>
      </c>
      <c r="BF218">
        <f t="shared" si="68"/>
        <v>-3.1010301246049629E-2</v>
      </c>
      <c r="BG218">
        <f t="shared" si="68"/>
        <v>-3.5578824244898263E-2</v>
      </c>
      <c r="BH218">
        <f t="shared" si="68"/>
        <v>-4.277938193775243E-2</v>
      </c>
      <c r="BI218">
        <f t="shared" si="68"/>
        <v>-4.9369302178106061E-2</v>
      </c>
      <c r="BK218">
        <v>81</v>
      </c>
      <c r="BL218">
        <f t="shared" si="72"/>
        <v>-2.4726711972723144E-2</v>
      </c>
      <c r="BM218">
        <f t="shared" si="73"/>
        <v>-2.6832955445526632E-2</v>
      </c>
      <c r="BN218">
        <f t="shared" si="74"/>
        <v>-2.9121102890746358E-2</v>
      </c>
      <c r="BO218">
        <f t="shared" si="75"/>
        <v>-3.1637043633170284E-2</v>
      </c>
      <c r="BP218">
        <f t="shared" si="76"/>
        <v>-3.4446955285192801E-2</v>
      </c>
      <c r="BQ218">
        <f t="shared" si="77"/>
        <v>-3.7651674301149539E-2</v>
      </c>
      <c r="BR218">
        <f t="shared" si="78"/>
        <v>-4.1416806682768162E-2</v>
      </c>
      <c r="BS218">
        <f t="shared" si="79"/>
        <v>-4.6045558324178906E-2</v>
      </c>
      <c r="BT218">
        <f t="shared" si="80"/>
        <v>-5.2198677192831458E-2</v>
      </c>
      <c r="BU218">
        <f t="shared" si="81"/>
        <v>-6.1896754102127562E-2</v>
      </c>
      <c r="BV218">
        <f t="shared" si="82"/>
        <v>-7.077239346829782E-2</v>
      </c>
    </row>
    <row r="219" spans="24:74">
      <c r="X219">
        <v>82</v>
      </c>
      <c r="Y219">
        <f t="shared" si="69"/>
        <v>-2.2930238308594302E-2</v>
      </c>
      <c r="Z219">
        <f t="shared" si="66"/>
        <v>-2.4464053496219034E-2</v>
      </c>
      <c r="AA219">
        <f t="shared" si="66"/>
        <v>-2.6130335361691771E-2</v>
      </c>
      <c r="AB219">
        <f t="shared" si="66"/>
        <v>-2.7962501572161829E-2</v>
      </c>
      <c r="AC219">
        <f t="shared" si="66"/>
        <v>-3.000874419482466E-2</v>
      </c>
      <c r="AD219">
        <f t="shared" si="66"/>
        <v>-3.23424946667972E-2</v>
      </c>
      <c r="AE219">
        <f t="shared" si="66"/>
        <v>-3.508435110690647E-2</v>
      </c>
      <c r="AF219">
        <f t="shared" ref="Z219:AI237" si="83">_xlfn.NORM.INV(1-AF$137,$T$127,$Y$128)*SQRT($X219)</f>
        <v>-3.8455115056569351E-2</v>
      </c>
      <c r="AG219">
        <f t="shared" si="83"/>
        <v>-4.293595846041269E-2</v>
      </c>
      <c r="AH219">
        <f t="shared" si="83"/>
        <v>-4.9998322259423966E-2</v>
      </c>
      <c r="AI219">
        <f t="shared" si="83"/>
        <v>-5.6461768026969422E-2</v>
      </c>
      <c r="AK219">
        <v>82</v>
      </c>
      <c r="AL219">
        <f t="shared" si="70"/>
        <v>-1.7223704910515683E-2</v>
      </c>
      <c r="AM219">
        <f t="shared" si="67"/>
        <v>-1.9382546819336804E-2</v>
      </c>
      <c r="AN219">
        <f t="shared" si="67"/>
        <v>-2.1727835320920794E-2</v>
      </c>
      <c r="AO219">
        <f t="shared" si="67"/>
        <v>-2.4306605717120872E-2</v>
      </c>
      <c r="AP219">
        <f t="shared" si="67"/>
        <v>-2.7186688249268391E-2</v>
      </c>
      <c r="AQ219">
        <f t="shared" si="67"/>
        <v>-3.0471437523023826E-2</v>
      </c>
      <c r="AR219">
        <f t="shared" si="67"/>
        <v>-3.4330595157292317E-2</v>
      </c>
      <c r="AS219">
        <f t="shared" ref="AM219:AV236" si="84">_xlfn.NORM.INV(1-AS$137,$U$127,$Z$128)*SQRT($AK219)</f>
        <v>-3.9074938894391911E-2</v>
      </c>
      <c r="AT219">
        <f t="shared" si="84"/>
        <v>-4.5381717315371023E-2</v>
      </c>
      <c r="AU219">
        <f t="shared" si="84"/>
        <v>-5.5321980697596002E-2</v>
      </c>
      <c r="AV219">
        <f t="shared" si="84"/>
        <v>-6.4419268109372194E-2</v>
      </c>
      <c r="AX219">
        <v>82</v>
      </c>
      <c r="AY219">
        <f t="shared" si="71"/>
        <v>-1.5275065428798683E-2</v>
      </c>
      <c r="AZ219">
        <f t="shared" si="68"/>
        <v>-1.6848517431808579E-2</v>
      </c>
      <c r="BA219">
        <f t="shared" si="68"/>
        <v>-1.8557859313386438E-2</v>
      </c>
      <c r="BB219">
        <f t="shared" si="68"/>
        <v>-2.0437372319236573E-2</v>
      </c>
      <c r="BC219">
        <f t="shared" si="68"/>
        <v>-2.2536493894802043E-2</v>
      </c>
      <c r="BD219">
        <f t="shared" si="68"/>
        <v>-2.4930553090641024E-2</v>
      </c>
      <c r="BE219">
        <f t="shared" si="68"/>
        <v>-2.7743264519282204E-2</v>
      </c>
      <c r="BF219">
        <f t="shared" ref="AZ219:BI237" si="85">_xlfn.NORM.INV(1-BF$137,$V$127,$AA$128)*SQRT($AX219)</f>
        <v>-3.1201135670293558E-2</v>
      </c>
      <c r="BG219">
        <f t="shared" si="85"/>
        <v>-3.5797772922183883E-2</v>
      </c>
      <c r="BH219">
        <f t="shared" si="85"/>
        <v>-4.3042642157536407E-2</v>
      </c>
      <c r="BI219">
        <f t="shared" si="85"/>
        <v>-4.9673116135981875E-2</v>
      </c>
      <c r="BK219">
        <v>82</v>
      </c>
      <c r="BL219">
        <f t="shared" si="72"/>
        <v>-2.4878877790311303E-2</v>
      </c>
      <c r="BM219">
        <f t="shared" si="73"/>
        <v>-2.6998082883747259E-2</v>
      </c>
      <c r="BN219">
        <f t="shared" si="74"/>
        <v>-2.9300311369226131E-2</v>
      </c>
      <c r="BO219">
        <f t="shared" si="75"/>
        <v>-3.1831734970046127E-2</v>
      </c>
      <c r="BP219">
        <f t="shared" si="76"/>
        <v>-3.4658938549291009E-2</v>
      </c>
      <c r="BQ219">
        <f t="shared" si="77"/>
        <v>-3.7883379099179999E-2</v>
      </c>
      <c r="BR219">
        <f t="shared" si="78"/>
        <v>-4.1671681744916575E-2</v>
      </c>
      <c r="BS219">
        <f t="shared" si="79"/>
        <v>-4.6328918280667708E-2</v>
      </c>
      <c r="BT219">
        <f t="shared" si="80"/>
        <v>-5.251990285359983E-2</v>
      </c>
      <c r="BU219">
        <f t="shared" si="81"/>
        <v>-6.2277660799483561E-2</v>
      </c>
      <c r="BV219">
        <f t="shared" si="82"/>
        <v>-7.1207920000359748E-2</v>
      </c>
    </row>
    <row r="220" spans="24:74">
      <c r="X220">
        <v>83</v>
      </c>
      <c r="Y220">
        <f t="shared" si="69"/>
        <v>-2.3069633138471636E-2</v>
      </c>
      <c r="Z220">
        <f t="shared" si="83"/>
        <v>-2.4612772516463027E-2</v>
      </c>
      <c r="AA220">
        <f t="shared" si="83"/>
        <v>-2.6289183848277952E-2</v>
      </c>
      <c r="AB220">
        <f t="shared" si="83"/>
        <v>-2.8132487949849638E-2</v>
      </c>
      <c r="AC220">
        <f t="shared" si="83"/>
        <v>-3.0191169851966747E-2</v>
      </c>
      <c r="AD220">
        <f t="shared" si="83"/>
        <v>-3.2539107387572853E-2</v>
      </c>
      <c r="AE220">
        <f t="shared" si="83"/>
        <v>-3.5297631801510972E-2</v>
      </c>
      <c r="AF220">
        <f t="shared" si="83"/>
        <v>-3.8688886906171747E-2</v>
      </c>
      <c r="AG220">
        <f t="shared" si="83"/>
        <v>-4.3196969730538319E-2</v>
      </c>
      <c r="AH220">
        <f t="shared" si="83"/>
        <v>-5.0302266227720729E-2</v>
      </c>
      <c r="AI220">
        <f t="shared" si="83"/>
        <v>-5.6805003820805153E-2</v>
      </c>
      <c r="AK220">
        <v>83</v>
      </c>
      <c r="AL220">
        <f t="shared" si="70"/>
        <v>-1.7328409248235491E-2</v>
      </c>
      <c r="AM220">
        <f t="shared" si="84"/>
        <v>-1.950037493695642E-2</v>
      </c>
      <c r="AN220">
        <f t="shared" si="84"/>
        <v>-2.1859920642817658E-2</v>
      </c>
      <c r="AO220">
        <f t="shared" si="84"/>
        <v>-2.4454367599192704E-2</v>
      </c>
      <c r="AP220">
        <f t="shared" si="84"/>
        <v>-2.7351958393103507E-2</v>
      </c>
      <c r="AQ220">
        <f t="shared" si="84"/>
        <v>-3.0656675931472799E-2</v>
      </c>
      <c r="AR220">
        <f t="shared" si="84"/>
        <v>-3.4539293706654747E-2</v>
      </c>
      <c r="AS220">
        <f t="shared" si="84"/>
        <v>-3.9312478704765771E-2</v>
      </c>
      <c r="AT220">
        <f t="shared" si="84"/>
        <v>-4.5657596557426107E-2</v>
      </c>
      <c r="AU220">
        <f t="shared" si="84"/>
        <v>-5.5658287629256981E-2</v>
      </c>
      <c r="AV220">
        <f t="shared" si="84"/>
        <v>-6.4810878209453998E-2</v>
      </c>
      <c r="AX220">
        <v>83</v>
      </c>
      <c r="AY220">
        <f t="shared" si="71"/>
        <v>-1.536792382469309E-2</v>
      </c>
      <c r="AZ220">
        <f t="shared" si="85"/>
        <v>-1.6950940973574039E-2</v>
      </c>
      <c r="BA220">
        <f t="shared" si="85"/>
        <v>-1.8670674086920972E-2</v>
      </c>
      <c r="BB220">
        <f t="shared" si="85"/>
        <v>-2.0561612808988133E-2</v>
      </c>
      <c r="BC220">
        <f t="shared" si="85"/>
        <v>-2.2673495119569953E-2</v>
      </c>
      <c r="BD220">
        <f t="shared" si="85"/>
        <v>-2.5082108000801517E-2</v>
      </c>
      <c r="BE220">
        <f t="shared" si="85"/>
        <v>-2.7911918136652492E-2</v>
      </c>
      <c r="BF220">
        <f t="shared" si="85"/>
        <v>-3.1390809974598984E-2</v>
      </c>
      <c r="BG220">
        <f t="shared" si="85"/>
        <v>-3.6015390567466055E-2</v>
      </c>
      <c r="BH220">
        <f t="shared" si="85"/>
        <v>-4.3304301966748761E-2</v>
      </c>
      <c r="BI220">
        <f t="shared" si="85"/>
        <v>-4.9975083149148808E-2</v>
      </c>
      <c r="BK220">
        <v>83</v>
      </c>
      <c r="BL220">
        <f t="shared" si="72"/>
        <v>-2.5030118562014037E-2</v>
      </c>
      <c r="BM220">
        <f t="shared" si="73"/>
        <v>-2.7162206479845408E-2</v>
      </c>
      <c r="BN220">
        <f t="shared" si="74"/>
        <v>-2.9478430404174635E-2</v>
      </c>
      <c r="BO220">
        <f t="shared" si="75"/>
        <v>-3.2025242740054208E-2</v>
      </c>
      <c r="BP220">
        <f t="shared" si="76"/>
        <v>-3.4869633125500302E-2</v>
      </c>
      <c r="BQ220">
        <f t="shared" si="77"/>
        <v>-3.8113675318244139E-2</v>
      </c>
      <c r="BR220">
        <f t="shared" si="78"/>
        <v>-4.1925007371513237E-2</v>
      </c>
      <c r="BS220">
        <f t="shared" si="79"/>
        <v>-4.6610555636338528E-2</v>
      </c>
      <c r="BT220">
        <f t="shared" si="80"/>
        <v>-5.2839175720498371E-2</v>
      </c>
      <c r="BU220">
        <f t="shared" si="81"/>
        <v>-6.2656251890228942E-2</v>
      </c>
      <c r="BV220">
        <f t="shared" si="82"/>
        <v>-7.1640798881110343E-2</v>
      </c>
    </row>
    <row r="221" spans="24:74">
      <c r="X221">
        <v>84</v>
      </c>
      <c r="Y221">
        <f t="shared" si="69"/>
        <v>-2.3208190739443944E-2</v>
      </c>
      <c r="Z221">
        <f t="shared" si="83"/>
        <v>-2.4760598305138926E-2</v>
      </c>
      <c r="AA221">
        <f t="shared" si="83"/>
        <v>-2.6447078264009379E-2</v>
      </c>
      <c r="AB221">
        <f t="shared" si="83"/>
        <v>-2.8301453360626505E-2</v>
      </c>
      <c r="AC221">
        <f t="shared" si="83"/>
        <v>-3.037249982978334E-2</v>
      </c>
      <c r="AD221">
        <f t="shared" si="83"/>
        <v>-3.2734539219121304E-2</v>
      </c>
      <c r="AE221">
        <f t="shared" si="83"/>
        <v>-3.5509631496220689E-2</v>
      </c>
      <c r="AF221">
        <f t="shared" si="83"/>
        <v>-3.8921254682539569E-2</v>
      </c>
      <c r="AG221">
        <f t="shared" si="83"/>
        <v>-4.3456413322866427E-2</v>
      </c>
      <c r="AH221">
        <f t="shared" si="83"/>
        <v>-5.0604384657179417E-2</v>
      </c>
      <c r="AI221">
        <f t="shared" si="83"/>
        <v>-5.714617808245858E-2</v>
      </c>
      <c r="AK221">
        <v>84</v>
      </c>
      <c r="AL221">
        <f t="shared" si="70"/>
        <v>-1.7432484714008628E-2</v>
      </c>
      <c r="AM221">
        <f t="shared" si="84"/>
        <v>-1.9617495358989458E-2</v>
      </c>
      <c r="AN221">
        <f t="shared" si="84"/>
        <v>-2.1991212637949682E-2</v>
      </c>
      <c r="AO221">
        <f t="shared" si="84"/>
        <v>-2.460124199843005E-2</v>
      </c>
      <c r="AP221">
        <f t="shared" si="84"/>
        <v>-2.7516235896525215E-2</v>
      </c>
      <c r="AQ221">
        <f t="shared" si="84"/>
        <v>-3.0840801766736592E-2</v>
      </c>
      <c r="AR221">
        <f t="shared" si="84"/>
        <v>-3.474673877726106E-2</v>
      </c>
      <c r="AS221">
        <f t="shared" si="84"/>
        <v>-3.9548591810895907E-2</v>
      </c>
      <c r="AT221">
        <f t="shared" si="84"/>
        <v>-4.5931818822131674E-2</v>
      </c>
      <c r="AU221">
        <f t="shared" si="84"/>
        <v>-5.5992574644652814E-2</v>
      </c>
      <c r="AV221">
        <f t="shared" si="84"/>
        <v>-6.5200136233095243E-2</v>
      </c>
      <c r="AX221">
        <v>84</v>
      </c>
      <c r="AY221">
        <f t="shared" si="71"/>
        <v>-1.5460224497369314E-2</v>
      </c>
      <c r="AZ221">
        <f t="shared" si="85"/>
        <v>-1.7052749342238771E-2</v>
      </c>
      <c r="BA221">
        <f t="shared" si="85"/>
        <v>-1.8782811275860723E-2</v>
      </c>
      <c r="BB221">
        <f t="shared" si="85"/>
        <v>-2.0685107089362439E-2</v>
      </c>
      <c r="BC221">
        <f t="shared" si="85"/>
        <v>-2.2809673491829628E-2</v>
      </c>
      <c r="BD221">
        <f t="shared" si="85"/>
        <v>-2.5232752646559834E-2</v>
      </c>
      <c r="BE221">
        <f t="shared" si="85"/>
        <v>-2.8079558791895536E-2</v>
      </c>
      <c r="BF221">
        <f t="shared" si="85"/>
        <v>-3.1579345062979068E-2</v>
      </c>
      <c r="BG221">
        <f t="shared" si="85"/>
        <v>-3.6231701164394746E-2</v>
      </c>
      <c r="BH221">
        <f t="shared" si="85"/>
        <v>-4.3564390202928252E-2</v>
      </c>
      <c r="BI221">
        <f t="shared" si="85"/>
        <v>-5.0275236497404278E-2</v>
      </c>
      <c r="BK221">
        <v>84</v>
      </c>
      <c r="BL221">
        <f t="shared" si="72"/>
        <v>-2.5180450956083254E-2</v>
      </c>
      <c r="BM221">
        <f t="shared" si="73"/>
        <v>-2.7325344321889614E-2</v>
      </c>
      <c r="BN221">
        <f t="shared" si="74"/>
        <v>-2.9655479626098335E-2</v>
      </c>
      <c r="BO221">
        <f t="shared" si="75"/>
        <v>-3.221758826969412E-2</v>
      </c>
      <c r="BP221">
        <f t="shared" si="76"/>
        <v>-3.5079062234478924E-2</v>
      </c>
      <c r="BQ221">
        <f t="shared" si="77"/>
        <v>-3.8342588339298073E-2</v>
      </c>
      <c r="BR221">
        <f t="shared" si="78"/>
        <v>-4.217681148158621E-2</v>
      </c>
      <c r="BS221">
        <f t="shared" si="79"/>
        <v>-4.6890501430456401E-2</v>
      </c>
      <c r="BT221">
        <f t="shared" si="80"/>
        <v>-5.3156530980603363E-2</v>
      </c>
      <c r="BU221">
        <f t="shared" si="81"/>
        <v>-6.3032569098903979E-2</v>
      </c>
      <c r="BV221">
        <f t="shared" si="82"/>
        <v>-7.2071077818149532E-2</v>
      </c>
    </row>
    <row r="222" spans="24:74">
      <c r="X222">
        <v>85</v>
      </c>
      <c r="Y222">
        <f t="shared" si="69"/>
        <v>-2.334592601832608E-2</v>
      </c>
      <c r="Z222">
        <f t="shared" si="83"/>
        <v>-2.4907546766185944E-2</v>
      </c>
      <c r="AA222">
        <f t="shared" si="83"/>
        <v>-2.6604035596065428E-2</v>
      </c>
      <c r="AB222">
        <f t="shared" si="83"/>
        <v>-2.8469415982752433E-2</v>
      </c>
      <c r="AC222">
        <f t="shared" si="83"/>
        <v>-3.0552753636784887E-2</v>
      </c>
      <c r="AD222">
        <f t="shared" si="83"/>
        <v>-3.2928811187110649E-2</v>
      </c>
      <c r="AE222">
        <f t="shared" si="83"/>
        <v>-3.5720372999168672E-2</v>
      </c>
      <c r="AF222">
        <f t="shared" si="83"/>
        <v>-3.9152243385119953E-2</v>
      </c>
      <c r="AG222">
        <f t="shared" si="83"/>
        <v>-4.3714317149814462E-2</v>
      </c>
      <c r="AH222">
        <f t="shared" si="83"/>
        <v>-5.0904710051419201E-2</v>
      </c>
      <c r="AI222">
        <f t="shared" si="83"/>
        <v>-5.748532751739744E-2</v>
      </c>
      <c r="AK222">
        <v>85</v>
      </c>
      <c r="AL222">
        <f t="shared" si="70"/>
        <v>-1.7535942504865704E-2</v>
      </c>
      <c r="AM222">
        <f t="shared" si="84"/>
        <v>-1.9733920685917127E-2</v>
      </c>
      <c r="AN222">
        <f t="shared" si="84"/>
        <v>-2.2121725431456522E-2</v>
      </c>
      <c r="AO222">
        <f t="shared" si="84"/>
        <v>-2.474724471641624E-2</v>
      </c>
      <c r="AP222">
        <f t="shared" si="84"/>
        <v>-2.7679538433441772E-2</v>
      </c>
      <c r="AQ222">
        <f t="shared" si="84"/>
        <v>-3.1023834838119903E-2</v>
      </c>
      <c r="AR222">
        <f t="shared" si="84"/>
        <v>-3.495295268723194E-2</v>
      </c>
      <c r="AS222">
        <f t="shared" si="84"/>
        <v>-3.9783303615173335E-2</v>
      </c>
      <c r="AT222">
        <f t="shared" si="84"/>
        <v>-4.6204413611878811E-2</v>
      </c>
      <c r="AU222">
        <f t="shared" si="84"/>
        <v>-5.6324877708282102E-2</v>
      </c>
      <c r="AV222">
        <f t="shared" si="84"/>
        <v>-6.5587084058888315E-2</v>
      </c>
      <c r="AX222">
        <v>85</v>
      </c>
      <c r="AY222">
        <f t="shared" si="71"/>
        <v>-1.5551977377058745E-2</v>
      </c>
      <c r="AZ222">
        <f t="shared" si="85"/>
        <v>-1.7153953490926178E-2</v>
      </c>
      <c r="BA222">
        <f t="shared" si="85"/>
        <v>-1.889428294456234E-2</v>
      </c>
      <c r="BB222">
        <f t="shared" si="85"/>
        <v>-2.080786844657664E-2</v>
      </c>
      <c r="BC222">
        <f t="shared" si="85"/>
        <v>-2.2945043662424964E-2</v>
      </c>
      <c r="BD222">
        <f t="shared" si="85"/>
        <v>-2.5382503235123859E-2</v>
      </c>
      <c r="BE222">
        <f t="shared" si="85"/>
        <v>-2.8246204520746599E-2</v>
      </c>
      <c r="BF222">
        <f t="shared" si="85"/>
        <v>-3.176676121911106E-2</v>
      </c>
      <c r="BG222">
        <f t="shared" si="85"/>
        <v>-3.64467279848944E-2</v>
      </c>
      <c r="BH222">
        <f t="shared" si="85"/>
        <v>-4.3822934847846766E-2</v>
      </c>
      <c r="BI222">
        <f t="shared" si="85"/>
        <v>-5.0573608472952822E-2</v>
      </c>
      <c r="BK222">
        <v>85</v>
      </c>
      <c r="BL222">
        <f t="shared" si="72"/>
        <v>-2.5329891146133036E-2</v>
      </c>
      <c r="BM222">
        <f t="shared" si="73"/>
        <v>-2.748751396117689E-2</v>
      </c>
      <c r="BN222">
        <f t="shared" si="74"/>
        <v>-2.9831478082959609E-2</v>
      </c>
      <c r="BO222">
        <f t="shared" si="75"/>
        <v>-3.2408792252592036E-2</v>
      </c>
      <c r="BP222">
        <f t="shared" si="76"/>
        <v>-3.5287248407801702E-2</v>
      </c>
      <c r="BQ222">
        <f t="shared" si="77"/>
        <v>-3.8570142790106697E-2</v>
      </c>
      <c r="BR222">
        <f t="shared" si="78"/>
        <v>-4.2427121165654016E-2</v>
      </c>
      <c r="BS222">
        <f t="shared" si="79"/>
        <v>-4.7168785781182228E-2</v>
      </c>
      <c r="BT222">
        <f t="shared" si="80"/>
        <v>-5.3472002776798866E-2</v>
      </c>
      <c r="BU222">
        <f t="shared" si="81"/>
        <v>-6.3406652911854544E-2</v>
      </c>
      <c r="BV222">
        <f t="shared" si="82"/>
        <v>-7.249880310333294E-2</v>
      </c>
    </row>
    <row r="223" spans="24:74">
      <c r="X223">
        <v>86</v>
      </c>
      <c r="Y223">
        <f t="shared" si="69"/>
        <v>-2.3482853444756188E-2</v>
      </c>
      <c r="Z223">
        <f t="shared" si="83"/>
        <v>-2.5053633337123599E-2</v>
      </c>
      <c r="AA223">
        <f t="shared" si="83"/>
        <v>-2.6760072333437281E-2</v>
      </c>
      <c r="AB223">
        <f t="shared" si="83"/>
        <v>-2.8636393461368037E-2</v>
      </c>
      <c r="AC223">
        <f t="shared" si="83"/>
        <v>-3.0731950209349806E-2</v>
      </c>
      <c r="AD223">
        <f t="shared" si="83"/>
        <v>-3.3121943700582794E-2</v>
      </c>
      <c r="AE223">
        <f t="shared" si="83"/>
        <v>-3.5929878449586887E-2</v>
      </c>
      <c r="AF223">
        <f t="shared" si="83"/>
        <v>-3.9381877280193614E-2</v>
      </c>
      <c r="AG223">
        <f t="shared" si="83"/>
        <v>-4.3970708305203846E-2</v>
      </c>
      <c r="AH223">
        <f t="shared" si="83"/>
        <v>-5.120327396081565E-2</v>
      </c>
      <c r="AI223">
        <f t="shared" si="83"/>
        <v>-5.7822487754617007E-2</v>
      </c>
      <c r="AK223">
        <v>86</v>
      </c>
      <c r="AL223">
        <f t="shared" si="70"/>
        <v>-1.7638793489458595E-2</v>
      </c>
      <c r="AM223">
        <f t="shared" si="84"/>
        <v>-1.9849663148682469E-2</v>
      </c>
      <c r="AN223">
        <f t="shared" si="84"/>
        <v>-2.2251472734225539E-2</v>
      </c>
      <c r="AO223">
        <f t="shared" si="84"/>
        <v>-2.4892391091316728E-2</v>
      </c>
      <c r="AP223">
        <f t="shared" si="84"/>
        <v>-2.7841883159433336E-2</v>
      </c>
      <c r="AQ223">
        <f t="shared" si="84"/>
        <v>-3.1205794373973909E-2</v>
      </c>
      <c r="AR223">
        <f t="shared" si="84"/>
        <v>-3.515795710015774E-2</v>
      </c>
      <c r="AS223">
        <f t="shared" si="84"/>
        <v>-4.0016638775005386E-2</v>
      </c>
      <c r="AT223">
        <f t="shared" si="84"/>
        <v>-4.6475409563832941E-2</v>
      </c>
      <c r="AU223">
        <f t="shared" si="84"/>
        <v>-5.6655231729901619E-2</v>
      </c>
      <c r="AV223">
        <f t="shared" si="84"/>
        <v>-6.5971762337239295E-2</v>
      </c>
      <c r="AX223">
        <v>86</v>
      </c>
      <c r="AY223">
        <f t="shared" si="71"/>
        <v>-1.5643192102765848E-2</v>
      </c>
      <c r="AZ223">
        <f t="shared" si="85"/>
        <v>-1.7254564051534079E-2</v>
      </c>
      <c r="BA223">
        <f t="shared" si="85"/>
        <v>-1.9005100803567394E-2</v>
      </c>
      <c r="BB223">
        <f t="shared" si="85"/>
        <v>-2.092990977719893E-2</v>
      </c>
      <c r="BC223">
        <f t="shared" si="85"/>
        <v>-2.3079619852530084E-2</v>
      </c>
      <c r="BD223">
        <f t="shared" si="85"/>
        <v>-2.5531375498387746E-2</v>
      </c>
      <c r="BE223">
        <f t="shared" si="85"/>
        <v>-2.8411872830001426E-2</v>
      </c>
      <c r="BF223">
        <f t="shared" si="85"/>
        <v>-3.1953078131806589E-2</v>
      </c>
      <c r="BG223">
        <f t="shared" si="85"/>
        <v>-3.6660493618386615E-2</v>
      </c>
      <c r="BH223">
        <f t="shared" si="85"/>
        <v>-4.4079963062646201E-2</v>
      </c>
      <c r="BI223">
        <f t="shared" si="85"/>
        <v>-5.0870230420955634E-2</v>
      </c>
      <c r="BK223">
        <v>86</v>
      </c>
      <c r="BL223">
        <f t="shared" si="72"/>
        <v>-2.5478454831448939E-2</v>
      </c>
      <c r="BM223">
        <f t="shared" si="73"/>
        <v>-2.7648732434271992E-2</v>
      </c>
      <c r="BN223">
        <f t="shared" si="74"/>
        <v>-3.000644426409543E-2</v>
      </c>
      <c r="BO223">
        <f t="shared" si="75"/>
        <v>-3.2598874775485842E-2</v>
      </c>
      <c r="BP223">
        <f t="shared" si="76"/>
        <v>-3.5494213516253058E-2</v>
      </c>
      <c r="BQ223">
        <f t="shared" si="77"/>
        <v>-3.8796362576168961E-2</v>
      </c>
      <c r="BR223">
        <f t="shared" si="78"/>
        <v>-4.26759627197432E-2</v>
      </c>
      <c r="BS223">
        <f t="shared" si="79"/>
        <v>-4.7445437923392411E-2</v>
      </c>
      <c r="BT223">
        <f t="shared" si="80"/>
        <v>-5.3785624250650164E-2</v>
      </c>
      <c r="BU223">
        <f t="shared" si="81"/>
        <v>-6.3778542628071061E-2</v>
      </c>
      <c r="BV223">
        <f t="shared" si="82"/>
        <v>-7.2924019670900661E-2</v>
      </c>
    </row>
    <row r="224" spans="24:74">
      <c r="X224">
        <v>87</v>
      </c>
      <c r="Y224">
        <f t="shared" si="69"/>
        <v>-2.3618987068937582E-2</v>
      </c>
      <c r="Z224">
        <f t="shared" si="83"/>
        <v>-2.5198873007980377E-2</v>
      </c>
      <c r="AA224">
        <f t="shared" si="83"/>
        <v>-2.6915204487145822E-2</v>
      </c>
      <c r="AB224">
        <f t="shared" si="83"/>
        <v>-2.8802402930130058E-2</v>
      </c>
      <c r="AC224">
        <f t="shared" si="83"/>
        <v>-3.0910107934943205E-2</v>
      </c>
      <c r="AD224">
        <f t="shared" si="83"/>
        <v>-3.3313956576977902E-2</v>
      </c>
      <c r="AE224">
        <f t="shared" si="83"/>
        <v>-3.6138169344952134E-2</v>
      </c>
      <c r="AF224">
        <f t="shared" si="83"/>
        <v>-3.9610179930628833E-2</v>
      </c>
      <c r="AG224">
        <f t="shared" si="83"/>
        <v>-4.4225613097480992E-2</v>
      </c>
      <c r="AH224">
        <f t="shared" si="83"/>
        <v>-5.1500107021186139E-2</v>
      </c>
      <c r="AI224">
        <f t="shared" si="83"/>
        <v>-5.8157693390326407E-2</v>
      </c>
      <c r="AK224">
        <v>87</v>
      </c>
      <c r="AL224">
        <f t="shared" si="70"/>
        <v>-1.7741048221386984E-2</v>
      </c>
      <c r="AM224">
        <f t="shared" si="84"/>
        <v>-1.9964734623687284E-2</v>
      </c>
      <c r="AN224">
        <f t="shared" si="84"/>
        <v>-2.2380467859703358E-2</v>
      </c>
      <c r="AO224">
        <f t="shared" si="84"/>
        <v>-2.5036696016685935E-2</v>
      </c>
      <c r="AP224">
        <f t="shared" si="84"/>
        <v>-2.8003286732787191E-2</v>
      </c>
      <c r="AQ224">
        <f t="shared" si="84"/>
        <v>-3.1386699045272998E-2</v>
      </c>
      <c r="AR224">
        <f t="shared" si="84"/>
        <v>-3.5361773051661161E-2</v>
      </c>
      <c r="AS224">
        <f t="shared" si="84"/>
        <v>-4.024862123304928E-2</v>
      </c>
      <c r="AT224">
        <f t="shared" si="84"/>
        <v>-4.6744834485047182E-2</v>
      </c>
      <c r="AU224">
        <f t="shared" si="84"/>
        <v>-5.6983670607330734E-2</v>
      </c>
      <c r="AV224">
        <f t="shared" si="84"/>
        <v>-6.6354210540211289E-2</v>
      </c>
      <c r="AX224">
        <v>87</v>
      </c>
      <c r="AY224">
        <f t="shared" si="71"/>
        <v>-1.5733878034086976E-2</v>
      </c>
      <c r="AZ224">
        <f t="shared" si="85"/>
        <v>-1.7354591347770933E-2</v>
      </c>
      <c r="BA224">
        <f t="shared" si="85"/>
        <v>-1.9115276223961208E-2</v>
      </c>
      <c r="BB224">
        <f t="shared" si="85"/>
        <v>-2.1051243603961618E-2</v>
      </c>
      <c r="BC224">
        <f t="shared" si="85"/>
        <v>-2.3213415871086565E-2</v>
      </c>
      <c r="BD224">
        <f t="shared" si="85"/>
        <v>-2.5679384712221493E-2</v>
      </c>
      <c r="BE224">
        <f t="shared" si="85"/>
        <v>-2.8576580718982125E-2</v>
      </c>
      <c r="BF224">
        <f t="shared" si="85"/>
        <v>-3.2138314919153033E-2</v>
      </c>
      <c r="BG224">
        <f t="shared" si="85"/>
        <v>-3.6873019999488062E-2</v>
      </c>
      <c r="BH224">
        <f t="shared" si="85"/>
        <v>-4.4335501221142007E-2</v>
      </c>
      <c r="BI224">
        <f t="shared" si="85"/>
        <v>-5.1165132777964278E-2</v>
      </c>
      <c r="BK224">
        <v>87</v>
      </c>
      <c r="BL224">
        <f t="shared" si="72"/>
        <v>-2.562615725623759E-2</v>
      </c>
      <c r="BM224">
        <f t="shared" si="73"/>
        <v>-2.7809016283896724E-2</v>
      </c>
      <c r="BN224">
        <f t="shared" si="74"/>
        <v>-3.0180396122887972E-2</v>
      </c>
      <c r="BO224">
        <f t="shared" si="75"/>
        <v>-3.2787855342854375E-2</v>
      </c>
      <c r="BP224">
        <f t="shared" si="76"/>
        <v>-3.5699978796643828E-2</v>
      </c>
      <c r="BQ224">
        <f t="shared" si="77"/>
        <v>-3.902127091002941E-2</v>
      </c>
      <c r="BR224">
        <f t="shared" si="78"/>
        <v>-4.2923361677631167E-2</v>
      </c>
      <c r="BS224">
        <f t="shared" si="79"/>
        <v>-4.7720486244525073E-2</v>
      </c>
      <c r="BT224">
        <f t="shared" si="80"/>
        <v>-5.4097427583040113E-2</v>
      </c>
      <c r="BU224">
        <f t="shared" si="81"/>
        <v>-6.4148276407374874E-2</v>
      </c>
      <c r="BV224">
        <f t="shared" si="82"/>
        <v>-7.3346771152573417E-2</v>
      </c>
    </row>
    <row r="225" spans="24:74">
      <c r="X225">
        <v>88</v>
      </c>
      <c r="Y225">
        <f t="shared" si="69"/>
        <v>-2.3754340538465462E-2</v>
      </c>
      <c r="Z225">
        <f t="shared" si="83"/>
        <v>-2.5343280339246006E-2</v>
      </c>
      <c r="AA225">
        <f t="shared" si="83"/>
        <v>-2.7069447609416663E-2</v>
      </c>
      <c r="AB225">
        <f t="shared" si="83"/>
        <v>-2.8967461031730875E-2</v>
      </c>
      <c r="AC225">
        <f t="shared" si="83"/>
        <v>-3.1087244674138009E-2</v>
      </c>
      <c r="AD225">
        <f t="shared" si="83"/>
        <v>-3.3504869065868054E-2</v>
      </c>
      <c r="AE225">
        <f t="shared" si="83"/>
        <v>-3.6345266566731739E-2</v>
      </c>
      <c r="AF225">
        <f t="shared" si="83"/>
        <v>-3.9837174224100678E-2</v>
      </c>
      <c r="AG225">
        <f t="shared" si="83"/>
        <v>-4.4479057081224661E-2</v>
      </c>
      <c r="AH225">
        <f t="shared" si="83"/>
        <v>-5.1795238990479699E-2</v>
      </c>
      <c r="AI225">
        <f t="shared" si="83"/>
        <v>-5.8490978029381566E-2</v>
      </c>
      <c r="AK225">
        <v>88</v>
      </c>
      <c r="AL225">
        <f t="shared" si="70"/>
        <v>-1.7842716951837506E-2</v>
      </c>
      <c r="AM225">
        <f t="shared" si="84"/>
        <v>-2.0079146647015472E-2</v>
      </c>
      <c r="AN225">
        <f t="shared" si="84"/>
        <v>-2.2508723739840236E-2</v>
      </c>
      <c r="AO225">
        <f t="shared" si="84"/>
        <v>-2.5180173959303977E-2</v>
      </c>
      <c r="AP225">
        <f t="shared" si="84"/>
        <v>-2.8163765334447959E-2</v>
      </c>
      <c r="AQ225">
        <f t="shared" si="84"/>
        <v>-3.1566566987975435E-2</v>
      </c>
      <c r="AR225">
        <f t="shared" si="84"/>
        <v>-3.5564420974589853E-2</v>
      </c>
      <c r="AS225">
        <f t="shared" si="84"/>
        <v>-4.0479274245886203E-2</v>
      </c>
      <c r="AT225">
        <f t="shared" si="84"/>
        <v>-4.70127153857645E-2</v>
      </c>
      <c r="AU225">
        <f t="shared" si="84"/>
        <v>-5.7310227267047945E-2</v>
      </c>
      <c r="AV225">
        <f t="shared" si="84"/>
        <v>-6.6734467008796802E-2</v>
      </c>
      <c r="AX225">
        <v>88</v>
      </c>
      <c r="AY225">
        <f t="shared" si="71"/>
        <v>-1.5824044262419561E-2</v>
      </c>
      <c r="AZ225">
        <f t="shared" si="85"/>
        <v>-1.7454045407519696E-2</v>
      </c>
      <c r="BA225">
        <f t="shared" si="85"/>
        <v>-1.9224820250991037E-2</v>
      </c>
      <c r="BB225">
        <f t="shared" si="85"/>
        <v>-2.1171882090758546E-2</v>
      </c>
      <c r="BC225">
        <f t="shared" si="85"/>
        <v>-2.3346445131341226E-2</v>
      </c>
      <c r="BD225">
        <f t="shared" si="85"/>
        <v>-2.5826545714765569E-2</v>
      </c>
      <c r="BE225">
        <f t="shared" si="85"/>
        <v>-2.8740344699895795E-2</v>
      </c>
      <c r="BF225">
        <f t="shared" si="85"/>
        <v>-3.2322490151409623E-2</v>
      </c>
      <c r="BG225">
        <f t="shared" si="85"/>
        <v>-3.7084328434279723E-2</v>
      </c>
      <c r="BH225">
        <f t="shared" si="85"/>
        <v>-4.458957494140884E-2</v>
      </c>
      <c r="BI225">
        <f t="shared" si="85"/>
        <v>-5.1458345108371967E-2</v>
      </c>
      <c r="BK225">
        <v>88</v>
      </c>
      <c r="BL225">
        <f t="shared" si="72"/>
        <v>-2.5773013227883411E-2</v>
      </c>
      <c r="BM225">
        <f t="shared" si="73"/>
        <v>-2.7968381578741781E-2</v>
      </c>
      <c r="BN225">
        <f t="shared" si="74"/>
        <v>-3.0353351098265861E-2</v>
      </c>
      <c r="BO225">
        <f t="shared" si="75"/>
        <v>-3.2975752900276309E-2</v>
      </c>
      <c r="BP225">
        <f t="shared" si="76"/>
        <v>-3.5904564877244749E-2</v>
      </c>
      <c r="BQ225">
        <f t="shared" si="77"/>
        <v>-3.9244890339077923E-2</v>
      </c>
      <c r="BR225">
        <f t="shared" si="78"/>
        <v>-4.3169342841425803E-2</v>
      </c>
      <c r="BS225">
        <f t="shared" si="79"/>
        <v>-4.7993958318577258E-2</v>
      </c>
      <c r="BT225">
        <f t="shared" si="80"/>
        <v>-5.4407444032709446E-2</v>
      </c>
      <c r="BU225">
        <f t="shared" si="81"/>
        <v>-6.4515891316118817E-2</v>
      </c>
      <c r="BV225">
        <f t="shared" si="82"/>
        <v>-7.3767099929806401E-2</v>
      </c>
    </row>
    <row r="226" spans="24:74">
      <c r="X226">
        <v>89</v>
      </c>
      <c r="Y226">
        <f t="shared" si="69"/>
        <v>-2.3888927114295581E-2</v>
      </c>
      <c r="Z226">
        <f t="shared" si="83"/>
        <v>-2.5486869478908231E-2</v>
      </c>
      <c r="AA226">
        <f t="shared" si="83"/>
        <v>-2.7222816811877354E-2</v>
      </c>
      <c r="AB226">
        <f t="shared" si="83"/>
        <v>-2.9131583937371634E-2</v>
      </c>
      <c r="AC226">
        <f t="shared" si="83"/>
        <v>-3.1263377781513065E-2</v>
      </c>
      <c r="AD226">
        <f t="shared" si="83"/>
        <v>-3.3694699871480598E-2</v>
      </c>
      <c r="AE226">
        <f t="shared" si="83"/>
        <v>-3.6551190404816337E-2</v>
      </c>
      <c r="AF226">
        <f t="shared" si="83"/>
        <v>-4.0062882399871234E-2</v>
      </c>
      <c r="AG226">
        <f t="shared" si="83"/>
        <v>-4.4731065087046613E-2</v>
      </c>
      <c r="AH226">
        <f t="shared" si="83"/>
        <v>-5.2088698783595955E-2</v>
      </c>
      <c r="AI226">
        <f t="shared" si="83"/>
        <v>-5.8822374324605242E-2</v>
      </c>
      <c r="AK226">
        <v>89</v>
      </c>
      <c r="AL226">
        <f t="shared" si="70"/>
        <v>-1.7943809641578361E-2</v>
      </c>
      <c r="AM226">
        <f t="shared" si="84"/>
        <v>-2.0192910427931074E-2</v>
      </c>
      <c r="AN226">
        <f t="shared" si="84"/>
        <v>-2.2636252940221348E-2</v>
      </c>
      <c r="AO226">
        <f t="shared" si="84"/>
        <v>-2.532283897610382E-2</v>
      </c>
      <c r="AP226">
        <f t="shared" si="84"/>
        <v>-2.8323334686950436E-2</v>
      </c>
      <c r="AQ226">
        <f t="shared" si="84"/>
        <v>-3.1745415824243658E-2</v>
      </c>
      <c r="AR226">
        <f t="shared" si="84"/>
        <v>-3.5765920722924276E-2</v>
      </c>
      <c r="AS226">
        <f t="shared" si="84"/>
        <v>-4.0708620411233132E-2</v>
      </c>
      <c r="AT226">
        <f t="shared" si="84"/>
        <v>-4.7279078511021554E-2</v>
      </c>
      <c r="AU226">
        <f t="shared" si="84"/>
        <v>-5.7634933702717155E-2</v>
      </c>
      <c r="AV226">
        <f t="shared" si="84"/>
        <v>-6.7112568997779329E-2</v>
      </c>
      <c r="AX226">
        <v>89</v>
      </c>
      <c r="AY226">
        <f t="shared" si="71"/>
        <v>-1.5913699621599692E-2</v>
      </c>
      <c r="AZ226">
        <f t="shared" si="85"/>
        <v>-1.7552935974571117E-2</v>
      </c>
      <c r="BA226">
        <f t="shared" si="85"/>
        <v>-1.9333743616989797E-2</v>
      </c>
      <c r="BB226">
        <f t="shared" si="85"/>
        <v>-2.1291837056877688E-2</v>
      </c>
      <c r="BC226">
        <f t="shared" si="85"/>
        <v>-2.3478720666540567E-2</v>
      </c>
      <c r="BD226">
        <f t="shared" si="85"/>
        <v>-2.5972872923792557E-2</v>
      </c>
      <c r="BE226">
        <f t="shared" si="85"/>
        <v>-2.8903180817154983E-2</v>
      </c>
      <c r="BF226">
        <f t="shared" si="85"/>
        <v>-3.2505621872735951E-2</v>
      </c>
      <c r="BG226">
        <f t="shared" si="85"/>
        <v>-3.7294439625236472E-2</v>
      </c>
      <c r="BH226">
        <f t="shared" si="85"/>
        <v>-4.4842209115755496E-2</v>
      </c>
      <c r="BI226">
        <f t="shared" si="85"/>
        <v>-5.1749896139005949E-2</v>
      </c>
      <c r="BK226">
        <v>89</v>
      </c>
      <c r="BL226">
        <f t="shared" si="72"/>
        <v>-2.591903713427425E-2</v>
      </c>
      <c r="BM226">
        <f t="shared" si="73"/>
        <v>-2.8126843932268185E-2</v>
      </c>
      <c r="BN226">
        <f t="shared" si="74"/>
        <v>-3.0525326135108905E-2</v>
      </c>
      <c r="BO226">
        <f t="shared" si="75"/>
        <v>-3.3162585856597759E-2</v>
      </c>
      <c r="BP226">
        <f t="shared" si="76"/>
        <v>-3.6107991801922937E-2</v>
      </c>
      <c r="BQ226">
        <f t="shared" si="77"/>
        <v>-3.9467242771931692E-2</v>
      </c>
      <c r="BR226">
        <f t="shared" si="78"/>
        <v>-4.341393031058563E-2</v>
      </c>
      <c r="BS226">
        <f t="shared" si="79"/>
        <v>-4.8265880938368422E-2</v>
      </c>
      <c r="BT226">
        <f t="shared" si="80"/>
        <v>-5.4715703972831695E-2</v>
      </c>
      <c r="BU226">
        <f t="shared" si="81"/>
        <v>-6.488142337055762E-2</v>
      </c>
      <c r="BV226">
        <f t="shared" si="82"/>
        <v>-7.4185047183378636E-2</v>
      </c>
    </row>
    <row r="227" spans="24:74">
      <c r="X227">
        <v>90</v>
      </c>
      <c r="Y227">
        <f t="shared" si="69"/>
        <v>-2.4022759685907644E-2</v>
      </c>
      <c r="Z227">
        <f t="shared" si="83"/>
        <v>-2.5629654178630563E-2</v>
      </c>
      <c r="AA227">
        <f t="shared" si="83"/>
        <v>-2.7375326782836978E-2</v>
      </c>
      <c r="AB227">
        <f t="shared" si="83"/>
        <v>-2.929478736525342E-2</v>
      </c>
      <c r="AC227">
        <f t="shared" si="83"/>
        <v>-3.1438524125497497E-2</v>
      </c>
      <c r="AD227">
        <f t="shared" si="83"/>
        <v>-3.388346717408576E-2</v>
      </c>
      <c r="AE227">
        <f t="shared" si="83"/>
        <v>-3.6755960580720615E-2</v>
      </c>
      <c r="AF227">
        <f t="shared" si="83"/>
        <v>-4.0287326074219337E-2</v>
      </c>
      <c r="AG227">
        <f t="shared" si="83"/>
        <v>-4.4981661249984539E-2</v>
      </c>
      <c r="AH227">
        <f t="shared" si="83"/>
        <v>-5.2380514505448249E-2</v>
      </c>
      <c r="AI227">
        <f t="shared" si="83"/>
        <v>-5.9151914014124347E-2</v>
      </c>
      <c r="AK227">
        <v>90</v>
      </c>
      <c r="AL227">
        <f t="shared" si="70"/>
        <v>-1.8044335972349106E-2</v>
      </c>
      <c r="AM227">
        <f t="shared" si="84"/>
        <v>-2.0306036861695648E-2</v>
      </c>
      <c r="AN227">
        <f t="shared" si="84"/>
        <v>-2.2763067674435096E-2</v>
      </c>
      <c r="AO227">
        <f t="shared" si="84"/>
        <v>-2.5464704730244876E-2</v>
      </c>
      <c r="AP227">
        <f t="shared" si="84"/>
        <v>-2.8482010072397757E-2</v>
      </c>
      <c r="AQ227">
        <f t="shared" si="84"/>
        <v>-3.1923262682594628E-2</v>
      </c>
      <c r="AR227">
        <f t="shared" si="84"/>
        <v>-3.5966291594479984E-2</v>
      </c>
      <c r="AS227">
        <f t="shared" si="84"/>
        <v>-4.0936681693782506E-2</v>
      </c>
      <c r="AT227">
        <f t="shared" si="84"/>
        <v>-4.7543949370658957E-2</v>
      </c>
      <c r="AU227">
        <f t="shared" si="84"/>
        <v>-5.7957821011771299E-2</v>
      </c>
      <c r="AV227">
        <f t="shared" si="84"/>
        <v>-6.7488552718332859E-2</v>
      </c>
      <c r="AX227">
        <v>90</v>
      </c>
      <c r="AY227">
        <f t="shared" si="71"/>
        <v>-1.6002852698003285E-2</v>
      </c>
      <c r="AZ227">
        <f t="shared" si="85"/>
        <v>-1.7651272519765442E-2</v>
      </c>
      <c r="BA227">
        <f t="shared" si="85"/>
        <v>-1.9442056753648063E-2</v>
      </c>
      <c r="BB227">
        <f t="shared" si="85"/>
        <v>-2.1411119990516085E-2</v>
      </c>
      <c r="BC227">
        <f t="shared" si="85"/>
        <v>-2.3610255144833822E-2</v>
      </c>
      <c r="BD227">
        <f t="shared" si="85"/>
        <v>-2.611838035319337E-2</v>
      </c>
      <c r="BE227">
        <f t="shared" si="85"/>
        <v>-2.9065104665723873E-2</v>
      </c>
      <c r="BF227">
        <f t="shared" si="85"/>
        <v>-3.26877276218248E-2</v>
      </c>
      <c r="BG227">
        <f t="shared" si="85"/>
        <v>-3.750337369489963E-2</v>
      </c>
      <c r="BH227">
        <f t="shared" si="85"/>
        <v>-4.5093427939188399E-2</v>
      </c>
      <c r="BI227">
        <f t="shared" si="85"/>
        <v>-5.2039813791975642E-2</v>
      </c>
      <c r="BK227">
        <v>90</v>
      </c>
      <c r="BL227">
        <f t="shared" si="72"/>
        <v>-2.6064242960253468E-2</v>
      </c>
      <c r="BM227">
        <f t="shared" si="73"/>
        <v>-2.8284418520560774E-2</v>
      </c>
      <c r="BN227">
        <f t="shared" si="74"/>
        <v>-3.0696337703624007E-2</v>
      </c>
      <c r="BO227">
        <f t="shared" si="75"/>
        <v>-3.3348372104982212E-2</v>
      </c>
      <c r="BP227">
        <f t="shared" si="76"/>
        <v>-3.6310279053061431E-2</v>
      </c>
      <c r="BQ227">
        <f t="shared" si="77"/>
        <v>-3.9688349503487014E-2</v>
      </c>
      <c r="BR227">
        <f t="shared" si="78"/>
        <v>-4.3657147509476718E-2</v>
      </c>
      <c r="BS227">
        <f t="shared" si="79"/>
        <v>-4.8536280146177044E-2</v>
      </c>
      <c r="BT227">
        <f t="shared" si="80"/>
        <v>-5.5022236925743859E-2</v>
      </c>
      <c r="BU227">
        <f t="shared" si="81"/>
        <v>-6.5244907578031155E-2</v>
      </c>
      <c r="BV227">
        <f t="shared" si="82"/>
        <v>-7.4600652940481571E-2</v>
      </c>
    </row>
    <row r="228" spans="24:74">
      <c r="X228">
        <v>91</v>
      </c>
      <c r="Y228">
        <f t="shared" si="69"/>
        <v>-2.4155850785712609E-2</v>
      </c>
      <c r="Z228">
        <f t="shared" si="83"/>
        <v>-2.5771647809123228E-2</v>
      </c>
      <c r="AA228">
        <f t="shared" si="83"/>
        <v>-2.7526991803704059E-2</v>
      </c>
      <c r="AB228">
        <f t="shared" si="83"/>
        <v>-2.9457086598146356E-2</v>
      </c>
      <c r="AC228">
        <f t="shared" si="83"/>
        <v>-3.1612700107225444E-2</v>
      </c>
      <c r="AD228">
        <f t="shared" si="83"/>
        <v>-3.4071188650317732E-2</v>
      </c>
      <c r="AE228">
        <f t="shared" si="83"/>
        <v>-3.6959596269627158E-2</v>
      </c>
      <c r="AF228">
        <f t="shared" si="83"/>
        <v>-4.0510526264602317E-2</v>
      </c>
      <c r="AG228">
        <f t="shared" si="83"/>
        <v>-4.5230869036479056E-2</v>
      </c>
      <c r="AH228">
        <f t="shared" si="83"/>
        <v>-5.2670713482378013E-2</v>
      </c>
      <c r="AI228">
        <f t="shared" si="83"/>
        <v>-5.9479627956845374E-2</v>
      </c>
      <c r="AK228">
        <v>91</v>
      </c>
      <c r="AL228">
        <f t="shared" si="70"/>
        <v>-1.8144305357682425E-2</v>
      </c>
      <c r="AM228">
        <f t="shared" si="84"/>
        <v>-2.0418536541746506E-2</v>
      </c>
      <c r="AN228">
        <f t="shared" si="84"/>
        <v>-2.2889179817724887E-2</v>
      </c>
      <c r="AO228">
        <f t="shared" si="84"/>
        <v>-2.5605784506385048E-2</v>
      </c>
      <c r="AP228">
        <f t="shared" si="84"/>
        <v>-2.863980634954302E-2</v>
      </c>
      <c r="AQ228">
        <f t="shared" si="84"/>
        <v>-3.2100124217045299E-2</v>
      </c>
      <c r="AR228">
        <f t="shared" si="84"/>
        <v>-3.6165552352477884E-2</v>
      </c>
      <c r="AS228">
        <f t="shared" si="84"/>
        <v>-4.1163479449753369E-2</v>
      </c>
      <c r="AT228">
        <f t="shared" si="84"/>
        <v>-4.7807352767835036E-2</v>
      </c>
      <c r="AU228">
        <f t="shared" si="84"/>
        <v>-5.8278919430171626E-2</v>
      </c>
      <c r="AV228">
        <f t="shared" si="84"/>
        <v>-6.7862453378497126E-2</v>
      </c>
      <c r="AX228">
        <v>91</v>
      </c>
      <c r="AY228">
        <f t="shared" si="71"/>
        <v>-1.6091511840143541E-2</v>
      </c>
      <c r="AZ228">
        <f t="shared" si="85"/>
        <v>-1.7749064251578454E-2</v>
      </c>
      <c r="BA228">
        <f t="shared" si="85"/>
        <v>-1.9549769803674181E-2</v>
      </c>
      <c r="BB228">
        <f t="shared" si="85"/>
        <v>-2.1529742061620828E-2</v>
      </c>
      <c r="BC228">
        <f t="shared" si="85"/>
        <v>-2.3741060883432839E-2</v>
      </c>
      <c r="BD228">
        <f t="shared" si="85"/>
        <v>-2.6263081628641341E-2</v>
      </c>
      <c r="BE228">
        <f t="shared" si="85"/>
        <v>-2.9226131408549627E-2</v>
      </c>
      <c r="BF228">
        <f t="shared" si="85"/>
        <v>-3.2868824451506108E-2</v>
      </c>
      <c r="BG228">
        <f t="shared" si="85"/>
        <v>-3.7711150208369015E-2</v>
      </c>
      <c r="BH228">
        <f t="shared" si="85"/>
        <v>-4.5343254936455621E-2</v>
      </c>
      <c r="BI228">
        <f t="shared" si="85"/>
        <v>-5.2328125215882634E-2</v>
      </c>
      <c r="BK228">
        <v>91</v>
      </c>
      <c r="BL228">
        <f t="shared" si="72"/>
        <v>-2.6208644303251497E-2</v>
      </c>
      <c r="BM228">
        <f t="shared" si="73"/>
        <v>-2.8441120099291277E-2</v>
      </c>
      <c r="BN228">
        <f t="shared" si="74"/>
        <v>-3.0866401817754765E-2</v>
      </c>
      <c r="BO228">
        <f t="shared" si="75"/>
        <v>-3.3533129042910573E-2</v>
      </c>
      <c r="BP228">
        <f t="shared" si="76"/>
        <v>-3.6511445573335632E-2</v>
      </c>
      <c r="BQ228">
        <f t="shared" si="77"/>
        <v>-3.9908231238721684E-2</v>
      </c>
      <c r="BR228">
        <f t="shared" si="78"/>
        <v>-4.3899017213555408E-2</v>
      </c>
      <c r="BS228">
        <f t="shared" si="79"/>
        <v>-4.8805181262849572E-2</v>
      </c>
      <c r="BT228">
        <f t="shared" si="80"/>
        <v>-5.5327071595945077E-2</v>
      </c>
      <c r="BU228">
        <f t="shared" si="81"/>
        <v>-6.5606377976094019E-2</v>
      </c>
      <c r="BV228">
        <f t="shared" si="82"/>
        <v>-7.5013956119459865E-2</v>
      </c>
    </row>
    <row r="229" spans="24:74">
      <c r="X229">
        <v>92</v>
      </c>
      <c r="Y229">
        <f t="shared" si="69"/>
        <v>-2.4288212602749413E-2</v>
      </c>
      <c r="Z229">
        <f t="shared" si="83"/>
        <v>-2.591286337475612E-2</v>
      </c>
      <c r="AA229">
        <f t="shared" si="83"/>
        <v>-2.7677825764594828E-2</v>
      </c>
      <c r="AB229">
        <f t="shared" si="83"/>
        <v>-2.9618496500092236E-2</v>
      </c>
      <c r="AC229">
        <f t="shared" si="83"/>
        <v>-3.1785921678460963E-2</v>
      </c>
      <c r="AD229">
        <f t="shared" si="83"/>
        <v>-3.4257881492493557E-2</v>
      </c>
      <c r="AE229">
        <f t="shared" si="83"/>
        <v>-3.7162116121343083E-2</v>
      </c>
      <c r="AF229">
        <f t="shared" si="83"/>
        <v>-4.0732503412626068E-2</v>
      </c>
      <c r="AG229">
        <f t="shared" si="83"/>
        <v>-4.5478711270020386E-2</v>
      </c>
      <c r="AH229">
        <f t="shared" si="83"/>
        <v>-5.2959322292019939E-2</v>
      </c>
      <c r="AI229">
        <f t="shared" si="83"/>
        <v>-5.98055461661803E-2</v>
      </c>
      <c r="AK229">
        <v>92</v>
      </c>
      <c r="AL229">
        <f t="shared" si="70"/>
        <v>-1.8243726953192277E-2</v>
      </c>
      <c r="AM229">
        <f t="shared" si="84"/>
        <v>-2.0530419771274337E-2</v>
      </c>
      <c r="AN229">
        <f t="shared" si="84"/>
        <v>-2.3014600919967668E-2</v>
      </c>
      <c r="AO229">
        <f t="shared" si="84"/>
        <v>-2.5746091225199629E-2</v>
      </c>
      <c r="AP229">
        <f t="shared" si="84"/>
        <v>-2.8796737970028515E-2</v>
      </c>
      <c r="AQ229">
        <f t="shared" si="84"/>
        <v>-3.2276016625313868E-2</v>
      </c>
      <c r="AR229">
        <f t="shared" si="84"/>
        <v>-3.6363721246050654E-2</v>
      </c>
      <c r="AS229">
        <f t="shared" si="84"/>
        <v>-4.1389034450231725E-2</v>
      </c>
      <c r="AT229">
        <f t="shared" si="84"/>
        <v>-4.8069312826133324E-2</v>
      </c>
      <c r="AU229">
        <f t="shared" si="84"/>
        <v>-5.8598258365452738E-2</v>
      </c>
      <c r="AV229">
        <f t="shared" si="84"/>
        <v>-6.8234305221656633E-2</v>
      </c>
      <c r="AX229">
        <v>92</v>
      </c>
      <c r="AY229">
        <f t="shared" si="71"/>
        <v>-1.6179685167795093E-2</v>
      </c>
      <c r="AZ229">
        <f t="shared" si="85"/>
        <v>-1.7846320126185505E-2</v>
      </c>
      <c r="BA229">
        <f t="shared" si="85"/>
        <v>-1.9656892631879266E-2</v>
      </c>
      <c r="BB229">
        <f t="shared" si="85"/>
        <v>-2.1647714134096756E-2</v>
      </c>
      <c r="BC229">
        <f t="shared" si="85"/>
        <v>-2.3871149862073622E-2</v>
      </c>
      <c r="BD229">
        <f t="shared" si="85"/>
        <v>-2.6406990002483796E-2</v>
      </c>
      <c r="BE229">
        <f t="shared" si="85"/>
        <v>-2.938627579313409E-2</v>
      </c>
      <c r="BF229">
        <f t="shared" si="85"/>
        <v>-3.3048928947384114E-2</v>
      </c>
      <c r="BG229">
        <f t="shared" si="85"/>
        <v>-3.7917788194685768E-2</v>
      </c>
      <c r="BH229">
        <f t="shared" si="85"/>
        <v>-4.5591712987757306E-2</v>
      </c>
      <c r="BI229">
        <f t="shared" si="85"/>
        <v>-5.2614856815491634E-2</v>
      </c>
      <c r="BK229">
        <v>92</v>
      </c>
      <c r="BL229">
        <f t="shared" si="72"/>
        <v>-2.6352254388146593E-2</v>
      </c>
      <c r="BM229">
        <f t="shared" si="73"/>
        <v>-2.8596963019844948E-2</v>
      </c>
      <c r="BN229">
        <f t="shared" si="74"/>
        <v>-3.1035534052683229E-2</v>
      </c>
      <c r="BO229">
        <f t="shared" si="75"/>
        <v>-3.3716873591195101E-2</v>
      </c>
      <c r="BP229">
        <f t="shared" si="76"/>
        <v>-3.6711509786415859E-2</v>
      </c>
      <c r="BQ229">
        <f t="shared" si="77"/>
        <v>-4.0126908115323628E-2</v>
      </c>
      <c r="BR229">
        <f t="shared" si="78"/>
        <v>-4.4139561574259648E-2</v>
      </c>
      <c r="BS229">
        <f t="shared" si="79"/>
        <v>-4.907260891547368E-2</v>
      </c>
      <c r="BT229">
        <f t="shared" si="80"/>
        <v>-5.5630235901467935E-2</v>
      </c>
      <c r="BU229">
        <f t="shared" si="81"/>
        <v>-6.5965867669715378E-2</v>
      </c>
      <c r="BV229">
        <f t="shared" si="82"/>
        <v>-7.5424994572345305E-2</v>
      </c>
    </row>
    <row r="230" spans="24:74">
      <c r="X230">
        <v>93</v>
      </c>
      <c r="Y230">
        <f t="shared" si="69"/>
        <v>-2.4419856995713522E-2</v>
      </c>
      <c r="Z230">
        <f t="shared" si="83"/>
        <v>-2.6053313527458811E-2</v>
      </c>
      <c r="AA230">
        <f t="shared" si="83"/>
        <v>-2.7827842179179982E-2</v>
      </c>
      <c r="AB230">
        <f t="shared" si="83"/>
        <v>-2.9779031532292288E-2</v>
      </c>
      <c r="AC230">
        <f t="shared" si="83"/>
        <v>-3.1958204358648469E-2</v>
      </c>
      <c r="AD230">
        <f t="shared" si="83"/>
        <v>-3.4443562426989538E-2</v>
      </c>
      <c r="AE230">
        <f t="shared" si="83"/>
        <v>-3.7363538280234344E-2</v>
      </c>
      <c r="AF230">
        <f t="shared" si="83"/>
        <v>-4.0953277405894585E-2</v>
      </c>
      <c r="AG230">
        <f t="shared" si="83"/>
        <v>-4.5725210155543726E-2</v>
      </c>
      <c r="AH230">
        <f t="shared" si="83"/>
        <v>-5.3246366791710055E-2</v>
      </c>
      <c r="AI230">
        <f t="shared" si="83"/>
        <v>-6.0129697842127114E-2</v>
      </c>
      <c r="AK230">
        <v>93</v>
      </c>
      <c r="AL230">
        <f t="shared" si="70"/>
        <v>-1.8342609666360064E-2</v>
      </c>
      <c r="AM230">
        <f t="shared" si="84"/>
        <v>-2.0641696574236024E-2</v>
      </c>
      <c r="AN230">
        <f t="shared" si="84"/>
        <v>-2.3139342218019273E-2</v>
      </c>
      <c r="AO230">
        <f t="shared" si="84"/>
        <v>-2.588563745719186E-2</v>
      </c>
      <c r="AP230">
        <f t="shared" si="84"/>
        <v>-2.8952818993832698E-2</v>
      </c>
      <c r="AQ230">
        <f t="shared" si="84"/>
        <v>-3.2450955666133117E-2</v>
      </c>
      <c r="AR230">
        <f t="shared" si="84"/>
        <v>-3.6560816029748755E-2</v>
      </c>
      <c r="AS230">
        <f t="shared" si="84"/>
        <v>-4.1613366903372161E-2</v>
      </c>
      <c r="AT230">
        <f t="shared" si="84"/>
        <v>-4.8329853015347646E-2</v>
      </c>
      <c r="AU230">
        <f t="shared" si="84"/>
        <v>-5.8915866428155578E-2</v>
      </c>
      <c r="AV230">
        <f t="shared" si="84"/>
        <v>-6.8604141563142526E-2</v>
      </c>
      <c r="AX230">
        <v>93</v>
      </c>
      <c r="AY230">
        <f t="shared" si="71"/>
        <v>-1.6267380580673011E-2</v>
      </c>
      <c r="AZ230">
        <f t="shared" si="85"/>
        <v>-1.7943048857034512E-2</v>
      </c>
      <c r="BA230">
        <f t="shared" si="85"/>
        <v>-1.9763434835721447E-2</v>
      </c>
      <c r="BB230">
        <f t="shared" si="85"/>
        <v>-2.1765046777418605E-2</v>
      </c>
      <c r="BC230">
        <f t="shared" si="85"/>
        <v>-2.4000533735821176E-2</v>
      </c>
      <c r="BD230">
        <f t="shared" si="85"/>
        <v>-2.655011836790714E-2</v>
      </c>
      <c r="BE230">
        <f t="shared" si="85"/>
        <v>-2.9545552167296964E-2</v>
      </c>
      <c r="BF230">
        <f t="shared" si="85"/>
        <v>-3.3228057245565254E-2</v>
      </c>
      <c r="BG230">
        <f t="shared" si="85"/>
        <v>-3.8123306167171973E-2</v>
      </c>
      <c r="BH230">
        <f t="shared" si="85"/>
        <v>-4.5838824353201614E-2</v>
      </c>
      <c r="BI230">
        <f t="shared" si="85"/>
        <v>-5.2900034279953739E-2</v>
      </c>
      <c r="BK230">
        <v>93</v>
      </c>
      <c r="BL230">
        <f t="shared" si="72"/>
        <v>-2.6495086081400578E-2</v>
      </c>
      <c r="BM230">
        <f t="shared" si="73"/>
        <v>-2.8751961244660323E-2</v>
      </c>
      <c r="BN230">
        <f t="shared" si="74"/>
        <v>-3.1203749561477812E-2</v>
      </c>
      <c r="BO230">
        <f t="shared" si="75"/>
        <v>-3.3899622212065543E-2</v>
      </c>
      <c r="BP230">
        <f t="shared" si="76"/>
        <v>-3.6910489616659992E-2</v>
      </c>
      <c r="BQ230">
        <f t="shared" si="77"/>
        <v>-4.0344399725215523E-2</v>
      </c>
      <c r="BR230">
        <f t="shared" si="78"/>
        <v>-4.4378802142686129E-2</v>
      </c>
      <c r="BS230">
        <f t="shared" si="79"/>
        <v>-4.9338587063701492E-2</v>
      </c>
      <c r="BT230">
        <f t="shared" si="80"/>
        <v>-5.5931757003719405E-2</v>
      </c>
      <c r="BU230">
        <f t="shared" si="81"/>
        <v>-6.6323408866664019E-2</v>
      </c>
      <c r="BV230">
        <f t="shared" si="82"/>
        <v>-7.5833805125315901E-2</v>
      </c>
    </row>
    <row r="231" spans="24:74">
      <c r="X231">
        <v>94</v>
      </c>
      <c r="Y231">
        <f t="shared" si="69"/>
        <v>-2.4550795505356677E-2</v>
      </c>
      <c r="Z231">
        <f t="shared" si="83"/>
        <v>-2.6193010579949747E-2</v>
      </c>
      <c r="AA231">
        <f t="shared" si="83"/>
        <v>-2.7977054198814921E-2</v>
      </c>
      <c r="AB231">
        <f t="shared" si="83"/>
        <v>-2.9938705768228206E-2</v>
      </c>
      <c r="AC231">
        <f t="shared" si="83"/>
        <v>-3.212956325114024E-2</v>
      </c>
      <c r="AD231">
        <f t="shared" si="83"/>
        <v>-3.4628247731730788E-2</v>
      </c>
      <c r="AE231">
        <f t="shared" si="83"/>
        <v>-3.7563880404197961E-2</v>
      </c>
      <c r="AF231">
        <f t="shared" si="83"/>
        <v>-4.1172867598804883E-2</v>
      </c>
      <c r="AG231">
        <f t="shared" si="83"/>
        <v>-4.5970387302647332E-2</v>
      </c>
      <c r="AH231">
        <f t="shared" si="83"/>
        <v>-5.3531872145522866E-2</v>
      </c>
      <c r="AI231">
        <f t="shared" si="83"/>
        <v>-6.0452111401802074E-2</v>
      </c>
      <c r="AK231">
        <v>94</v>
      </c>
      <c r="AL231">
        <f t="shared" si="70"/>
        <v>-1.8440962165848531E-2</v>
      </c>
      <c r="AM231">
        <f t="shared" si="84"/>
        <v>-2.0752376705835941E-2</v>
      </c>
      <c r="AN231">
        <f t="shared" si="84"/>
        <v>-2.3263414647463978E-2</v>
      </c>
      <c r="AO231">
        <f t="shared" si="84"/>
        <v>-2.6024435435836973E-2</v>
      </c>
      <c r="AP231">
        <f t="shared" si="84"/>
        <v>-2.9108063103971675E-2</v>
      </c>
      <c r="AQ231">
        <f t="shared" si="84"/>
        <v>-3.2624956675728116E-2</v>
      </c>
      <c r="AR231">
        <f t="shared" si="84"/>
        <v>-3.6756853982105042E-2</v>
      </c>
      <c r="AS231">
        <f t="shared" si="84"/>
        <v>-4.1836496475528048E-2</v>
      </c>
      <c r="AT231">
        <f t="shared" si="84"/>
        <v>-4.858899617602272E-2</v>
      </c>
      <c r="AU231">
        <f t="shared" si="84"/>
        <v>-5.9231771461743292E-2</v>
      </c>
      <c r="AV231">
        <f t="shared" si="84"/>
        <v>-6.8971994825067967E-2</v>
      </c>
      <c r="AX231">
        <v>94</v>
      </c>
      <c r="AY231">
        <f t="shared" si="71"/>
        <v>-1.6354605766692946E-2</v>
      </c>
      <c r="AZ231">
        <f t="shared" si="85"/>
        <v>-1.8039258923956969E-2</v>
      </c>
      <c r="BA231">
        <f t="shared" si="85"/>
        <v>-1.9869405755341216E-2</v>
      </c>
      <c r="BB231">
        <f t="shared" si="85"/>
        <v>-2.1881750277682716E-2</v>
      </c>
      <c r="BC231">
        <f t="shared" si="85"/>
        <v>-2.4129223847256322E-2</v>
      </c>
      <c r="BD231">
        <f t="shared" si="85"/>
        <v>-2.6692479272418308E-2</v>
      </c>
      <c r="BE231">
        <f t="shared" si="85"/>
        <v>-2.9703974494178283E-2</v>
      </c>
      <c r="BF231">
        <f t="shared" si="85"/>
        <v>-3.3406225049530509E-2</v>
      </c>
      <c r="BG231">
        <f t="shared" si="85"/>
        <v>-3.8327722142788678E-2</v>
      </c>
      <c r="BH231">
        <f t="shared" si="85"/>
        <v>-4.6084610696080532E-2</v>
      </c>
      <c r="BI231">
        <f t="shared" si="85"/>
        <v>-5.318368260966775E-2</v>
      </c>
      <c r="BK231">
        <v>94</v>
      </c>
      <c r="BL231">
        <f t="shared" si="72"/>
        <v>-2.6637151904512262E-2</v>
      </c>
      <c r="BM231">
        <f t="shared" si="73"/>
        <v>-2.8906128361828723E-2</v>
      </c>
      <c r="BN231">
        <f t="shared" si="74"/>
        <v>-3.1371063090937679E-2</v>
      </c>
      <c r="BO231">
        <f t="shared" si="75"/>
        <v>-3.408139092638246E-2</v>
      </c>
      <c r="BP231">
        <f t="shared" si="76"/>
        <v>-3.710840250785559E-2</v>
      </c>
      <c r="BQ231">
        <f t="shared" si="77"/>
        <v>-4.0560725135040603E-2</v>
      </c>
      <c r="BR231">
        <f t="shared" si="78"/>
        <v>-4.461675989212472E-2</v>
      </c>
      <c r="BS231">
        <f t="shared" si="79"/>
        <v>-4.9603139024802421E-2</v>
      </c>
      <c r="BT231">
        <f t="shared" si="80"/>
        <v>-5.6231661335881367E-2</v>
      </c>
      <c r="BU231">
        <f t="shared" si="81"/>
        <v>-6.6679032911185626E-2</v>
      </c>
      <c r="BV231">
        <f t="shared" si="82"/>
        <v>-7.6240423617202291E-2</v>
      </c>
    </row>
    <row r="232" spans="24:74">
      <c r="X232">
        <v>95</v>
      </c>
      <c r="Y232">
        <f t="shared" si="69"/>
        <v>-2.4681039366294615E-2</v>
      </c>
      <c r="Z232">
        <f t="shared" si="83"/>
        <v>-2.6331966518333763E-2</v>
      </c>
      <c r="AA232">
        <f t="shared" si="83"/>
        <v>-2.8125474625995316E-2</v>
      </c>
      <c r="AB232">
        <f t="shared" si="83"/>
        <v>-3.0097532908061136E-2</v>
      </c>
      <c r="AC232">
        <f t="shared" si="83"/>
        <v>-3.230001305864913E-2</v>
      </c>
      <c r="AD232">
        <f t="shared" si="83"/>
        <v>-3.4811953252845654E-2</v>
      </c>
      <c r="AE232">
        <f t="shared" si="83"/>
        <v>-3.7763159682728309E-2</v>
      </c>
      <c r="AF232">
        <f t="shared" si="83"/>
        <v>-4.1391292832349137E-2</v>
      </c>
      <c r="AG232">
        <f t="shared" si="83"/>
        <v>-4.6214263747701941E-2</v>
      </c>
      <c r="AH232">
        <f t="shared" si="83"/>
        <v>-5.3815862850017458E-2</v>
      </c>
      <c r="AI232">
        <f t="shared" si="83"/>
        <v>-6.0772814508514156E-2</v>
      </c>
      <c r="AK232">
        <v>95</v>
      </c>
      <c r="AL232">
        <f t="shared" si="70"/>
        <v>-1.8538792890370939E-2</v>
      </c>
      <c r="AM232">
        <f t="shared" si="84"/>
        <v>-2.0862469662506811E-2</v>
      </c>
      <c r="AN232">
        <f t="shared" si="84"/>
        <v>-2.3386828853803027E-2</v>
      </c>
      <c r="AO232">
        <f t="shared" si="84"/>
        <v>-2.6162497070098639E-2</v>
      </c>
      <c r="AP232">
        <f t="shared" si="84"/>
        <v>-2.9262483620498693E-2</v>
      </c>
      <c r="AQ232">
        <f t="shared" si="84"/>
        <v>-3.2798034583507218E-2</v>
      </c>
      <c r="AR232">
        <f t="shared" si="84"/>
        <v>-3.6951851923312962E-2</v>
      </c>
      <c r="AS232">
        <f t="shared" si="84"/>
        <v>-4.2058442311372769E-2</v>
      </c>
      <c r="AT232">
        <f t="shared" si="84"/>
        <v>-4.8846764542823017E-2</v>
      </c>
      <c r="AU232">
        <f t="shared" si="84"/>
        <v>-5.9546000571088761E-2</v>
      </c>
      <c r="AV232">
        <f t="shared" si="84"/>
        <v>-6.9337896569500165E-2</v>
      </c>
      <c r="AX232">
        <v>95</v>
      </c>
      <c r="AY232">
        <f t="shared" si="71"/>
        <v>-1.6441368209836882E-2</v>
      </c>
      <c r="AZ232">
        <f t="shared" si="85"/>
        <v>-1.8134958581843927E-2</v>
      </c>
      <c r="BA232">
        <f t="shared" si="85"/>
        <v>-1.9974814483117612E-2</v>
      </c>
      <c r="BB232">
        <f t="shared" si="85"/>
        <v>-2.1997834648131053E-2</v>
      </c>
      <c r="BC232">
        <f t="shared" si="85"/>
        <v>-2.4257231238080653E-2</v>
      </c>
      <c r="BD232">
        <f t="shared" si="85"/>
        <v>-2.6834084930682501E-2</v>
      </c>
      <c r="BE232">
        <f t="shared" si="85"/>
        <v>-2.9861556366524523E-2</v>
      </c>
      <c r="BF232">
        <f t="shared" si="85"/>
        <v>-3.3583447646202094E-2</v>
      </c>
      <c r="BG232">
        <f t="shared" si="85"/>
        <v>-3.8531053660569602E-2</v>
      </c>
      <c r="BH232">
        <f t="shared" si="85"/>
        <v>-4.6329093105034233E-2</v>
      </c>
      <c r="BI232">
        <f t="shared" si="85"/>
        <v>-5.3465826141858776E-2</v>
      </c>
      <c r="BK232">
        <v>95</v>
      </c>
      <c r="BL232">
        <f t="shared" si="72"/>
        <v>-2.6778464046828668E-2</v>
      </c>
      <c r="BM232">
        <f t="shared" si="73"/>
        <v>-2.9059477598996644E-2</v>
      </c>
      <c r="BN232">
        <f t="shared" si="74"/>
        <v>-3.1537488996680726E-2</v>
      </c>
      <c r="BO232">
        <f t="shared" si="75"/>
        <v>-3.4262195330028722E-2</v>
      </c>
      <c r="BP232">
        <f t="shared" si="76"/>
        <v>-3.7305265441067173E-2</v>
      </c>
      <c r="BQ232">
        <f t="shared" si="77"/>
        <v>-4.0775902905670375E-2</v>
      </c>
      <c r="BR232">
        <f t="shared" si="78"/>
        <v>-4.4853455239516747E-2</v>
      </c>
      <c r="BS232">
        <f t="shared" si="79"/>
        <v>-4.9866287497519812E-2</v>
      </c>
      <c r="BT232">
        <f t="shared" si="80"/>
        <v>-5.6529974629955355E-2</v>
      </c>
      <c r="BU232">
        <f t="shared" si="81"/>
        <v>-6.703277031607198E-2</v>
      </c>
      <c r="BV232">
        <f t="shared" si="82"/>
        <v>-7.6644884936155538E-2</v>
      </c>
    </row>
    <row r="233" spans="24:74">
      <c r="X233">
        <v>96</v>
      </c>
      <c r="Y233">
        <f t="shared" si="69"/>
        <v>-2.481059951825686E-2</v>
      </c>
      <c r="Z233">
        <f t="shared" si="83"/>
        <v>-2.6470193014104401E-2</v>
      </c>
      <c r="AA233">
        <f t="shared" si="83"/>
        <v>-2.8273115927176923E-2</v>
      </c>
      <c r="AB233">
        <f t="shared" si="83"/>
        <v>-3.0255526292350385E-2</v>
      </c>
      <c r="AC233">
        <f t="shared" si="83"/>
        <v>-3.246956809797117E-2</v>
      </c>
      <c r="AD233">
        <f t="shared" si="83"/>
        <v>-3.4994694420533289E-2</v>
      </c>
      <c r="AE233">
        <f t="shared" si="83"/>
        <v>-3.796139285412993E-2</v>
      </c>
      <c r="AF233">
        <f t="shared" si="83"/>
        <v>-4.160857145298115E-2</v>
      </c>
      <c r="AG233">
        <f t="shared" si="83"/>
        <v>-4.6456859974915624E-2</v>
      </c>
      <c r="AH233">
        <f t="shared" si="83"/>
        <v>-5.409836275876722E-2</v>
      </c>
      <c r="AI233">
        <f t="shared" si="83"/>
        <v>-6.1091834099465787E-2</v>
      </c>
      <c r="AK233">
        <v>96</v>
      </c>
      <c r="AL233">
        <f t="shared" si="70"/>
        <v>-1.8636110057141199E-2</v>
      </c>
      <c r="AM233">
        <f t="shared" si="84"/>
        <v>-2.0971984691418977E-2</v>
      </c>
      <c r="AN233">
        <f t="shared" si="84"/>
        <v>-2.3509595203114537E-2</v>
      </c>
      <c r="AO233">
        <f t="shared" si="84"/>
        <v>-2.6299833956354032E-2</v>
      </c>
      <c r="AP233">
        <f t="shared" si="84"/>
        <v>-2.941609351384224E-2</v>
      </c>
      <c r="AQ233">
        <f t="shared" si="84"/>
        <v>-3.2970203927011651E-2</v>
      </c>
      <c r="AR233">
        <f t="shared" si="84"/>
        <v>-3.7145826232069537E-2</v>
      </c>
      <c r="AS233">
        <f t="shared" si="84"/>
        <v>-4.227922305307031E-2</v>
      </c>
      <c r="AT233">
        <f t="shared" si="84"/>
        <v>-4.9103179766797525E-2</v>
      </c>
      <c r="AU233">
        <f t="shared" si="84"/>
        <v>-5.985858014961614E-2</v>
      </c>
      <c r="AV233">
        <f t="shared" si="84"/>
        <v>-6.9701877530065182E-2</v>
      </c>
      <c r="AX233">
        <v>96</v>
      </c>
      <c r="AY233">
        <f t="shared" si="71"/>
        <v>-1.6527675197647237E-2</v>
      </c>
      <c r="AZ233">
        <f t="shared" si="85"/>
        <v>-1.8230155868912044E-2</v>
      </c>
      <c r="BA233">
        <f t="shared" si="85"/>
        <v>-2.00796698727729E-2</v>
      </c>
      <c r="BB233">
        <f t="shared" si="85"/>
        <v>-2.2113309639178E-2</v>
      </c>
      <c r="BC233">
        <f t="shared" si="85"/>
        <v>-2.4384566660173166E-2</v>
      </c>
      <c r="BD233">
        <f t="shared" si="85"/>
        <v>-2.6974947236754376E-2</v>
      </c>
      <c r="BE233">
        <f t="shared" si="85"/>
        <v>-3.0018311020299743E-2</v>
      </c>
      <c r="BF233">
        <f t="shared" si="85"/>
        <v>-3.3759739921251093E-2</v>
      </c>
      <c r="BG233">
        <f t="shared" si="85"/>
        <v>-3.8733317799183889E-2</v>
      </c>
      <c r="BH233">
        <f t="shared" si="85"/>
        <v>-4.6572292115168237E-2</v>
      </c>
      <c r="BI233">
        <f t="shared" si="85"/>
        <v>-5.3746488574948445E-2</v>
      </c>
      <c r="BK233">
        <v>96</v>
      </c>
      <c r="BL233">
        <f t="shared" si="72"/>
        <v>-2.6919034377750825E-2</v>
      </c>
      <c r="BM233">
        <f t="shared" si="73"/>
        <v>-2.9212021836611334E-2</v>
      </c>
      <c r="BN233">
        <f t="shared" si="74"/>
        <v>-3.1703041257518563E-2</v>
      </c>
      <c r="BO233">
        <f t="shared" si="75"/>
        <v>-3.4442050609526417E-2</v>
      </c>
      <c r="BP233">
        <f t="shared" si="76"/>
        <v>-3.7501094951640251E-2</v>
      </c>
      <c r="BQ233">
        <f t="shared" si="77"/>
        <v>-4.0989951110790554E-2</v>
      </c>
      <c r="BR233">
        <f t="shared" si="78"/>
        <v>-4.5088908065899727E-2</v>
      </c>
      <c r="BS233">
        <f t="shared" si="79"/>
        <v>-5.0128054584800373E-2</v>
      </c>
      <c r="BT233">
        <f t="shared" si="80"/>
        <v>-5.682672194252926E-2</v>
      </c>
      <c r="BU233">
        <f t="shared" si="81"/>
        <v>-6.7384650793215123E-2</v>
      </c>
      <c r="BV233">
        <f t="shared" si="82"/>
        <v>-7.7047223054582517E-2</v>
      </c>
    </row>
    <row r="234" spans="24:74">
      <c r="X234">
        <v>97</v>
      </c>
      <c r="Y234">
        <f t="shared" si="69"/>
        <v>-2.4939486616810509E-2</v>
      </c>
      <c r="Z234">
        <f t="shared" si="83"/>
        <v>-2.6607701435585007E-2</v>
      </c>
      <c r="AA234">
        <f t="shared" si="83"/>
        <v>-2.8419990244995943E-2</v>
      </c>
      <c r="AB234">
        <f t="shared" si="83"/>
        <v>-3.0412698915130629E-2</v>
      </c>
      <c r="AC234">
        <f t="shared" si="83"/>
        <v>-3.2638242314019766E-2</v>
      </c>
      <c r="AD234">
        <f t="shared" si="83"/>
        <v>-3.5176486264189268E-2</v>
      </c>
      <c r="AE234">
        <f t="shared" si="83"/>
        <v>-3.8158596221925363E-2</v>
      </c>
      <c r="AF234">
        <f t="shared" si="83"/>
        <v>-4.1824721330600619E-2</v>
      </c>
      <c r="AG234">
        <f t="shared" si="83"/>
        <v>-4.6698195936413618E-2</v>
      </c>
      <c r="AH234">
        <f t="shared" si="83"/>
        <v>-5.4379395105742537E-2</v>
      </c>
      <c r="AI234">
        <f t="shared" si="83"/>
        <v>-6.1409196412158272E-2</v>
      </c>
      <c r="AK234">
        <v>97</v>
      </c>
      <c r="AL234">
        <f t="shared" si="70"/>
        <v>-1.8732921669928869E-2</v>
      </c>
      <c r="AM234">
        <f t="shared" si="84"/>
        <v>-2.1080930799545042E-2</v>
      </c>
      <c r="AN234">
        <f t="shared" si="84"/>
        <v>-2.3631723792214957E-2</v>
      </c>
      <c r="AO234">
        <f t="shared" si="84"/>
        <v>-2.6436457389761314E-2</v>
      </c>
      <c r="AP234">
        <f t="shared" si="84"/>
        <v>-2.9568905417520431E-2</v>
      </c>
      <c r="AQ234">
        <f t="shared" si="84"/>
        <v>-3.3141478866166099E-2</v>
      </c>
      <c r="AR234">
        <f t="shared" si="84"/>
        <v>-3.7338792861630686E-2</v>
      </c>
      <c r="AS234">
        <f t="shared" si="84"/>
        <v>-4.2498856858549414E-2</v>
      </c>
      <c r="AT234">
        <f t="shared" si="84"/>
        <v>-4.9358262936603392E-2</v>
      </c>
      <c r="AU234">
        <f t="shared" si="84"/>
        <v>-6.016953590517328E-2</v>
      </c>
      <c r="AV234">
        <f t="shared" si="84"/>
        <v>-7.0063967642074815E-2</v>
      </c>
      <c r="AX234">
        <v>97</v>
      </c>
      <c r="AY234">
        <f t="shared" si="71"/>
        <v>-1.6613533828370546E-2</v>
      </c>
      <c r="AZ234">
        <f t="shared" si="85"/>
        <v>-1.8324858614583141E-2</v>
      </c>
      <c r="BA234">
        <f t="shared" si="85"/>
        <v>-2.0183980548051525E-2</v>
      </c>
      <c r="BB234">
        <f t="shared" si="85"/>
        <v>-2.222818474796829E-2</v>
      </c>
      <c r="BC234">
        <f t="shared" si="85"/>
        <v>-2.4511240586129898E-2</v>
      </c>
      <c r="BD234">
        <f t="shared" si="85"/>
        <v>-2.7115077775737309E-2</v>
      </c>
      <c r="BE234">
        <f t="shared" si="85"/>
        <v>-3.0174251347660254E-2</v>
      </c>
      <c r="BF234">
        <f t="shared" si="85"/>
        <v>-3.3935116373689254E-2</v>
      </c>
      <c r="BG234">
        <f t="shared" si="85"/>
        <v>-3.8934531193677631E-2</v>
      </c>
      <c r="BH234">
        <f t="shared" si="85"/>
        <v>-4.6814227728183153E-2</v>
      </c>
      <c r="BI234">
        <f t="shared" si="85"/>
        <v>-5.4025692991785473E-2</v>
      </c>
      <c r="BK234">
        <v>97</v>
      </c>
      <c r="BL234">
        <f t="shared" si="72"/>
        <v>-2.7058874458368833E-2</v>
      </c>
      <c r="BM234">
        <f t="shared" si="73"/>
        <v>-2.9363773620546908E-2</v>
      </c>
      <c r="BN234">
        <f t="shared" si="74"/>
        <v>-3.1867733489159375E-2</v>
      </c>
      <c r="BO234">
        <f t="shared" si="75"/>
        <v>-3.4620971556923653E-2</v>
      </c>
      <c r="BP234">
        <f t="shared" si="76"/>
        <v>-3.7695907145410296E-2</v>
      </c>
      <c r="BQ234">
        <f t="shared" si="77"/>
        <v>-4.1202887354618065E-2</v>
      </c>
      <c r="BR234">
        <f t="shared" si="78"/>
        <v>-4.5323137735895795E-2</v>
      </c>
      <c r="BS234">
        <f t="shared" si="79"/>
        <v>-5.0388461815460785E-2</v>
      </c>
      <c r="BT234">
        <f t="shared" si="80"/>
        <v>-5.7121927679339372E-2</v>
      </c>
      <c r="BU234">
        <f t="shared" si="81"/>
        <v>-6.7734703282732664E-2</v>
      </c>
      <c r="BV234">
        <f t="shared" si="82"/>
        <v>-7.744747106244762E-2</v>
      </c>
    </row>
    <row r="235" spans="24:74">
      <c r="X235">
        <v>98</v>
      </c>
      <c r="Y235">
        <f t="shared" si="69"/>
        <v>-2.5067711043587796E-2</v>
      </c>
      <c r="Z235">
        <f t="shared" si="83"/>
        <v>-2.6744502858840422E-2</v>
      </c>
      <c r="AA235">
        <f t="shared" si="83"/>
        <v>-2.8566109409923914E-2</v>
      </c>
      <c r="AB235">
        <f t="shared" si="83"/>
        <v>-3.0569063436384016E-2</v>
      </c>
      <c r="AC235">
        <f t="shared" si="83"/>
        <v>-3.2806049293210453E-2</v>
      </c>
      <c r="AD235">
        <f t="shared" si="83"/>
        <v>-3.5357343426831285E-2</v>
      </c>
      <c r="AE235">
        <f t="shared" si="83"/>
        <v>-3.8354785670503842E-2</v>
      </c>
      <c r="AF235">
        <f t="shared" si="83"/>
        <v>-4.2039759875705282E-2</v>
      </c>
      <c r="AG235">
        <f t="shared" si="83"/>
        <v>-4.6938291071389006E-2</v>
      </c>
      <c r="AH235">
        <f t="shared" si="83"/>
        <v>-5.4658982527611498E-2</v>
      </c>
      <c r="AI235">
        <f t="shared" si="83"/>
        <v>-6.1724927009575437E-2</v>
      </c>
      <c r="AK235">
        <v>98</v>
      </c>
      <c r="AL235">
        <f t="shared" si="70"/>
        <v>-1.8829235526741435E-2</v>
      </c>
      <c r="AM235">
        <f t="shared" si="84"/>
        <v>-2.1189316762305052E-2</v>
      </c>
      <c r="AN235">
        <f t="shared" si="84"/>
        <v>-2.3753224458350299E-2</v>
      </c>
      <c r="AO235">
        <f t="shared" si="84"/>
        <v>-2.6572378375101059E-2</v>
      </c>
      <c r="AP235">
        <f t="shared" si="84"/>
        <v>-2.9720931640267043E-2</v>
      </c>
      <c r="AQ235">
        <f t="shared" si="84"/>
        <v>-3.3311873196869811E-2</v>
      </c>
      <c r="AR235">
        <f t="shared" si="84"/>
        <v>-3.7530767355123722E-2</v>
      </c>
      <c r="AS235">
        <f t="shared" si="84"/>
        <v>-4.2717361418932155E-2</v>
      </c>
      <c r="AT235">
        <f t="shared" si="84"/>
        <v>-4.9612034598747495E-2</v>
      </c>
      <c r="AU235">
        <f t="shared" si="84"/>
        <v>-6.0478892884706925E-2</v>
      </c>
      <c r="AV235">
        <f t="shared" si="84"/>
        <v>-7.0424196071259562E-2</v>
      </c>
      <c r="AX235">
        <v>98</v>
      </c>
      <c r="AY235">
        <f t="shared" si="71"/>
        <v>-1.6698951017770587E-2</v>
      </c>
      <c r="AZ235">
        <f t="shared" si="85"/>
        <v>-1.8419074446999112E-2</v>
      </c>
      <c r="BA235">
        <f t="shared" si="85"/>
        <v>-2.0287754910997446E-2</v>
      </c>
      <c r="BB235">
        <f t="shared" si="85"/>
        <v>-2.2342469227492688E-2</v>
      </c>
      <c r="BC235">
        <f t="shared" si="85"/>
        <v>-2.4637263219315867E-2</v>
      </c>
      <c r="BD235">
        <f t="shared" si="85"/>
        <v>-2.7254487834903161E-2</v>
      </c>
      <c r="BE235">
        <f t="shared" si="85"/>
        <v>-3.0329389909328944E-2</v>
      </c>
      <c r="BF235">
        <f t="shared" si="85"/>
        <v>-3.4109591129785635E-2</v>
      </c>
      <c r="BG235">
        <f t="shared" si="85"/>
        <v>-3.9134710051440751E-2</v>
      </c>
      <c r="BH235">
        <f t="shared" si="85"/>
        <v>-4.7054919431572972E-2</v>
      </c>
      <c r="BI235">
        <f t="shared" si="85"/>
        <v>-5.4303461881801358E-2</v>
      </c>
      <c r="BK235">
        <v>98</v>
      </c>
      <c r="BL235">
        <f t="shared" si="72"/>
        <v>-2.7197995552558647E-2</v>
      </c>
      <c r="BM235">
        <f t="shared" si="73"/>
        <v>-2.9514745174146359E-2</v>
      </c>
      <c r="BN235">
        <f t="shared" si="74"/>
        <v>-3.2031578957276763E-2</v>
      </c>
      <c r="BO235">
        <f t="shared" si="75"/>
        <v>-3.4798972583992387E-2</v>
      </c>
      <c r="BP235">
        <f t="shared" si="76"/>
        <v>-3.7889717714161636E-2</v>
      </c>
      <c r="BQ235">
        <f t="shared" si="77"/>
        <v>-4.1414728788797935E-2</v>
      </c>
      <c r="BR235">
        <f t="shared" si="78"/>
        <v>-4.555616311629862E-2</v>
      </c>
      <c r="BS235">
        <f t="shared" si="79"/>
        <v>-5.0647530164851809E-2</v>
      </c>
      <c r="BT235">
        <f t="shared" si="80"/>
        <v>-5.7415615618695744E-2</v>
      </c>
      <c r="BU235">
        <f t="shared" si="81"/>
        <v>-6.8082955980745458E-2</v>
      </c>
      <c r="BV235">
        <f t="shared" si="82"/>
        <v>-7.7845661199033633E-2</v>
      </c>
    </row>
    <row r="236" spans="24:74">
      <c r="X236">
        <v>99</v>
      </c>
      <c r="Y236">
        <f t="shared" si="69"/>
        <v>-2.5195282916045149E-2</v>
      </c>
      <c r="Z236">
        <f t="shared" si="83"/>
        <v>-2.6880608078088834E-2</v>
      </c>
      <c r="AA236">
        <f t="shared" si="83"/>
        <v>-2.8711484951388748E-2</v>
      </c>
      <c r="AB236">
        <f t="shared" si="83"/>
        <v>-3.0724632193940948E-2</v>
      </c>
      <c r="AC236">
        <f t="shared" si="83"/>
        <v>-3.2973002276232552E-2</v>
      </c>
      <c r="AD236">
        <f t="shared" si="83"/>
        <v>-3.5537280178864025E-2</v>
      </c>
      <c r="AE236">
        <f t="shared" si="83"/>
        <v>-3.8549976680053083E-2</v>
      </c>
      <c r="AF236">
        <f t="shared" si="83"/>
        <v>-4.2253704055757298E-2</v>
      </c>
      <c r="AG236">
        <f t="shared" si="83"/>
        <v>-4.7177164324376221E-2</v>
      </c>
      <c r="AH236">
        <f t="shared" si="83"/>
        <v>-5.4937147085019095E-2</v>
      </c>
      <c r="AI236">
        <f t="shared" si="83"/>
        <v>-6.2039050804213604E-2</v>
      </c>
      <c r="AK236">
        <v>99</v>
      </c>
      <c r="AL236">
        <f t="shared" si="70"/>
        <v>-1.8925059227154695E-2</v>
      </c>
      <c r="AM236">
        <f t="shared" si="84"/>
        <v>-2.1297151131815652E-2</v>
      </c>
      <c r="AN236">
        <f t="shared" si="84"/>
        <v>-2.3874106788443483E-2</v>
      </c>
      <c r="AO236">
        <f t="shared" si="84"/>
        <v>-2.6707607637121138E-2</v>
      </c>
      <c r="AP236">
        <f t="shared" si="84"/>
        <v>-2.9872184177602144E-2</v>
      </c>
      <c r="AQ236">
        <f t="shared" si="84"/>
        <v>-3.3481400363965255E-2</v>
      </c>
      <c r="AR236">
        <f t="shared" si="84"/>
        <v>-3.7721764860158352E-2</v>
      </c>
      <c r="AS236">
        <f t="shared" si="84"/>
        <v>-4.2934753975164157E-2</v>
      </c>
      <c r="AT236">
        <f t="shared" si="84"/>
        <v>-4.986451477690082E-2</v>
      </c>
      <c r="AU236">
        <f t="shared" si="84"/>
        <v>-6.0786675497807661E-2</v>
      </c>
      <c r="AV236">
        <f t="shared" si="84"/>
        <v>-7.078259124118523E-2</v>
      </c>
      <c r="AX236">
        <v>99</v>
      </c>
      <c r="AY236">
        <f t="shared" si="71"/>
        <v>-1.6783933505629425E-2</v>
      </c>
      <c r="AZ236">
        <f t="shared" si="85"/>
        <v>-1.8512810800192639E-2</v>
      </c>
      <c r="BA236">
        <f t="shared" si="85"/>
        <v>-2.0391001149852341E-2</v>
      </c>
      <c r="BB236">
        <f t="shared" si="85"/>
        <v>-2.2456172095286081E-2</v>
      </c>
      <c r="BC236">
        <f t="shared" si="85"/>
        <v>-2.4762644503456555E-2</v>
      </c>
      <c r="BD236">
        <f t="shared" si="85"/>
        <v>-2.7393188414302657E-2</v>
      </c>
      <c r="BE236">
        <f t="shared" si="85"/>
        <v>-3.0483738946402751E-2</v>
      </c>
      <c r="BF236">
        <f t="shared" si="85"/>
        <v>-3.4283177956345716E-2</v>
      </c>
      <c r="BG236">
        <f t="shared" si="85"/>
        <v>-3.9333870167442442E-2</v>
      </c>
      <c r="BH236">
        <f t="shared" si="85"/>
        <v>-4.7294386216943915E-2</v>
      </c>
      <c r="BI236">
        <f t="shared" si="85"/>
        <v>-5.4579817162151135E-2</v>
      </c>
      <c r="BK236">
        <v>99</v>
      </c>
      <c r="BL236">
        <f t="shared" si="72"/>
        <v>-2.7336408637570423E-2</v>
      </c>
      <c r="BM236">
        <f t="shared" si="73"/>
        <v>-2.9664948409711844E-2</v>
      </c>
      <c r="BN236">
        <f t="shared" si="74"/>
        <v>-3.2194590589979893E-2</v>
      </c>
      <c r="BO236">
        <f t="shared" si="75"/>
        <v>-3.4976067735776009E-2</v>
      </c>
      <c r="BP236">
        <f t="shared" si="76"/>
        <v>-3.8082541950378135E-2</v>
      </c>
      <c r="BQ236">
        <f t="shared" si="77"/>
        <v>-4.162549212852662E-2</v>
      </c>
      <c r="BR236">
        <f t="shared" si="78"/>
        <v>-4.5788002593808684E-2</v>
      </c>
      <c r="BS236">
        <f t="shared" si="79"/>
        <v>-5.0905280074575739E-2</v>
      </c>
      <c r="BT236">
        <f t="shared" si="80"/>
        <v>-5.7707808933834592E-2</v>
      </c>
      <c r="BU236">
        <f t="shared" si="81"/>
        <v>-6.8429436365882848E-2</v>
      </c>
      <c r="BV236">
        <f t="shared" si="82"/>
        <v>-7.8241824883247713E-2</v>
      </c>
    </row>
    <row r="237" spans="24:74">
      <c r="X237">
        <v>100</v>
      </c>
      <c r="Y237">
        <f t="shared" si="69"/>
        <v>-2.5322212096779768E-2</v>
      </c>
      <c r="Z237">
        <f t="shared" si="83"/>
        <v>-2.7016027615641529E-2</v>
      </c>
      <c r="AA237">
        <f t="shared" si="83"/>
        <v>-2.8856128108391492E-2</v>
      </c>
      <c r="AB237">
        <f t="shared" si="83"/>
        <v>-3.0879417214841262E-2</v>
      </c>
      <c r="AC237">
        <f t="shared" si="83"/>
        <v>-3.313911417024179E-2</v>
      </c>
      <c r="AD237">
        <f t="shared" si="83"/>
        <v>-3.5716310431220005E-2</v>
      </c>
      <c r="AE237">
        <f t="shared" si="83"/>
        <v>-3.8744184340814128E-2</v>
      </c>
      <c r="AF237">
        <f t="shared" si="83"/>
        <v>-4.2466570410807619E-2</v>
      </c>
      <c r="AG237">
        <f t="shared" si="83"/>
        <v>-4.7414834162695922E-2</v>
      </c>
      <c r="AH237">
        <f t="shared" si="83"/>
        <v>-5.5213910282901582E-2</v>
      </c>
      <c r="AI237">
        <f t="shared" si="83"/>
        <v>-6.2351592081022103E-2</v>
      </c>
      <c r="AK237">
        <v>100</v>
      </c>
      <c r="AL237">
        <f>_xlfn.NORM.INV(1-AL$137,$U$127,$Z$128)*SQRT($AK237)</f>
        <v>-1.9020400179310747E-2</v>
      </c>
      <c r="AM237">
        <f t="shared" ref="AM237:AV237" si="86">_xlfn.NORM.INV(1-AM$137,$U$127,$Z$128)*SQRT($AK237)</f>
        <v>-2.1404442244765259E-2</v>
      </c>
      <c r="AN237">
        <f t="shared" si="86"/>
        <v>-2.3994380127922363E-2</v>
      </c>
      <c r="AO237">
        <f t="shared" si="86"/>
        <v>-2.6842155630412475E-2</v>
      </c>
      <c r="AP237">
        <f t="shared" si="86"/>
        <v>-3.0022674722878062E-2</v>
      </c>
      <c r="AQ237">
        <f t="shared" si="86"/>
        <v>-3.3650073473618633E-2</v>
      </c>
      <c r="AR237">
        <f t="shared" si="86"/>
        <v>-3.7911800142775273E-2</v>
      </c>
      <c r="AS237">
        <f t="shared" si="86"/>
        <v>-4.3151051333890758E-2</v>
      </c>
      <c r="AT237">
        <f t="shared" si="86"/>
        <v>-5.0115722990337098E-2</v>
      </c>
      <c r="AU237">
        <f t="shared" si="86"/>
        <v>-6.1092907539187294E-2</v>
      </c>
      <c r="AV237">
        <f t="shared" si="86"/>
        <v>-7.1139180859426651E-2</v>
      </c>
      <c r="AX237">
        <v>100</v>
      </c>
      <c r="AY237">
        <f t="shared" si="71"/>
        <v>-1.6868487861953687E-2</v>
      </c>
      <c r="AZ237">
        <f t="shared" si="85"/>
        <v>-1.8606074920932757E-2</v>
      </c>
      <c r="BA237">
        <f t="shared" si="85"/>
        <v>-2.0493727246595678E-2</v>
      </c>
      <c r="BB237">
        <f t="shared" si="85"/>
        <v>-2.2569302141731206E-2</v>
      </c>
      <c r="BC237">
        <f t="shared" si="85"/>
        <v>-2.4887394131794513E-2</v>
      </c>
      <c r="BD237">
        <f t="shared" si="85"/>
        <v>-2.7531190236894702E-2</v>
      </c>
      <c r="BE237">
        <f t="shared" si="85"/>
        <v>-3.0637310391624775E-2</v>
      </c>
      <c r="BF237">
        <f t="shared" si="85"/>
        <v>-3.4455890273388474E-2</v>
      </c>
      <c r="BG237">
        <f t="shared" si="85"/>
        <v>-3.9532026938775847E-2</v>
      </c>
      <c r="BH237">
        <f t="shared" si="85"/>
        <v>-4.7532646597502698E-2</v>
      </c>
      <c r="BI237">
        <f t="shared" si="85"/>
        <v>-5.4854780197895622E-2</v>
      </c>
      <c r="BK237">
        <v>100</v>
      </c>
      <c r="BL237">
        <f t="shared" si="72"/>
        <v>-2.7474124414136828E-2</v>
      </c>
      <c r="BM237">
        <f t="shared" si="73"/>
        <v>-2.9814394939474031E-2</v>
      </c>
      <c r="BN237">
        <f t="shared" si="74"/>
        <v>-3.2356780989718177E-2</v>
      </c>
      <c r="BO237">
        <f t="shared" si="75"/>
        <v>-3.5152270703522531E-2</v>
      </c>
      <c r="BP237">
        <f t="shared" si="76"/>
        <v>-3.8274394761325339E-2</v>
      </c>
      <c r="BQ237">
        <f t="shared" si="77"/>
        <v>-4.1835193667943936E-2</v>
      </c>
      <c r="BR237">
        <f t="shared" si="78"/>
        <v>-4.6018674091964626E-2</v>
      </c>
      <c r="BS237">
        <f t="shared" si="79"/>
        <v>-5.1161731471309903E-2</v>
      </c>
      <c r="BT237">
        <f t="shared" si="80"/>
        <v>-5.7998530214257174E-2</v>
      </c>
      <c r="BU237">
        <f t="shared" si="81"/>
        <v>-6.8774171224586178E-2</v>
      </c>
      <c r="BV237">
        <f t="shared" si="82"/>
        <v>-7.8635992742553132E-2</v>
      </c>
    </row>
  </sheetData>
  <mergeCells count="13">
    <mergeCell ref="BL135:BV136"/>
    <mergeCell ref="AC1:AN1"/>
    <mergeCell ref="AQ1:BA1"/>
    <mergeCell ref="AP2:BA2"/>
    <mergeCell ref="A2:G2"/>
    <mergeCell ref="H2:N2"/>
    <mergeCell ref="Y2:AA2"/>
    <mergeCell ref="O1:P1"/>
    <mergeCell ref="X135:AI136"/>
    <mergeCell ref="AL135:AV136"/>
    <mergeCell ref="AX135:BI136"/>
    <mergeCell ref="S130:S132"/>
    <mergeCell ref="X130:X132"/>
  </mergeCells>
  <pageMargins left="0" right="0" top="0.39370078740157505" bottom="0.39370078740157505" header="0" footer="0"/>
  <pageSetup paperSize="9" fitToWidth="0" fitToHeight="0" orientation="portrait" verticalDpi="0" r:id="rId1"/>
  <headerFooter>
    <oddHeader>&amp;C&amp;A</oddHeader>
    <oddFooter>&amp;CPage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Moreno Tonazzo</dc:creator>
  <cp:lastModifiedBy>moton</cp:lastModifiedBy>
  <cp:revision>1</cp:revision>
  <dcterms:created xsi:type="dcterms:W3CDTF">2023-05-15T14:46:30Z</dcterms:created>
  <dcterms:modified xsi:type="dcterms:W3CDTF">2023-05-19T13:45:42Z</dcterms:modified>
</cp:coreProperties>
</file>